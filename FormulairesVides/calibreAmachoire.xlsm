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customXml/itemProps1.xml" ContentType="application/vnd.openxmlformats-officedocument.customXmlProperti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12750" yWindow="0" windowWidth="15990" windowHeight="15165" tabRatio="947"/>
  </bookViews>
  <sheets>
    <sheet name="Rapport d'essai dimensionnel" sheetId="21" r:id="rId1"/>
    <sheet name="Plan de contrôle horizontal" sheetId="22" r:id="rId2"/>
    <sheet name="Mesures" sheetId="20" r:id="rId3"/>
  </sheets>
  <externalReferences>
    <externalReference r:id="rId4"/>
    <externalReference r:id="rId5"/>
  </externalReferences>
  <definedNames>
    <definedName name="_xlnm.Print_Area" localSheetId="2">Mesures!$A$1:$K$30</definedName>
    <definedName name="_xlnm.Print_Area" localSheetId="1">'Plan de contrôle horizontal'!$A$1:$V$37</definedName>
    <definedName name="_xlnm.Print_Area" localSheetId="0">'Rapport d''essai dimensionnel'!$A$1:$O$101</definedName>
  </definedNames>
  <calcPr calcId="124519"/>
  <customWorkbookViews>
    <customWorkbookView name="test" guid="{2E603240-45D0-11D8-ACA8-A56CE297D533}" maximized="1" windowWidth="796" windowHeight="439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64" i="21"/>
  <c r="N51"/>
  <c r="D46"/>
  <c r="N34"/>
  <c r="J31" i="20" l="1"/>
  <c r="H31"/>
  <c r="J30"/>
  <c r="H30"/>
  <c r="J29"/>
  <c r="H29"/>
  <c r="H23"/>
  <c r="J23"/>
  <c r="N23"/>
  <c r="O23"/>
  <c r="Q23" s="1"/>
  <c r="P23"/>
  <c r="A3" i="22"/>
  <c r="R23" i="20" l="1"/>
  <c r="V84" i="21" l="1"/>
  <c r="V83"/>
  <c r="V82"/>
  <c r="V81"/>
  <c r="V80"/>
  <c r="V79"/>
  <c r="S84"/>
  <c r="S83"/>
  <c r="S82"/>
  <c r="S81"/>
  <c r="S80"/>
  <c r="S79"/>
  <c r="O30" i="20" l="1"/>
  <c r="Q30" s="1"/>
  <c r="N30"/>
  <c r="P30" s="1"/>
  <c r="O29"/>
  <c r="Q29" s="1"/>
  <c r="N29"/>
  <c r="P29" s="1"/>
  <c r="H24"/>
  <c r="J24"/>
  <c r="N24"/>
  <c r="P24" s="1"/>
  <c r="O24"/>
  <c r="Q24" s="1"/>
  <c r="R29" l="1"/>
  <c r="R30"/>
  <c r="R24"/>
  <c r="O26" l="1"/>
  <c r="Q26" s="1"/>
  <c r="N26"/>
  <c r="P26" s="1"/>
  <c r="P22"/>
  <c r="O22"/>
  <c r="Q22" s="1"/>
  <c r="N22"/>
  <c r="H22"/>
  <c r="R26" l="1"/>
  <c r="R22"/>
  <c r="J22" s="1"/>
  <c r="F15" l="1"/>
  <c r="S75" i="21" l="1"/>
  <c r="S77"/>
  <c r="S76"/>
  <c r="A3" i="20"/>
  <c r="M98" i="21"/>
  <c r="H98"/>
  <c r="C98"/>
  <c r="A80"/>
  <c r="A79"/>
  <c r="D81" s="1"/>
  <c r="A78"/>
  <c r="E64"/>
  <c r="A61"/>
  <c r="E20"/>
  <c r="D20"/>
  <c r="D19"/>
  <c r="D18"/>
  <c r="D17"/>
  <c r="N35" i="20" l="1"/>
  <c r="O35"/>
  <c r="N36"/>
  <c r="O36"/>
  <c r="N37"/>
  <c r="O37"/>
  <c r="N38"/>
  <c r="O38"/>
  <c r="N39"/>
  <c r="O39"/>
  <c r="N40"/>
  <c r="O40"/>
  <c r="N41"/>
  <c r="O41"/>
  <c r="N42"/>
  <c r="O42"/>
  <c r="N43"/>
  <c r="O43"/>
  <c r="N44"/>
  <c r="O44"/>
  <c r="N45"/>
  <c r="O45"/>
  <c r="N46"/>
  <c r="O46"/>
  <c r="N47"/>
  <c r="O47"/>
  <c r="N48"/>
  <c r="O48"/>
  <c r="N49"/>
  <c r="O49"/>
  <c r="N50"/>
  <c r="O50"/>
  <c r="N51"/>
  <c r="O51"/>
</calcChain>
</file>

<file path=xl/sharedStrings.xml><?xml version="1.0" encoding="utf-8"?>
<sst xmlns="http://schemas.openxmlformats.org/spreadsheetml/2006/main" count="129" uniqueCount="109">
  <si>
    <t xml:space="preserve">Désignation :          </t>
  </si>
  <si>
    <t>Norme ou texte de référence :</t>
  </si>
  <si>
    <t>Température :</t>
  </si>
  <si>
    <t>Hygrométrie :</t>
  </si>
  <si>
    <t>Zone Industrielle de Mérignan</t>
  </si>
  <si>
    <t>45240 LA FERTE ST AUBIN</t>
  </si>
  <si>
    <t>DELIVRE A :</t>
  </si>
  <si>
    <t>°C</t>
  </si>
  <si>
    <t>Conditions d'environnement :</t>
  </si>
  <si>
    <t xml:space="preserve">DATE DE VERIFICATION : </t>
  </si>
  <si>
    <t>Raccordement :</t>
  </si>
  <si>
    <t>Validité :</t>
  </si>
  <si>
    <t>/</t>
  </si>
  <si>
    <t>METHODES ET CONDITIONS DE MESURE :</t>
  </si>
  <si>
    <t>INCERTITUDES :</t>
  </si>
  <si>
    <t>Ce document ne peut être utilisé en lieu et place d'un certificat d'étalonnage.
La reproduction de ce constat n'est autorisée que sous la forme de fac-similé photographique intégral.
Ce constat de vérification est conforme à la NFX 07-011.</t>
  </si>
  <si>
    <t>Remarque(s) :</t>
  </si>
  <si>
    <t>EFFECTUEE PAR :</t>
  </si>
  <si>
    <t>%</t>
  </si>
  <si>
    <t>Ecart</t>
  </si>
  <si>
    <t>mail : contact@metrodem.fr</t>
  </si>
  <si>
    <t>RAPPORT D'ESSAI DIMENSIONNEL</t>
  </si>
  <si>
    <t xml:space="preserve">Quantité livrée : </t>
  </si>
  <si>
    <t>PM70</t>
  </si>
  <si>
    <t>20 ± 2</t>
  </si>
  <si>
    <t>50 ± 20</t>
  </si>
  <si>
    <t>Date d'émission du rapport :</t>
  </si>
  <si>
    <t>IDENTIFICATION DU MATERIEL PRESENTE POUR ESSAI :</t>
  </si>
  <si>
    <t>RAPPORT D'ESSAI DIMENSIONNEL (suite)</t>
  </si>
  <si>
    <t>Dans le cas d'essais non spécifiques,la méthode utilisée relève de notre procédure interne PM70.</t>
  </si>
  <si>
    <t xml:space="preserve">Pour le cas d'essais spécifiques,la méthode utilisée sera décrite ci-dessous,avec accord préalable </t>
  </si>
  <si>
    <t>du demandeur.</t>
  </si>
  <si>
    <t>Moyen :</t>
  </si>
  <si>
    <t>Il est impossible de déterminer avec exactitude, l'incertitude de mesure d'une machine tridimensionnelle,</t>
  </si>
  <si>
    <t>ceci compte tenu du nombre important de sources d'incertitude (type de tête de palpage, types de palpeurs,</t>
  </si>
  <si>
    <t>longueur et pression des palpeurs, machine tridimensionnelle manuelle ou commande numérique, etc…)</t>
  </si>
  <si>
    <t xml:space="preserve">Toutefois il est necessaire d'indiquer la précision de mesure dans le volume machine utilisé, afin de </t>
  </si>
  <si>
    <t>valider les résultats de mesure en limite d'une spécification.</t>
  </si>
  <si>
    <t xml:space="preserve">Estimation Incertitude de Mesurage </t>
  </si>
  <si>
    <t>200 mm</t>
  </si>
  <si>
    <t>400 mm</t>
  </si>
  <si>
    <t>500 mm</t>
  </si>
  <si>
    <t>Information sur E.M.T. pour Machine à Mesurer Tridimensionnelle MITUTOYO EURO C-A7106</t>
  </si>
  <si>
    <t>(Erreur Maximale Tolérée) M.P.E. = (2.9 + 4L / 1000) µm</t>
  </si>
  <si>
    <t>Une estimation raisonnable est calculée ci-dessous, en utilisant une méthode d'analyse appropriée et en</t>
  </si>
  <si>
    <t>prenant en compte toutes les composantes de l'incertitude qui ont une importance dans la situation donnée.</t>
  </si>
  <si>
    <t>Unité de Mesure :</t>
  </si>
  <si>
    <t>mm</t>
  </si>
  <si>
    <t>CONDITIONS DE MESURES :</t>
  </si>
  <si>
    <t>Procédure de mesures :</t>
  </si>
  <si>
    <t>Date de la mesure :</t>
  </si>
  <si>
    <t>Acier</t>
  </si>
  <si>
    <t>Fonte</t>
  </si>
  <si>
    <t>&gt;</t>
  </si>
  <si>
    <t>Aluminium</t>
  </si>
  <si>
    <t>Plastique</t>
  </si>
  <si>
    <t>MOYEN(S) DE MESURES UTILISE(S) :</t>
  </si>
  <si>
    <t>pages</t>
  </si>
  <si>
    <t>Ce document comprend</t>
  </si>
  <si>
    <t>Le responsable des mesures :</t>
  </si>
  <si>
    <t>J. LANOUX</t>
  </si>
  <si>
    <t>Tol. Sup.</t>
  </si>
  <si>
    <t>Tol. Inf.</t>
  </si>
  <si>
    <t>R. RAVIER</t>
  </si>
  <si>
    <t>T. BODY</t>
  </si>
  <si>
    <t>T. RUCHETON</t>
  </si>
  <si>
    <t xml:space="preserve">Date de réception du produit présenté pour essai : </t>
  </si>
  <si>
    <t>Code Client</t>
  </si>
  <si>
    <t xml:space="preserve">N° </t>
  </si>
  <si>
    <t>N° DE RAPPORT A NOTER</t>
  </si>
  <si>
    <t>Tolérance de fabrication et Norme de référence non fournies. Tenir compte des résultats obtenus.</t>
  </si>
  <si>
    <t>CONFORME au plan de définition</t>
  </si>
  <si>
    <t>NON CONFORME au plan de définition</t>
  </si>
  <si>
    <t>N° PAGE A CHANGER</t>
  </si>
  <si>
    <t>Liste client dans l'ordre alphabétique</t>
  </si>
  <si>
    <t>INCERTITUDES SUR MMT MITUTOYO</t>
  </si>
  <si>
    <t>1</t>
  </si>
  <si>
    <t>24 heures minimum</t>
  </si>
  <si>
    <t>N° identification :</t>
  </si>
  <si>
    <t>N° série :</t>
  </si>
  <si>
    <t>Spécifications :</t>
  </si>
  <si>
    <t>CONFORME à la norme de référence</t>
  </si>
  <si>
    <t>NON CONFORME à la norme de référence</t>
  </si>
  <si>
    <t>Jugement :</t>
  </si>
  <si>
    <t>STABILISATION DU MATERIEL SOUMIS AUX ESSAIS :</t>
  </si>
  <si>
    <t>RELEVE DE MESURES :</t>
  </si>
  <si>
    <t>22-24 Rue Denis Papin</t>
  </si>
  <si>
    <t>Tél : 02 38 64 81 00</t>
  </si>
  <si>
    <t>Laboratoire</t>
  </si>
  <si>
    <t>AJOUTER LES ETALONS NECESSAIRES</t>
  </si>
  <si>
    <t>Valeur étalon</t>
  </si>
  <si>
    <t>Valeur mesurée</t>
  </si>
  <si>
    <t>Valeur nominale</t>
  </si>
  <si>
    <t>H.T</t>
  </si>
  <si>
    <t>Machine de mesure tridimensionnelle MITUTOYO EURO-C APEX 7106 (MMT01)</t>
  </si>
  <si>
    <t>CE N° 23042101-OMA</t>
  </si>
  <si>
    <t xml:space="preserve">Côté "ENTRE": </t>
  </si>
  <si>
    <t>à l'entrée</t>
  </si>
  <si>
    <t xml:space="preserve">en sortie </t>
  </si>
  <si>
    <t xml:space="preserve">Côté "NEP" : </t>
  </si>
  <si>
    <t>Calibre à mâchoires</t>
  </si>
  <si>
    <t>Constructeur :</t>
  </si>
  <si>
    <t>Type :</t>
  </si>
  <si>
    <t>Supprimer le plan de contrôle non utilisé</t>
  </si>
  <si>
    <t>PLAN DE CONTRÔLE</t>
  </si>
  <si>
    <t>Mesure de la cale étalon :</t>
  </si>
  <si>
    <t>Mesure du calibre à mâchoires (Valeurs corrigées)</t>
  </si>
  <si>
    <t>milieu</t>
  </si>
  <si>
    <t>4</t>
  </si>
</sst>
</file>

<file path=xl/styles.xml><?xml version="1.0" encoding="utf-8"?>
<styleSheet xmlns="http://schemas.openxmlformats.org/spreadsheetml/2006/main">
  <numFmts count="10">
    <numFmt numFmtId="164" formatCode="0.0"/>
    <numFmt numFmtId="165" formatCode="_-* #,##0.00\ [$€]_-;\-* #,##0.00\ [$€]_-;_-* &quot;-&quot;??\ [$€]_-;_-@_-"/>
    <numFmt numFmtId="166" formatCode="0.0000"/>
    <numFmt numFmtId="167" formatCode="&quot;+/-&quot;0.0000&quot; µm&quot;"/>
    <numFmt numFmtId="168" formatCode="&quot;+/-&quot;0.0000&quot; mm&quot;"/>
    <numFmt numFmtId="169" formatCode="&quot;Réf. Pièce :&quot;0.00"/>
    <numFmt numFmtId="170" formatCode="00"/>
    <numFmt numFmtId="171" formatCode="mm/yyyy"/>
    <numFmt numFmtId="172" formatCode="0.000"/>
    <numFmt numFmtId="173" formatCode="[$-40C]d\ mmmm\ yyyy;@"/>
  </numFmts>
  <fonts count="46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20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i/>
      <sz val="10"/>
      <name val="Arial"/>
      <family val="2"/>
    </font>
    <font>
      <sz val="12"/>
      <name val="Helv"/>
    </font>
    <font>
      <sz val="11"/>
      <name val="Arial"/>
      <family val="2"/>
    </font>
    <font>
      <b/>
      <sz val="12"/>
      <name val="Helv"/>
    </font>
    <font>
      <b/>
      <sz val="11"/>
      <name val="Arial"/>
      <family val="2"/>
    </font>
    <font>
      <b/>
      <u/>
      <sz val="11"/>
      <name val="Arial"/>
      <family val="2"/>
    </font>
    <font>
      <sz val="9"/>
      <name val="Arial"/>
      <family val="2"/>
    </font>
    <font>
      <i/>
      <sz val="8"/>
      <name val="Arial"/>
      <family val="2"/>
    </font>
    <font>
      <b/>
      <u/>
      <sz val="11"/>
      <name val="Bernhard Modern Roman"/>
      <family val="1"/>
    </font>
    <font>
      <u/>
      <sz val="10"/>
      <name val="Arial"/>
      <family val="2"/>
    </font>
    <font>
      <b/>
      <sz val="8"/>
      <name val="Arial"/>
      <family val="2"/>
    </font>
    <font>
      <sz val="8"/>
      <color indexed="9"/>
      <name val="Arial"/>
      <family val="2"/>
    </font>
    <font>
      <b/>
      <sz val="9"/>
      <name val="Arial"/>
      <family val="2"/>
    </font>
    <font>
      <sz val="10"/>
      <color rgb="FF777777"/>
      <name val="Arial"/>
      <family val="2"/>
    </font>
    <font>
      <b/>
      <sz val="12"/>
      <color rgb="FFC00000"/>
      <name val="Arial"/>
      <family val="2"/>
    </font>
    <font>
      <u/>
      <sz val="10"/>
      <color theme="10"/>
      <name val="Arial"/>
      <family val="2"/>
    </font>
    <font>
      <sz val="10"/>
      <color theme="10"/>
      <name val="Arial"/>
      <family val="2"/>
    </font>
    <font>
      <sz val="8"/>
      <color indexed="12"/>
      <name val="Arial"/>
      <family val="2"/>
    </font>
    <font>
      <sz val="10"/>
      <color rgb="FFC00000"/>
      <name val="Arial"/>
      <family val="2"/>
    </font>
    <font>
      <sz val="10"/>
      <name val="MS Sans Serif"/>
      <family val="2"/>
    </font>
    <font>
      <b/>
      <sz val="10"/>
      <name val="Helv"/>
    </font>
    <font>
      <b/>
      <sz val="14"/>
      <color rgb="FFFF0000"/>
      <name val="Arial"/>
      <family val="2"/>
    </font>
    <font>
      <i/>
      <sz val="10"/>
      <name val="Arial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u/>
      <sz val="11"/>
      <name val="Arial"/>
      <family val="2"/>
    </font>
    <font>
      <sz val="11"/>
      <color indexed="9"/>
      <name val="Arial"/>
      <family val="2"/>
    </font>
    <font>
      <sz val="8"/>
      <color rgb="FFFF0000"/>
      <name val="Arial"/>
      <family val="2"/>
    </font>
    <font>
      <sz val="10"/>
      <color theme="0"/>
      <name val="Arial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i/>
      <sz val="8"/>
      <color theme="0"/>
      <name val="Arial"/>
      <family val="2"/>
    </font>
    <font>
      <sz val="8"/>
      <color theme="0"/>
      <name val="Arial"/>
      <family val="2"/>
    </font>
    <font>
      <sz val="9"/>
      <color theme="0"/>
      <name val="Times New Roman"/>
      <family val="1"/>
    </font>
    <font>
      <sz val="10"/>
      <name val="Helv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0">
    <xf numFmtId="0" fontId="0" fillId="0" borderId="0"/>
    <xf numFmtId="165" fontId="1" fillId="0" borderId="0" applyFont="0" applyFill="0" applyBorder="0" applyAlignment="0" applyProtection="0"/>
    <xf numFmtId="0" fontId="12" fillId="0" borderId="0"/>
    <xf numFmtId="0" fontId="10" fillId="0" borderId="0"/>
    <xf numFmtId="0" fontId="5" fillId="0" borderId="0"/>
    <xf numFmtId="0" fontId="24" fillId="0" borderId="0" applyNumberFormat="0" applyFill="0" applyBorder="0" applyAlignment="0" applyProtection="0"/>
    <xf numFmtId="0" fontId="28" fillId="0" borderId="0"/>
    <xf numFmtId="0" fontId="1" fillId="0" borderId="0"/>
    <xf numFmtId="0" fontId="1" fillId="0" borderId="0"/>
    <xf numFmtId="0" fontId="45" fillId="0" borderId="0"/>
  </cellStyleXfs>
  <cellXfs count="229">
    <xf numFmtId="0" fontId="0" fillId="0" borderId="0" xfId="0"/>
    <xf numFmtId="0" fontId="0" fillId="0" borderId="0" xfId="0" applyAlignment="1">
      <alignment vertical="center"/>
    </xf>
    <xf numFmtId="0" fontId="2" fillId="2" borderId="0" xfId="0" applyFont="1" applyFill="1" applyAlignment="1">
      <alignment horizontal="left" vertical="center"/>
    </xf>
    <xf numFmtId="0" fontId="2" fillId="2" borderId="0" xfId="0" applyFont="1" applyFill="1" applyAlignment="1">
      <alignment vertical="center"/>
    </xf>
    <xf numFmtId="49" fontId="2" fillId="2" borderId="0" xfId="0" applyNumberFormat="1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8" fillId="2" borderId="0" xfId="0" applyFont="1" applyFill="1" applyAlignment="1">
      <alignment horizontal="center" wrapText="1"/>
    </xf>
    <xf numFmtId="0" fontId="7" fillId="2" borderId="0" xfId="0" applyFont="1" applyFill="1" applyAlignment="1">
      <alignment horizontal="center" vertical="center"/>
    </xf>
    <xf numFmtId="0" fontId="11" fillId="0" borderId="0" xfId="3" applyFont="1" applyAlignment="1">
      <alignment vertical="center"/>
    </xf>
    <xf numFmtId="0" fontId="13" fillId="0" borderId="0" xfId="2" applyFont="1" applyAlignment="1">
      <alignment horizontal="left" vertical="center"/>
    </xf>
    <xf numFmtId="167" fontId="11" fillId="0" borderId="0" xfId="2" applyNumberFormat="1" applyFont="1" applyAlignment="1">
      <alignment horizontal="center" vertical="center"/>
    </xf>
    <xf numFmtId="168" fontId="9" fillId="0" borderId="0" xfId="2" applyNumberFormat="1" applyFont="1" applyAlignment="1">
      <alignment horizontal="center" vertical="center"/>
    </xf>
    <xf numFmtId="0" fontId="5" fillId="0" borderId="0" xfId="4"/>
    <xf numFmtId="0" fontId="7" fillId="2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0" fillId="0" borderId="0" xfId="0" applyAlignment="1">
      <alignment horizontal="center"/>
    </xf>
    <xf numFmtId="0" fontId="20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3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4" xfId="0" applyBorder="1" applyAlignment="1">
      <alignment vertical="center"/>
    </xf>
    <xf numFmtId="0" fontId="19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171" fontId="8" fillId="0" borderId="0" xfId="0" applyNumberFormat="1" applyFont="1" applyAlignment="1">
      <alignment horizontal="center" vertical="center"/>
    </xf>
    <xf numFmtId="171" fontId="8" fillId="0" borderId="0" xfId="0" quotePrefix="1" applyNumberFormat="1" applyFont="1" applyAlignment="1">
      <alignment horizontal="left" vertical="center"/>
    </xf>
    <xf numFmtId="0" fontId="25" fillId="0" borderId="0" xfId="5" applyFont="1" applyBorder="1" applyAlignment="1" applyProtection="1">
      <alignment horizontal="center" vertical="center"/>
    </xf>
    <xf numFmtId="0" fontId="26" fillId="0" borderId="0" xfId="5" applyFont="1" applyBorder="1" applyAlignment="1" applyProtection="1">
      <alignment horizontal="center" vertical="center"/>
    </xf>
    <xf numFmtId="0" fontId="26" fillId="2" borderId="0" xfId="5" applyFont="1" applyFill="1" applyBorder="1" applyAlignment="1" applyProtection="1">
      <alignment horizontal="center" vertical="center"/>
    </xf>
    <xf numFmtId="0" fontId="19" fillId="3" borderId="0" xfId="0" applyFont="1" applyFill="1" applyAlignment="1">
      <alignment vertical="center"/>
    </xf>
    <xf numFmtId="0" fontId="27" fillId="0" borderId="0" xfId="0" applyFont="1" applyAlignment="1">
      <alignment vertical="center"/>
    </xf>
    <xf numFmtId="0" fontId="13" fillId="0" borderId="0" xfId="0" applyFont="1" applyAlignment="1">
      <alignment horizontal="center"/>
    </xf>
    <xf numFmtId="164" fontId="2" fillId="0" borderId="0" xfId="0" applyNumberFormat="1" applyFont="1" applyAlignment="1">
      <alignment horizontal="left" vertical="center"/>
    </xf>
    <xf numFmtId="0" fontId="29" fillId="0" borderId="4" xfId="0" applyFont="1" applyBorder="1" applyAlignment="1" applyProtection="1">
      <alignment horizontal="center"/>
      <protection locked="0"/>
    </xf>
    <xf numFmtId="0" fontId="21" fillId="4" borderId="4" xfId="0" applyFont="1" applyFill="1" applyBorder="1" applyAlignment="1">
      <alignment horizont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1" fillId="0" borderId="4" xfId="0" applyFont="1" applyBorder="1" applyAlignment="1">
      <alignment vertical="center"/>
    </xf>
    <xf numFmtId="49" fontId="1" fillId="0" borderId="0" xfId="0" applyNumberFormat="1" applyFont="1" applyAlignment="1">
      <alignment horizontal="center" vertical="center"/>
    </xf>
    <xf numFmtId="0" fontId="30" fillId="0" borderId="0" xfId="0" applyFont="1" applyAlignment="1">
      <alignment vertical="center"/>
    </xf>
    <xf numFmtId="168" fontId="2" fillId="0" borderId="0" xfId="2" applyNumberFormat="1" applyFont="1" applyAlignment="1">
      <alignment vertical="center"/>
    </xf>
    <xf numFmtId="0" fontId="9" fillId="0" borderId="0" xfId="2" applyFont="1" applyAlignment="1">
      <alignment vertical="center"/>
    </xf>
    <xf numFmtId="0" fontId="15" fillId="0" borderId="0" xfId="2" applyFont="1" applyAlignment="1">
      <alignment vertical="center"/>
    </xf>
    <xf numFmtId="168" fontId="9" fillId="0" borderId="0" xfId="2" applyNumberFormat="1" applyFont="1" applyAlignment="1">
      <alignment vertical="center"/>
    </xf>
    <xf numFmtId="0" fontId="2" fillId="0" borderId="0" xfId="0" quotePrefix="1" applyFont="1" applyAlignment="1">
      <alignment vertical="center"/>
    </xf>
    <xf numFmtId="0" fontId="2" fillId="0" borderId="0" xfId="2" quotePrefix="1" applyFont="1" applyAlignment="1">
      <alignment horizontal="left"/>
    </xf>
    <xf numFmtId="49" fontId="1" fillId="0" borderId="0" xfId="0" applyNumberFormat="1" applyFont="1" applyAlignment="1">
      <alignment vertical="center"/>
    </xf>
    <xf numFmtId="49" fontId="1" fillId="0" borderId="0" xfId="0" applyNumberFormat="1" applyFont="1" applyAlignment="1">
      <alignment horizontal="left" vertical="center"/>
    </xf>
    <xf numFmtId="14" fontId="1" fillId="0" borderId="0" xfId="0" applyNumberFormat="1" applyFont="1" applyAlignment="1">
      <alignment horizontal="left" vertical="center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0" fontId="6" fillId="2" borderId="0" xfId="0" applyFont="1" applyFill="1" applyAlignment="1">
      <alignment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1" fillId="2" borderId="0" xfId="0" quotePrefix="1" applyFont="1" applyFill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0" xfId="0" quotePrefix="1" applyFont="1" applyAlignment="1">
      <alignment horizontal="left" vertical="center"/>
    </xf>
    <xf numFmtId="14" fontId="1" fillId="0" borderId="0" xfId="0" applyNumberFormat="1" applyFont="1" applyAlignment="1">
      <alignment vertical="center"/>
    </xf>
    <xf numFmtId="49" fontId="1" fillId="2" borderId="0" xfId="0" applyNumberFormat="1" applyFont="1" applyFill="1" applyAlignment="1">
      <alignment horizontal="left"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wrapText="1"/>
    </xf>
    <xf numFmtId="0" fontId="8" fillId="0" borderId="0" xfId="0" applyFont="1" applyAlignment="1">
      <alignment horizontal="center" vertical="center" wrapText="1"/>
    </xf>
    <xf numFmtId="0" fontId="1" fillId="0" borderId="0" xfId="5" applyFont="1" applyBorder="1" applyAlignment="1" applyProtection="1">
      <alignment horizontal="center" vertical="center"/>
    </xf>
    <xf numFmtId="164" fontId="2" fillId="0" borderId="0" xfId="0" applyNumberFormat="1" applyFont="1" applyAlignment="1">
      <alignment vertical="center"/>
    </xf>
    <xf numFmtId="0" fontId="14" fillId="0" borderId="0" xfId="3" applyFont="1" applyAlignment="1">
      <alignment vertical="center"/>
    </xf>
    <xf numFmtId="168" fontId="16" fillId="0" borderId="0" xfId="2" applyNumberFormat="1" applyFont="1" applyAlignment="1">
      <alignment vertical="center"/>
    </xf>
    <xf numFmtId="0" fontId="17" fillId="0" borderId="0" xfId="3" applyFont="1" applyAlignment="1">
      <alignment vertical="center"/>
    </xf>
    <xf numFmtId="166" fontId="1" fillId="0" borderId="4" xfId="0" applyNumberFormat="1" applyFont="1" applyBorder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0" fontId="3" fillId="2" borderId="0" xfId="0" applyFont="1" applyFill="1" applyAlignment="1">
      <alignment vertical="center"/>
    </xf>
    <xf numFmtId="0" fontId="4" fillId="0" borderId="0" xfId="0" applyFont="1" applyAlignment="1">
      <alignment horizontal="center" vertical="center"/>
    </xf>
    <xf numFmtId="0" fontId="11" fillId="0" borderId="0" xfId="3" applyFont="1" applyAlignment="1">
      <alignment horizontal="left" vertical="center"/>
    </xf>
    <xf numFmtId="171" fontId="1" fillId="0" borderId="0" xfId="0" quotePrefix="1" applyNumberFormat="1" applyFont="1" applyAlignment="1">
      <alignment horizontal="left" vertical="center"/>
    </xf>
    <xf numFmtId="168" fontId="16" fillId="0" borderId="0" xfId="2" applyNumberFormat="1" applyFont="1" applyAlignment="1">
      <alignment horizontal="center" vertical="center"/>
    </xf>
    <xf numFmtId="0" fontId="17" fillId="0" borderId="0" xfId="3" applyFont="1" applyAlignment="1">
      <alignment horizontal="center" vertical="center"/>
    </xf>
    <xf numFmtId="0" fontId="14" fillId="0" borderId="0" xfId="3" applyFont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8" fillId="0" borderId="0" xfId="0" quotePrefix="1" applyFont="1" applyAlignment="1">
      <alignment vertical="center"/>
    </xf>
    <xf numFmtId="171" fontId="8" fillId="0" borderId="0" xfId="0" quotePrefix="1" applyNumberFormat="1" applyFont="1" applyAlignment="1">
      <alignment vertical="center"/>
    </xf>
    <xf numFmtId="17" fontId="8" fillId="0" borderId="0" xfId="0" applyNumberFormat="1" applyFont="1" applyAlignment="1">
      <alignment horizontal="left" vertical="center"/>
    </xf>
    <xf numFmtId="17" fontId="8" fillId="0" borderId="0" xfId="0" applyNumberFormat="1" applyFont="1" applyAlignment="1">
      <alignment vertical="center"/>
    </xf>
    <xf numFmtId="0" fontId="8" fillId="0" borderId="0" xfId="0" quotePrefix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13" fillId="2" borderId="0" xfId="0" applyFont="1" applyFill="1" applyAlignment="1">
      <alignment horizontal="left" vertical="center"/>
    </xf>
    <xf numFmtId="0" fontId="13" fillId="2" borderId="0" xfId="0" applyFont="1" applyFill="1" applyAlignment="1">
      <alignment vertical="center"/>
    </xf>
    <xf numFmtId="0" fontId="13" fillId="0" borderId="0" xfId="0" applyFont="1" applyAlignment="1">
      <alignment vertical="center"/>
    </xf>
    <xf numFmtId="164" fontId="13" fillId="0" borderId="0" xfId="0" applyNumberFormat="1" applyFont="1" applyAlignment="1">
      <alignment horizontal="left" vertical="center"/>
    </xf>
    <xf numFmtId="49" fontId="11" fillId="2" borderId="0" xfId="0" applyNumberFormat="1" applyFont="1" applyFill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11" fillId="0" borderId="0" xfId="0" applyFont="1" applyAlignment="1">
      <alignment horizontal="left" vertical="center"/>
    </xf>
    <xf numFmtId="49" fontId="11" fillId="2" borderId="0" xfId="0" applyNumberFormat="1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1" fillId="0" borderId="0" xfId="0" applyFont="1" applyAlignment="1">
      <alignment vertical="center"/>
    </xf>
    <xf numFmtId="0" fontId="13" fillId="2" borderId="0" xfId="0" applyFont="1" applyFill="1" applyAlignment="1">
      <alignment horizontal="right" vertical="center"/>
    </xf>
    <xf numFmtId="0" fontId="32" fillId="2" borderId="0" xfId="0" applyFont="1" applyFill="1" applyAlignment="1">
      <alignment horizontal="left" vertical="center"/>
    </xf>
    <xf numFmtId="0" fontId="33" fillId="2" borderId="0" xfId="0" applyFont="1" applyFill="1" applyAlignment="1">
      <alignment vertical="center"/>
    </xf>
    <xf numFmtId="0" fontId="32" fillId="2" borderId="0" xfId="0" applyFont="1" applyFill="1" applyAlignment="1">
      <alignment vertical="center"/>
    </xf>
    <xf numFmtId="0" fontId="11" fillId="2" borderId="0" xfId="0" applyFont="1" applyFill="1" applyAlignment="1">
      <alignment vertical="center"/>
    </xf>
    <xf numFmtId="0" fontId="11" fillId="0" borderId="0" xfId="0" applyFont="1" applyAlignment="1">
      <alignment horizontal="right" vertical="center"/>
    </xf>
    <xf numFmtId="168" fontId="34" fillId="0" borderId="0" xfId="2" applyNumberFormat="1" applyFont="1" applyAlignment="1">
      <alignment horizontal="center" vertical="center"/>
    </xf>
    <xf numFmtId="168" fontId="13" fillId="0" borderId="0" xfId="2" applyNumberFormat="1" applyFont="1" applyAlignment="1">
      <alignment vertical="center"/>
    </xf>
    <xf numFmtId="0" fontId="11" fillId="0" borderId="0" xfId="2" applyFont="1" applyAlignment="1">
      <alignment vertical="center"/>
    </xf>
    <xf numFmtId="0" fontId="11" fillId="0" borderId="0" xfId="0" applyFont="1"/>
    <xf numFmtId="0" fontId="3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2" fontId="5" fillId="0" borderId="0" xfId="0" applyNumberFormat="1" applyFont="1" applyAlignment="1">
      <alignment horizontal="center" vertical="center"/>
    </xf>
    <xf numFmtId="2" fontId="2" fillId="0" borderId="0" xfId="6" applyNumberFormat="1" applyFont="1" applyAlignment="1">
      <alignment horizontal="centerContinuous" vertical="center"/>
    </xf>
    <xf numFmtId="1" fontId="8" fillId="0" borderId="0" xfId="0" applyNumberFormat="1" applyFont="1" applyAlignment="1">
      <alignment horizontal="center" vertical="center"/>
    </xf>
    <xf numFmtId="2" fontId="2" fillId="0" borderId="0" xfId="0" applyNumberFormat="1" applyFont="1" applyAlignment="1">
      <alignment horizontal="centerContinuous" vertical="center"/>
    </xf>
    <xf numFmtId="2" fontId="35" fillId="0" borderId="0" xfId="0" applyNumberFormat="1" applyFont="1" applyAlignment="1">
      <alignment horizontal="left" vertical="center"/>
    </xf>
    <xf numFmtId="2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172" fontId="11" fillId="0" borderId="0" xfId="0" applyNumberFormat="1" applyFont="1" applyAlignment="1">
      <alignment horizontal="center" vertical="center"/>
    </xf>
    <xf numFmtId="2" fontId="11" fillId="0" borderId="0" xfId="0" applyNumberFormat="1" applyFont="1" applyAlignment="1">
      <alignment horizontal="left" vertical="center"/>
    </xf>
    <xf numFmtId="172" fontId="11" fillId="0" borderId="0" xfId="0" applyNumberFormat="1" applyFont="1" applyAlignment="1">
      <alignment horizontal="left" vertical="center"/>
    </xf>
    <xf numFmtId="2" fontId="35" fillId="0" borderId="1" xfId="0" applyNumberFormat="1" applyFont="1" applyBorder="1" applyAlignment="1">
      <alignment horizontal="left" vertical="center"/>
    </xf>
    <xf numFmtId="2" fontId="36" fillId="0" borderId="0" xfId="0" applyNumberFormat="1" applyFont="1" applyAlignment="1">
      <alignment horizontal="left" vertical="center"/>
    </xf>
    <xf numFmtId="0" fontId="14" fillId="0" borderId="0" xfId="0" applyFont="1" applyAlignment="1">
      <alignment horizontal="centerContinuous"/>
    </xf>
    <xf numFmtId="0" fontId="1" fillId="2" borderId="0" xfId="0" applyFont="1" applyFill="1" applyAlignment="1">
      <alignment horizontal="left"/>
    </xf>
    <xf numFmtId="0" fontId="1" fillId="0" borderId="0" xfId="0" applyFont="1" applyAlignment="1">
      <alignment horizontal="left"/>
    </xf>
    <xf numFmtId="0" fontId="36" fillId="2" borderId="0" xfId="4" applyFont="1" applyFill="1"/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right"/>
    </xf>
    <xf numFmtId="0" fontId="35" fillId="0" borderId="0" xfId="0" applyFont="1" applyAlignment="1">
      <alignment horizontal="center"/>
    </xf>
    <xf numFmtId="0" fontId="37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centerContinuous"/>
    </xf>
    <xf numFmtId="49" fontId="11" fillId="0" borderId="0" xfId="0" applyNumberFormat="1" applyFont="1" applyAlignment="1">
      <alignment horizontal="left" vertical="center"/>
    </xf>
    <xf numFmtId="170" fontId="11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166" fontId="11" fillId="0" borderId="0" xfId="0" applyNumberFormat="1" applyFont="1" applyAlignment="1">
      <alignment vertical="center"/>
    </xf>
    <xf numFmtId="166" fontId="11" fillId="0" borderId="0" xfId="0" applyNumberFormat="1" applyFont="1"/>
    <xf numFmtId="0" fontId="38" fillId="0" borderId="0" xfId="0" applyFont="1" applyAlignment="1">
      <alignment horizontal="center" vertical="center"/>
    </xf>
    <xf numFmtId="0" fontId="39" fillId="0" borderId="0" xfId="0" applyFont="1"/>
    <xf numFmtId="0" fontId="39" fillId="0" borderId="0" xfId="0" applyFont="1" applyAlignment="1">
      <alignment horizontal="center"/>
    </xf>
    <xf numFmtId="0" fontId="40" fillId="2" borderId="0" xfId="0" applyFont="1" applyFill="1" applyAlignment="1">
      <alignment vertical="center"/>
    </xf>
    <xf numFmtId="0" fontId="41" fillId="2" borderId="0" xfId="0" applyFont="1" applyFill="1" applyAlignment="1">
      <alignment vertical="center"/>
    </xf>
    <xf numFmtId="0" fontId="39" fillId="0" borderId="0" xfId="4" applyFont="1"/>
    <xf numFmtId="0" fontId="42" fillId="0" borderId="0" xfId="0" applyFont="1" applyAlignment="1">
      <alignment horizontal="center"/>
    </xf>
    <xf numFmtId="0" fontId="43" fillId="0" borderId="0" xfId="0" applyFont="1"/>
    <xf numFmtId="0" fontId="43" fillId="0" borderId="0" xfId="0" applyFont="1" applyAlignment="1">
      <alignment horizontal="center" vertical="center"/>
    </xf>
    <xf numFmtId="172" fontId="44" fillId="0" borderId="0" xfId="6" applyNumberFormat="1" applyFont="1"/>
    <xf numFmtId="0" fontId="44" fillId="0" borderId="0" xfId="6" applyFont="1"/>
    <xf numFmtId="0" fontId="39" fillId="0" borderId="0" xfId="0" applyFont="1" applyAlignment="1">
      <alignment horizontal="center" vertical="center"/>
    </xf>
    <xf numFmtId="0" fontId="39" fillId="0" borderId="0" xfId="0" applyFont="1" applyAlignment="1">
      <alignment horizontal="left"/>
    </xf>
    <xf numFmtId="0" fontId="11" fillId="0" borderId="4" xfId="0" applyFont="1" applyBorder="1" applyAlignment="1">
      <alignment horizontal="center" vertical="center"/>
    </xf>
    <xf numFmtId="172" fontId="11" fillId="0" borderId="4" xfId="0" applyNumberFormat="1" applyFont="1" applyBorder="1" applyAlignment="1">
      <alignment horizontal="center" vertical="center"/>
    </xf>
    <xf numFmtId="172" fontId="11" fillId="0" borderId="4" xfId="0" quotePrefix="1" applyNumberFormat="1" applyFont="1" applyBorder="1" applyAlignment="1">
      <alignment horizontal="center" vertical="center"/>
    </xf>
    <xf numFmtId="2" fontId="2" fillId="0" borderId="0" xfId="6" applyNumberFormat="1" applyFont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2" fontId="13" fillId="0" borderId="0" xfId="6" applyNumberFormat="1" applyFont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0" fontId="14" fillId="0" borderId="0" xfId="0" applyFont="1"/>
    <xf numFmtId="2" fontId="1" fillId="0" borderId="0" xfId="0" applyNumberFormat="1" applyFont="1" applyAlignment="1">
      <alignment horizontal="center" vertical="center"/>
    </xf>
    <xf numFmtId="0" fontId="1" fillId="0" borderId="0" xfId="0" applyFont="1"/>
    <xf numFmtId="0" fontId="31" fillId="0" borderId="0" xfId="0" applyFont="1"/>
    <xf numFmtId="0" fontId="2" fillId="0" borderId="0" xfId="0" applyFont="1"/>
    <xf numFmtId="171" fontId="11" fillId="0" borderId="0" xfId="0" quotePrefix="1" applyNumberFormat="1" applyFont="1" applyAlignment="1">
      <alignment horizontal="left" vertical="center"/>
    </xf>
    <xf numFmtId="171" fontId="11" fillId="0" borderId="0" xfId="0" quotePrefix="1" applyNumberFormat="1" applyFont="1" applyAlignment="1">
      <alignment vertical="center"/>
    </xf>
    <xf numFmtId="169" fontId="11" fillId="0" borderId="4" xfId="0" applyNumberFormat="1" applyFont="1" applyBorder="1" applyAlignment="1">
      <alignment horizontal="center" vertical="center"/>
    </xf>
    <xf numFmtId="0" fontId="11" fillId="0" borderId="0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4" fillId="2" borderId="0" xfId="7" applyFont="1" applyFill="1" applyAlignment="1">
      <alignment vertical="center"/>
    </xf>
    <xf numFmtId="0" fontId="1" fillId="0" borderId="0" xfId="8"/>
    <xf numFmtId="0" fontId="7" fillId="2" borderId="0" xfId="7" applyFont="1" applyFill="1" applyAlignment="1">
      <alignment vertical="center"/>
    </xf>
    <xf numFmtId="0" fontId="34" fillId="5" borderId="0" xfId="8" applyFont="1" applyFill="1"/>
    <xf numFmtId="0" fontId="1" fillId="5" borderId="0" xfId="8" applyFill="1"/>
    <xf numFmtId="0" fontId="13" fillId="0" borderId="0" xfId="9" applyFont="1" applyAlignment="1">
      <alignment vertical="center"/>
    </xf>
    <xf numFmtId="0" fontId="16" fillId="0" borderId="0" xfId="9" applyFont="1" applyAlignment="1">
      <alignment horizontal="center"/>
    </xf>
    <xf numFmtId="0" fontId="8" fillId="0" borderId="0" xfId="9" applyFont="1"/>
    <xf numFmtId="0" fontId="45" fillId="0" borderId="0" xfId="9"/>
    <xf numFmtId="0" fontId="14" fillId="0" borderId="6" xfId="9" applyFont="1" applyBorder="1" applyAlignment="1">
      <alignment horizontal="center"/>
    </xf>
    <xf numFmtId="0" fontId="14" fillId="0" borderId="0" xfId="9" applyFont="1" applyAlignment="1">
      <alignment horizontal="center"/>
    </xf>
    <xf numFmtId="0" fontId="14" fillId="0" borderId="7" xfId="9" applyFont="1" applyBorder="1" applyAlignment="1">
      <alignment horizontal="center"/>
    </xf>
    <xf numFmtId="2" fontId="8" fillId="0" borderId="6" xfId="9" applyNumberFormat="1" applyFont="1" applyBorder="1" applyAlignment="1">
      <alignment horizontal="center" vertical="center"/>
    </xf>
    <xf numFmtId="2" fontId="8" fillId="0" borderId="0" xfId="9" applyNumberFormat="1" applyFont="1" applyAlignment="1">
      <alignment horizontal="center" vertical="center"/>
    </xf>
    <xf numFmtId="1" fontId="19" fillId="0" borderId="0" xfId="9" applyNumberFormat="1" applyFont="1" applyAlignment="1">
      <alignment horizontal="center" vertical="center"/>
    </xf>
    <xf numFmtId="2" fontId="19" fillId="0" borderId="0" xfId="9" applyNumberFormat="1" applyFont="1" applyAlignment="1">
      <alignment horizontal="center" vertical="center"/>
    </xf>
    <xf numFmtId="2" fontId="8" fillId="0" borderId="7" xfId="9" applyNumberFormat="1" applyFont="1" applyBorder="1" applyAlignment="1">
      <alignment horizontal="center" vertical="center"/>
    </xf>
    <xf numFmtId="0" fontId="20" fillId="0" borderId="0" xfId="9" applyFont="1" applyAlignment="1">
      <alignment horizontal="center" vertical="center"/>
    </xf>
    <xf numFmtId="0" fontId="8" fillId="0" borderId="0" xfId="9" applyFont="1" applyAlignment="1">
      <alignment vertical="center"/>
    </xf>
    <xf numFmtId="2" fontId="8" fillId="0" borderId="8" xfId="9" applyNumberFormat="1" applyFont="1" applyBorder="1" applyAlignment="1">
      <alignment horizontal="center" vertical="center"/>
    </xf>
    <xf numFmtId="2" fontId="8" fillId="0" borderId="1" xfId="9" applyNumberFormat="1" applyFont="1" applyBorder="1" applyAlignment="1">
      <alignment horizontal="center" vertical="center"/>
    </xf>
    <xf numFmtId="1" fontId="19" fillId="0" borderId="1" xfId="9" applyNumberFormat="1" applyFont="1" applyBorder="1" applyAlignment="1">
      <alignment horizontal="center" vertical="center"/>
    </xf>
    <xf numFmtId="2" fontId="19" fillId="0" borderId="1" xfId="9" applyNumberFormat="1" applyFont="1" applyBorder="1" applyAlignment="1">
      <alignment horizontal="center" vertical="center"/>
    </xf>
    <xf numFmtId="2" fontId="8" fillId="0" borderId="9" xfId="9" applyNumberFormat="1" applyFont="1" applyBorder="1" applyAlignment="1">
      <alignment horizontal="center" vertical="center"/>
    </xf>
    <xf numFmtId="0" fontId="45" fillId="0" borderId="0" xfId="9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173" fontId="1" fillId="0" borderId="0" xfId="0" applyNumberFormat="1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49" fontId="1" fillId="2" borderId="0" xfId="0" applyNumberFormat="1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4" fillId="0" borderId="0" xfId="3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left" vertical="center"/>
    </xf>
    <xf numFmtId="14" fontId="11" fillId="2" borderId="0" xfId="0" applyNumberFormat="1" applyFont="1" applyFill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32" fillId="2" borderId="0" xfId="0" applyFont="1" applyFill="1" applyAlignment="1">
      <alignment horizontal="left" vertical="center"/>
    </xf>
    <xf numFmtId="171" fontId="11" fillId="0" borderId="0" xfId="0" quotePrefix="1" applyNumberFormat="1" applyFont="1" applyAlignment="1">
      <alignment horizontal="left" vertical="center"/>
    </xf>
    <xf numFmtId="0" fontId="11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168" fontId="2" fillId="0" borderId="0" xfId="2" applyNumberFormat="1" applyFont="1" applyAlignment="1">
      <alignment horizontal="center" vertical="center"/>
    </xf>
    <xf numFmtId="168" fontId="13" fillId="0" borderId="0" xfId="2" applyNumberFormat="1" applyFont="1" applyAlignment="1">
      <alignment horizontal="center" vertical="center"/>
    </xf>
    <xf numFmtId="168" fontId="35" fillId="0" borderId="0" xfId="2" applyNumberFormat="1" applyFont="1" applyAlignment="1">
      <alignment horizontal="center" vertical="center"/>
    </xf>
    <xf numFmtId="0" fontId="17" fillId="0" borderId="0" xfId="3" applyFont="1" applyAlignment="1">
      <alignment horizontal="center" vertical="center"/>
    </xf>
    <xf numFmtId="0" fontId="6" fillId="2" borderId="0" xfId="7" applyFont="1" applyFill="1" applyAlignment="1">
      <alignment horizontal="center" vertical="center"/>
    </xf>
    <xf numFmtId="0" fontId="13" fillId="0" borderId="2" xfId="9" applyFont="1" applyBorder="1" applyAlignment="1">
      <alignment horizontal="center" vertical="center"/>
    </xf>
    <xf numFmtId="0" fontId="13" fillId="0" borderId="5" xfId="9" applyFont="1" applyBorder="1" applyAlignment="1">
      <alignment horizontal="center" vertical="center"/>
    </xf>
    <xf numFmtId="0" fontId="13" fillId="0" borderId="3" xfId="9" applyFont="1" applyBorder="1" applyAlignment="1">
      <alignment horizontal="center" vertical="center"/>
    </xf>
    <xf numFmtId="172" fontId="11" fillId="0" borderId="4" xfId="0" applyNumberFormat="1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4" fillId="0" borderId="0" xfId="0" applyFont="1" applyAlignment="1">
      <alignment horizontal="left"/>
    </xf>
    <xf numFmtId="0" fontId="11" fillId="0" borderId="2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/>
    </xf>
    <xf numFmtId="2" fontId="11" fillId="0" borderId="2" xfId="0" applyNumberFormat="1" applyFont="1" applyBorder="1" applyAlignment="1">
      <alignment horizontal="center" vertical="center"/>
    </xf>
    <xf numFmtId="2" fontId="11" fillId="0" borderId="3" xfId="0" applyNumberFormat="1" applyFont="1" applyBorder="1" applyAlignment="1">
      <alignment horizontal="center" vertical="center"/>
    </xf>
    <xf numFmtId="166" fontId="11" fillId="0" borderId="4" xfId="0" applyNumberFormat="1" applyFont="1" applyBorder="1" applyAlignment="1">
      <alignment horizontal="center"/>
    </xf>
    <xf numFmtId="14" fontId="1" fillId="0" borderId="0" xfId="0" applyNumberFormat="1" applyFont="1" applyAlignment="1">
      <alignment horizontal="left" vertical="center"/>
    </xf>
  </cellXfs>
  <cellStyles count="10">
    <cellStyle name="Euro" xfId="1"/>
    <cellStyle name="Lien hypertexte" xfId="5" builtinId="8"/>
    <cellStyle name="Normal" xfId="0" builtinId="0"/>
    <cellStyle name="Normal 2" xfId="7"/>
    <cellStyle name="Normal_96002" xfId="6"/>
    <cellStyle name="Normal_FICHTECH_1" xfId="2"/>
    <cellStyle name="Normal_Methode1" xfId="3"/>
    <cellStyle name="Normal_Rapport d'essai-1 pièce" xfId="4"/>
    <cellStyle name="Normal_Rapport d'essai-1 pièce 2" xfId="8"/>
    <cellStyle name="Normal_RD_vierge NIPPLE" xfId="9"/>
  </cellStyles>
  <dxfs count="18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777777"/>
      <color rgb="FF808080"/>
      <color rgb="FFB2B2B2"/>
      <color rgb="FFC0C0C0"/>
      <color rgb="FF9696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Style="combo" dx="22" fmlaLink="$W$93" fmlaRange="$T$95:$T$99" noThreeD="1" sel="3" val="0"/>
</file>

<file path=xl/ctrlProps/ctrlProp2.xml><?xml version="1.0" encoding="utf-8"?>
<formControlPr xmlns="http://schemas.microsoft.com/office/spreadsheetml/2009/9/main" objectType="Drop" dropStyle="combo" dx="22" fmlaLink="$U$53" fmlaRange="$T$52:$T$54" noThreeD="1" sel="2" val="0"/>
</file>

<file path=xl/ctrlProps/ctrlProp3.xml><?xml version="1.0" encoding="utf-8"?>
<formControlPr xmlns="http://schemas.microsoft.com/office/spreadsheetml/2009/9/main" objectType="Drop" dropStyle="combo" dx="22" fmlaLink="$U$64" fmlaRange="$T$63:$T$66" noThreeD="1" sel="3" val="0"/>
</file>

<file path=xl/ctrlProps/ctrlProp4.xml><?xml version="1.0" encoding="utf-8"?>
<formControlPr xmlns="http://schemas.microsoft.com/office/spreadsheetml/2009/9/main" objectType="Drop" dropStyle="combo" dx="22" fmlaLink="$T$39" fmlaRange="$T$43:$T$48" noThreeD="1" sel="4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3</xdr:row>
      <xdr:rowOff>0</xdr:rowOff>
    </xdr:from>
    <xdr:to>
      <xdr:col>13</xdr:col>
      <xdr:colOff>0</xdr:colOff>
      <xdr:row>3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 txBox="1">
          <a:spLocks noChangeArrowheads="1"/>
        </xdr:cNvSpPr>
      </xdr:nvSpPr>
      <xdr:spPr bwMode="auto">
        <a:xfrm>
          <a:off x="5372100" y="381000"/>
          <a:ext cx="0" cy="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fr-F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CONSTAT DE VERIFICATION</a:t>
          </a:r>
        </a:p>
      </xdr:txBody>
    </xdr:sp>
    <xdr:clientData/>
  </xdr:twoCellAnchor>
  <xdr:twoCellAnchor>
    <xdr:from>
      <xdr:col>12</xdr:col>
      <xdr:colOff>0</xdr:colOff>
      <xdr:row>15</xdr:row>
      <xdr:rowOff>85725</xdr:rowOff>
    </xdr:from>
    <xdr:to>
      <xdr:col>12</xdr:col>
      <xdr:colOff>0</xdr:colOff>
      <xdr:row>18</xdr:row>
      <xdr:rowOff>9525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 txBox="1">
          <a:spLocks noChangeArrowheads="1"/>
        </xdr:cNvSpPr>
      </xdr:nvSpPr>
      <xdr:spPr bwMode="auto">
        <a:xfrm>
          <a:off x="537210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12</xdr:col>
      <xdr:colOff>0</xdr:colOff>
      <xdr:row>43</xdr:row>
      <xdr:rowOff>152400</xdr:rowOff>
    </xdr:from>
    <xdr:to>
      <xdr:col>12</xdr:col>
      <xdr:colOff>0</xdr:colOff>
      <xdr:row>46</xdr:row>
      <xdr:rowOff>152400</xdr:rowOff>
    </xdr:to>
    <xdr:sp macro="" textlink="">
      <xdr:nvSpPr>
        <xdr:cNvPr id="4" name="Text Box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 txBox="1">
          <a:spLocks noChangeArrowheads="1"/>
        </xdr:cNvSpPr>
      </xdr:nvSpPr>
      <xdr:spPr bwMode="auto">
        <a:xfrm>
          <a:off x="5372100" y="8153400"/>
          <a:ext cx="0" cy="5715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TE</a:t>
          </a: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: Température indiquée par la chaîne de référence.</a:t>
          </a: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TL </a:t>
          </a: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: Température lue sur l'indicateur.</a:t>
          </a: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TL - TE</a:t>
          </a: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: Ecart entre la température indiquée par la chaîne de référence et la température lue sur l'indicateur.</a:t>
          </a:r>
        </a:p>
      </xdr:txBody>
    </xdr:sp>
    <xdr:clientData/>
  </xdr:twoCellAnchor>
  <xdr:twoCellAnchor>
    <xdr:from>
      <xdr:col>16</xdr:col>
      <xdr:colOff>581025</xdr:colOff>
      <xdr:row>10</xdr:row>
      <xdr:rowOff>57150</xdr:rowOff>
    </xdr:from>
    <xdr:to>
      <xdr:col>16</xdr:col>
      <xdr:colOff>581025</xdr:colOff>
      <xdr:row>56</xdr:row>
      <xdr:rowOff>161925</xdr:rowOff>
    </xdr:to>
    <xdr:sp macro="" textlink="">
      <xdr:nvSpPr>
        <xdr:cNvPr id="5" name="Text Box 7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 txBox="1">
          <a:spLocks noChangeArrowheads="1"/>
        </xdr:cNvSpPr>
      </xdr:nvSpPr>
      <xdr:spPr bwMode="auto">
        <a:xfrm>
          <a:off x="7934325" y="1962150"/>
          <a:ext cx="0" cy="905827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Valeur étalon : 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Indication donnée par la sonde de température de référence positionnée dans l'équipement.</a:t>
          </a:r>
          <a:endParaRPr lang="fr-FR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fr-FR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Espace de travail :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Partie du volume intérieur de l'enceinte dans laquelle les conditions d'environnement spécifiées sont maintenues dans les erreurs maximales tolérées.</a:t>
          </a:r>
          <a:endParaRPr lang="fr-FR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fr-FR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Température de l'air dans l'équipement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Moyenne arithmétique des mesurages de la température de l'air dans l'espace de travail.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Valeur de consigne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Valeur entrée sur le régulateur pour obtenir la condition désirée.</a:t>
          </a:r>
        </a:p>
        <a:p>
          <a:pPr algn="l" rtl="0">
            <a:defRPr sz="1000"/>
          </a:pPr>
          <a:endParaRPr lang="fr-FR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Ecart de consigne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Différence entre la valeur de consigne et la valeur moyenne étalon mesurée dans l'espace de travail.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Indicateur d'environnement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Equipement associé au système de régulation affichant les paramètres internes de l'équipement.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Erreur d'indication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Différence entre la valeur moyenne de l'indicateur d'environnement et la valeur moyenne étalon mesurée dans l'espace de travail. 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Homogénéité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Différence maximale, entre les moyennes des mesures de chaque point de l'espace de travail.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Stabilité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Valeur qui caractérise, en un point de l'espace de travail, les variations d'un paramètre d'environnement dans le temps.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Stabilité maximale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Plus grande valeur des stabilités déterminée, pendant la durée des mesures.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Homogénéité + stabilité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Différence maximale entre toutes les mesures relevées pendant le durée des mesures. 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Régime établi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Etat atteint par l'environnement quand les écarts, entre les valeurs en chaque point de l'espace de travail et la valeur de consigne, sont stabilisés pour chacun des paramètres d'environnement.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Erreurs maximales tolérées (EMT)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Valeurs extrêmes d'une erreur tolérées par les spécifications, règlements, etc., pour un instrument de mesure donné.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12</xdr:col>
      <xdr:colOff>0</xdr:colOff>
      <xdr:row>18</xdr:row>
      <xdr:rowOff>9525</xdr:rowOff>
    </xdr:to>
    <xdr:sp macro="" textlink="">
      <xdr:nvSpPr>
        <xdr:cNvPr id="6" name="Text Box 8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 txBox="1">
          <a:spLocks noChangeArrowheads="1"/>
        </xdr:cNvSpPr>
      </xdr:nvSpPr>
      <xdr:spPr bwMode="auto">
        <a:xfrm>
          <a:off x="537210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12</xdr:col>
      <xdr:colOff>0</xdr:colOff>
      <xdr:row>15</xdr:row>
      <xdr:rowOff>85725</xdr:rowOff>
    </xdr:from>
    <xdr:to>
      <xdr:col>12</xdr:col>
      <xdr:colOff>0</xdr:colOff>
      <xdr:row>18</xdr:row>
      <xdr:rowOff>9525</xdr:rowOff>
    </xdr:to>
    <xdr:sp macro="" textlink="">
      <xdr:nvSpPr>
        <xdr:cNvPr id="7" name="Text Box 9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 txBox="1">
          <a:spLocks noChangeArrowheads="1"/>
        </xdr:cNvSpPr>
      </xdr:nvSpPr>
      <xdr:spPr bwMode="auto">
        <a:xfrm>
          <a:off x="537210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12</xdr:col>
      <xdr:colOff>0</xdr:colOff>
      <xdr:row>18</xdr:row>
      <xdr:rowOff>9525</xdr:rowOff>
    </xdr:to>
    <xdr:sp macro="" textlink="">
      <xdr:nvSpPr>
        <xdr:cNvPr id="8" name="Text Box 10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 txBox="1">
          <a:spLocks noChangeArrowheads="1"/>
        </xdr:cNvSpPr>
      </xdr:nvSpPr>
      <xdr:spPr bwMode="auto">
        <a:xfrm>
          <a:off x="537210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12</xdr:col>
      <xdr:colOff>0</xdr:colOff>
      <xdr:row>15</xdr:row>
      <xdr:rowOff>85725</xdr:rowOff>
    </xdr:from>
    <xdr:to>
      <xdr:col>12</xdr:col>
      <xdr:colOff>0</xdr:colOff>
      <xdr:row>18</xdr:row>
      <xdr:rowOff>9525</xdr:rowOff>
    </xdr:to>
    <xdr:sp macro="" textlink="">
      <xdr:nvSpPr>
        <xdr:cNvPr id="9" name="Text Box 11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 txBox="1">
          <a:spLocks noChangeArrowheads="1"/>
        </xdr:cNvSpPr>
      </xdr:nvSpPr>
      <xdr:spPr bwMode="auto">
        <a:xfrm>
          <a:off x="537210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12</xdr:col>
      <xdr:colOff>0</xdr:colOff>
      <xdr:row>18</xdr:row>
      <xdr:rowOff>9525</xdr:rowOff>
    </xdr:to>
    <xdr:sp macro="" textlink="">
      <xdr:nvSpPr>
        <xdr:cNvPr id="10" name="Text Box 12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SpPr txBox="1">
          <a:spLocks noChangeArrowheads="1"/>
        </xdr:cNvSpPr>
      </xdr:nvSpPr>
      <xdr:spPr bwMode="auto">
        <a:xfrm>
          <a:off x="537210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12</xdr:col>
      <xdr:colOff>0</xdr:colOff>
      <xdr:row>15</xdr:row>
      <xdr:rowOff>85725</xdr:rowOff>
    </xdr:from>
    <xdr:to>
      <xdr:col>12</xdr:col>
      <xdr:colOff>0</xdr:colOff>
      <xdr:row>18</xdr:row>
      <xdr:rowOff>9525</xdr:rowOff>
    </xdr:to>
    <xdr:sp macro="" textlink="">
      <xdr:nvSpPr>
        <xdr:cNvPr id="11" name="Text Box 13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 txBox="1">
          <a:spLocks noChangeArrowheads="1"/>
        </xdr:cNvSpPr>
      </xdr:nvSpPr>
      <xdr:spPr bwMode="auto">
        <a:xfrm>
          <a:off x="537210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12</xdr:col>
      <xdr:colOff>0</xdr:colOff>
      <xdr:row>18</xdr:row>
      <xdr:rowOff>9525</xdr:rowOff>
    </xdr:to>
    <xdr:sp macro="" textlink="">
      <xdr:nvSpPr>
        <xdr:cNvPr id="12" name="Text Box 14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SpPr txBox="1">
          <a:spLocks noChangeArrowheads="1"/>
        </xdr:cNvSpPr>
      </xdr:nvSpPr>
      <xdr:spPr bwMode="auto">
        <a:xfrm>
          <a:off x="537210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13</xdr:col>
      <xdr:colOff>0</xdr:colOff>
      <xdr:row>15</xdr:row>
      <xdr:rowOff>85725</xdr:rowOff>
    </xdr:from>
    <xdr:to>
      <xdr:col>13</xdr:col>
      <xdr:colOff>0</xdr:colOff>
      <xdr:row>18</xdr:row>
      <xdr:rowOff>9525</xdr:rowOff>
    </xdr:to>
    <xdr:sp macro="" textlink="">
      <xdr:nvSpPr>
        <xdr:cNvPr id="13" name="Text Box 15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SpPr txBox="1">
          <a:spLocks noChangeArrowheads="1"/>
        </xdr:cNvSpPr>
      </xdr:nvSpPr>
      <xdr:spPr bwMode="auto">
        <a:xfrm>
          <a:off x="581977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12</xdr:col>
      <xdr:colOff>0</xdr:colOff>
      <xdr:row>15</xdr:row>
      <xdr:rowOff>85725</xdr:rowOff>
    </xdr:from>
    <xdr:to>
      <xdr:col>12</xdr:col>
      <xdr:colOff>0</xdr:colOff>
      <xdr:row>18</xdr:row>
      <xdr:rowOff>9525</xdr:rowOff>
    </xdr:to>
    <xdr:sp macro="" textlink="">
      <xdr:nvSpPr>
        <xdr:cNvPr id="14" name="Text Box 16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SpPr txBox="1">
          <a:spLocks noChangeArrowheads="1"/>
        </xdr:cNvSpPr>
      </xdr:nvSpPr>
      <xdr:spPr bwMode="auto">
        <a:xfrm>
          <a:off x="537210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15" name="Text Box 25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10</xdr:col>
      <xdr:colOff>0</xdr:colOff>
      <xdr:row>18</xdr:row>
      <xdr:rowOff>9525</xdr:rowOff>
    </xdr:to>
    <xdr:sp macro="" textlink="">
      <xdr:nvSpPr>
        <xdr:cNvPr id="16" name="Text Box 26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SpPr txBox="1">
          <a:spLocks noChangeArrowheads="1"/>
        </xdr:cNvSpPr>
      </xdr:nvSpPr>
      <xdr:spPr bwMode="auto">
        <a:xfrm>
          <a:off x="447675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17" name="Text Box 27">
          <a:extLst>
            <a:ext uri="{FF2B5EF4-FFF2-40B4-BE49-F238E27FC236}">
              <a16:creationId xmlns:a16="http://schemas.microsoft.com/office/drawing/2014/main" xmlns="" id="{00000000-0008-0000-0000-000011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10</xdr:col>
      <xdr:colOff>0</xdr:colOff>
      <xdr:row>18</xdr:row>
      <xdr:rowOff>9525</xdr:rowOff>
    </xdr:to>
    <xdr:sp macro="" textlink="">
      <xdr:nvSpPr>
        <xdr:cNvPr id="18" name="Text Box 28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SpPr txBox="1">
          <a:spLocks noChangeArrowheads="1"/>
        </xdr:cNvSpPr>
      </xdr:nvSpPr>
      <xdr:spPr bwMode="auto">
        <a:xfrm>
          <a:off x="447675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19" name="Text Box 29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10</xdr:col>
      <xdr:colOff>0</xdr:colOff>
      <xdr:row>18</xdr:row>
      <xdr:rowOff>9525</xdr:rowOff>
    </xdr:to>
    <xdr:sp macro="" textlink="">
      <xdr:nvSpPr>
        <xdr:cNvPr id="20" name="Text Box 30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SpPr txBox="1">
          <a:spLocks noChangeArrowheads="1"/>
        </xdr:cNvSpPr>
      </xdr:nvSpPr>
      <xdr:spPr bwMode="auto">
        <a:xfrm>
          <a:off x="447675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21" name="Text Box 31">
          <a:extLst>
            <a:ext uri="{FF2B5EF4-FFF2-40B4-BE49-F238E27FC236}">
              <a16:creationId xmlns:a16="http://schemas.microsoft.com/office/drawing/2014/main" xmlns="" id="{00000000-0008-0000-0000-000015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10</xdr:col>
      <xdr:colOff>0</xdr:colOff>
      <xdr:row>18</xdr:row>
      <xdr:rowOff>9525</xdr:rowOff>
    </xdr:to>
    <xdr:sp macro="" textlink="">
      <xdr:nvSpPr>
        <xdr:cNvPr id="22" name="Text Box 32">
          <a:extLst>
            <a:ext uri="{FF2B5EF4-FFF2-40B4-BE49-F238E27FC236}">
              <a16:creationId xmlns:a16="http://schemas.microsoft.com/office/drawing/2014/main" xmlns="" id="{00000000-0008-0000-0000-000016000000}"/>
            </a:ext>
          </a:extLst>
        </xdr:cNvPr>
        <xdr:cNvSpPr txBox="1">
          <a:spLocks noChangeArrowheads="1"/>
        </xdr:cNvSpPr>
      </xdr:nvSpPr>
      <xdr:spPr bwMode="auto">
        <a:xfrm>
          <a:off x="447675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11</xdr:col>
      <xdr:colOff>0</xdr:colOff>
      <xdr:row>15</xdr:row>
      <xdr:rowOff>85725</xdr:rowOff>
    </xdr:from>
    <xdr:to>
      <xdr:col>11</xdr:col>
      <xdr:colOff>0</xdr:colOff>
      <xdr:row>18</xdr:row>
      <xdr:rowOff>9525</xdr:rowOff>
    </xdr:to>
    <xdr:sp macro="" textlink="">
      <xdr:nvSpPr>
        <xdr:cNvPr id="23" name="Text Box 33">
          <a:extLst>
            <a:ext uri="{FF2B5EF4-FFF2-40B4-BE49-F238E27FC236}">
              <a16:creationId xmlns:a16="http://schemas.microsoft.com/office/drawing/2014/main" xmlns="" id="{00000000-0008-0000-0000-000017000000}"/>
            </a:ext>
          </a:extLst>
        </xdr:cNvPr>
        <xdr:cNvSpPr txBox="1">
          <a:spLocks noChangeArrowheads="1"/>
        </xdr:cNvSpPr>
      </xdr:nvSpPr>
      <xdr:spPr bwMode="auto">
        <a:xfrm>
          <a:off x="492442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24" name="Text Box 34">
          <a:extLst>
            <a:ext uri="{FF2B5EF4-FFF2-40B4-BE49-F238E27FC236}">
              <a16:creationId xmlns:a16="http://schemas.microsoft.com/office/drawing/2014/main" xmlns="" id="{00000000-0008-0000-0000-000018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10</xdr:col>
      <xdr:colOff>0</xdr:colOff>
      <xdr:row>18</xdr:row>
      <xdr:rowOff>9525</xdr:rowOff>
    </xdr:to>
    <xdr:sp macro="" textlink="">
      <xdr:nvSpPr>
        <xdr:cNvPr id="25" name="Text Box 35">
          <a:extLst>
            <a:ext uri="{FF2B5EF4-FFF2-40B4-BE49-F238E27FC236}">
              <a16:creationId xmlns:a16="http://schemas.microsoft.com/office/drawing/2014/main" xmlns="" id="{00000000-0008-0000-0000-000019000000}"/>
            </a:ext>
          </a:extLst>
        </xdr:cNvPr>
        <xdr:cNvSpPr txBox="1">
          <a:spLocks noChangeArrowheads="1"/>
        </xdr:cNvSpPr>
      </xdr:nvSpPr>
      <xdr:spPr bwMode="auto">
        <a:xfrm>
          <a:off x="447675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26" name="Text Box 36">
          <a:extLst>
            <a:ext uri="{FF2B5EF4-FFF2-40B4-BE49-F238E27FC236}">
              <a16:creationId xmlns:a16="http://schemas.microsoft.com/office/drawing/2014/main" xmlns="" id="{00000000-0008-0000-0000-00001A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10</xdr:col>
      <xdr:colOff>0</xdr:colOff>
      <xdr:row>18</xdr:row>
      <xdr:rowOff>9525</xdr:rowOff>
    </xdr:to>
    <xdr:sp macro="" textlink="">
      <xdr:nvSpPr>
        <xdr:cNvPr id="27" name="Text Box 37">
          <a:extLst>
            <a:ext uri="{FF2B5EF4-FFF2-40B4-BE49-F238E27FC236}">
              <a16:creationId xmlns:a16="http://schemas.microsoft.com/office/drawing/2014/main" xmlns="" id="{00000000-0008-0000-0000-00001B000000}"/>
            </a:ext>
          </a:extLst>
        </xdr:cNvPr>
        <xdr:cNvSpPr txBox="1">
          <a:spLocks noChangeArrowheads="1"/>
        </xdr:cNvSpPr>
      </xdr:nvSpPr>
      <xdr:spPr bwMode="auto">
        <a:xfrm>
          <a:off x="447675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28" name="Text Box 38">
          <a:extLst>
            <a:ext uri="{FF2B5EF4-FFF2-40B4-BE49-F238E27FC236}">
              <a16:creationId xmlns:a16="http://schemas.microsoft.com/office/drawing/2014/main" xmlns="" id="{00000000-0008-0000-0000-00001C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10</xdr:col>
      <xdr:colOff>0</xdr:colOff>
      <xdr:row>18</xdr:row>
      <xdr:rowOff>9525</xdr:rowOff>
    </xdr:to>
    <xdr:sp macro="" textlink="">
      <xdr:nvSpPr>
        <xdr:cNvPr id="29" name="Text Box 39">
          <a:extLst>
            <a:ext uri="{FF2B5EF4-FFF2-40B4-BE49-F238E27FC236}">
              <a16:creationId xmlns:a16="http://schemas.microsoft.com/office/drawing/2014/main" xmlns="" id="{00000000-0008-0000-0000-00001D000000}"/>
            </a:ext>
          </a:extLst>
        </xdr:cNvPr>
        <xdr:cNvSpPr txBox="1">
          <a:spLocks noChangeArrowheads="1"/>
        </xdr:cNvSpPr>
      </xdr:nvSpPr>
      <xdr:spPr bwMode="auto">
        <a:xfrm>
          <a:off x="447675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30" name="Text Box 40">
          <a:extLst>
            <a:ext uri="{FF2B5EF4-FFF2-40B4-BE49-F238E27FC236}">
              <a16:creationId xmlns:a16="http://schemas.microsoft.com/office/drawing/2014/main" xmlns="" id="{00000000-0008-0000-0000-00001E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10</xdr:col>
      <xdr:colOff>0</xdr:colOff>
      <xdr:row>18</xdr:row>
      <xdr:rowOff>9525</xdr:rowOff>
    </xdr:to>
    <xdr:sp macro="" textlink="">
      <xdr:nvSpPr>
        <xdr:cNvPr id="31" name="Text Box 41">
          <a:extLst>
            <a:ext uri="{FF2B5EF4-FFF2-40B4-BE49-F238E27FC236}">
              <a16:creationId xmlns:a16="http://schemas.microsoft.com/office/drawing/2014/main" xmlns="" id="{00000000-0008-0000-0000-00001F000000}"/>
            </a:ext>
          </a:extLst>
        </xdr:cNvPr>
        <xdr:cNvSpPr txBox="1">
          <a:spLocks noChangeArrowheads="1"/>
        </xdr:cNvSpPr>
      </xdr:nvSpPr>
      <xdr:spPr bwMode="auto">
        <a:xfrm>
          <a:off x="447675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11</xdr:col>
      <xdr:colOff>0</xdr:colOff>
      <xdr:row>15</xdr:row>
      <xdr:rowOff>85725</xdr:rowOff>
    </xdr:from>
    <xdr:to>
      <xdr:col>11</xdr:col>
      <xdr:colOff>0</xdr:colOff>
      <xdr:row>18</xdr:row>
      <xdr:rowOff>9525</xdr:rowOff>
    </xdr:to>
    <xdr:sp macro="" textlink="">
      <xdr:nvSpPr>
        <xdr:cNvPr id="32" name="Text Box 42">
          <a:extLst>
            <a:ext uri="{FF2B5EF4-FFF2-40B4-BE49-F238E27FC236}">
              <a16:creationId xmlns:a16="http://schemas.microsoft.com/office/drawing/2014/main" xmlns="" id="{00000000-0008-0000-0000-000020000000}"/>
            </a:ext>
          </a:extLst>
        </xdr:cNvPr>
        <xdr:cNvSpPr txBox="1">
          <a:spLocks noChangeArrowheads="1"/>
        </xdr:cNvSpPr>
      </xdr:nvSpPr>
      <xdr:spPr bwMode="auto">
        <a:xfrm>
          <a:off x="492442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15</xdr:row>
      <xdr:rowOff>85725</xdr:rowOff>
    </xdr:from>
    <xdr:to>
      <xdr:col>9</xdr:col>
      <xdr:colOff>0</xdr:colOff>
      <xdr:row>18</xdr:row>
      <xdr:rowOff>9525</xdr:rowOff>
    </xdr:to>
    <xdr:sp macro="" textlink="">
      <xdr:nvSpPr>
        <xdr:cNvPr id="33" name="Text Box 43">
          <a:extLst>
            <a:ext uri="{FF2B5EF4-FFF2-40B4-BE49-F238E27FC236}">
              <a16:creationId xmlns:a16="http://schemas.microsoft.com/office/drawing/2014/main" xmlns="" id="{00000000-0008-0000-0000-000021000000}"/>
            </a:ext>
          </a:extLst>
        </xdr:cNvPr>
        <xdr:cNvSpPr txBox="1">
          <a:spLocks noChangeArrowheads="1"/>
        </xdr:cNvSpPr>
      </xdr:nvSpPr>
      <xdr:spPr bwMode="auto">
        <a:xfrm>
          <a:off x="402907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9</xdr:col>
      <xdr:colOff>0</xdr:colOff>
      <xdr:row>18</xdr:row>
      <xdr:rowOff>9525</xdr:rowOff>
    </xdr:to>
    <xdr:sp macro="" textlink="">
      <xdr:nvSpPr>
        <xdr:cNvPr id="34" name="Text Box 44">
          <a:extLst>
            <a:ext uri="{FF2B5EF4-FFF2-40B4-BE49-F238E27FC236}">
              <a16:creationId xmlns:a16="http://schemas.microsoft.com/office/drawing/2014/main" xmlns="" id="{00000000-0008-0000-0000-000022000000}"/>
            </a:ext>
          </a:extLst>
        </xdr:cNvPr>
        <xdr:cNvSpPr txBox="1">
          <a:spLocks noChangeArrowheads="1"/>
        </xdr:cNvSpPr>
      </xdr:nvSpPr>
      <xdr:spPr bwMode="auto">
        <a:xfrm>
          <a:off x="4029075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15</xdr:row>
      <xdr:rowOff>85725</xdr:rowOff>
    </xdr:from>
    <xdr:to>
      <xdr:col>9</xdr:col>
      <xdr:colOff>0</xdr:colOff>
      <xdr:row>18</xdr:row>
      <xdr:rowOff>9525</xdr:rowOff>
    </xdr:to>
    <xdr:sp macro="" textlink="">
      <xdr:nvSpPr>
        <xdr:cNvPr id="35" name="Text Box 45">
          <a:extLst>
            <a:ext uri="{FF2B5EF4-FFF2-40B4-BE49-F238E27FC236}">
              <a16:creationId xmlns:a16="http://schemas.microsoft.com/office/drawing/2014/main" xmlns="" id="{00000000-0008-0000-0000-000023000000}"/>
            </a:ext>
          </a:extLst>
        </xdr:cNvPr>
        <xdr:cNvSpPr txBox="1">
          <a:spLocks noChangeArrowheads="1"/>
        </xdr:cNvSpPr>
      </xdr:nvSpPr>
      <xdr:spPr bwMode="auto">
        <a:xfrm>
          <a:off x="402907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9</xdr:col>
      <xdr:colOff>0</xdr:colOff>
      <xdr:row>18</xdr:row>
      <xdr:rowOff>9525</xdr:rowOff>
    </xdr:to>
    <xdr:sp macro="" textlink="">
      <xdr:nvSpPr>
        <xdr:cNvPr id="36" name="Text Box 46">
          <a:extLst>
            <a:ext uri="{FF2B5EF4-FFF2-40B4-BE49-F238E27FC236}">
              <a16:creationId xmlns:a16="http://schemas.microsoft.com/office/drawing/2014/main" xmlns="" id="{00000000-0008-0000-0000-000024000000}"/>
            </a:ext>
          </a:extLst>
        </xdr:cNvPr>
        <xdr:cNvSpPr txBox="1">
          <a:spLocks noChangeArrowheads="1"/>
        </xdr:cNvSpPr>
      </xdr:nvSpPr>
      <xdr:spPr bwMode="auto">
        <a:xfrm>
          <a:off x="4029075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15</xdr:row>
      <xdr:rowOff>85725</xdr:rowOff>
    </xdr:from>
    <xdr:to>
      <xdr:col>9</xdr:col>
      <xdr:colOff>0</xdr:colOff>
      <xdr:row>18</xdr:row>
      <xdr:rowOff>9525</xdr:rowOff>
    </xdr:to>
    <xdr:sp macro="" textlink="">
      <xdr:nvSpPr>
        <xdr:cNvPr id="37" name="Text Box 47">
          <a:extLst>
            <a:ext uri="{FF2B5EF4-FFF2-40B4-BE49-F238E27FC236}">
              <a16:creationId xmlns:a16="http://schemas.microsoft.com/office/drawing/2014/main" xmlns="" id="{00000000-0008-0000-0000-000025000000}"/>
            </a:ext>
          </a:extLst>
        </xdr:cNvPr>
        <xdr:cNvSpPr txBox="1">
          <a:spLocks noChangeArrowheads="1"/>
        </xdr:cNvSpPr>
      </xdr:nvSpPr>
      <xdr:spPr bwMode="auto">
        <a:xfrm>
          <a:off x="402907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9</xdr:col>
      <xdr:colOff>0</xdr:colOff>
      <xdr:row>18</xdr:row>
      <xdr:rowOff>9525</xdr:rowOff>
    </xdr:to>
    <xdr:sp macro="" textlink="">
      <xdr:nvSpPr>
        <xdr:cNvPr id="38" name="Text Box 48">
          <a:extLst>
            <a:ext uri="{FF2B5EF4-FFF2-40B4-BE49-F238E27FC236}">
              <a16:creationId xmlns:a16="http://schemas.microsoft.com/office/drawing/2014/main" xmlns="" id="{00000000-0008-0000-0000-000026000000}"/>
            </a:ext>
          </a:extLst>
        </xdr:cNvPr>
        <xdr:cNvSpPr txBox="1">
          <a:spLocks noChangeArrowheads="1"/>
        </xdr:cNvSpPr>
      </xdr:nvSpPr>
      <xdr:spPr bwMode="auto">
        <a:xfrm>
          <a:off x="4029075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15</xdr:row>
      <xdr:rowOff>85725</xdr:rowOff>
    </xdr:from>
    <xdr:to>
      <xdr:col>9</xdr:col>
      <xdr:colOff>0</xdr:colOff>
      <xdr:row>18</xdr:row>
      <xdr:rowOff>9525</xdr:rowOff>
    </xdr:to>
    <xdr:sp macro="" textlink="">
      <xdr:nvSpPr>
        <xdr:cNvPr id="39" name="Text Box 49">
          <a:extLst>
            <a:ext uri="{FF2B5EF4-FFF2-40B4-BE49-F238E27FC236}">
              <a16:creationId xmlns:a16="http://schemas.microsoft.com/office/drawing/2014/main" xmlns="" id="{00000000-0008-0000-0000-000027000000}"/>
            </a:ext>
          </a:extLst>
        </xdr:cNvPr>
        <xdr:cNvSpPr txBox="1">
          <a:spLocks noChangeArrowheads="1"/>
        </xdr:cNvSpPr>
      </xdr:nvSpPr>
      <xdr:spPr bwMode="auto">
        <a:xfrm>
          <a:off x="402907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9</xdr:col>
      <xdr:colOff>0</xdr:colOff>
      <xdr:row>18</xdr:row>
      <xdr:rowOff>9525</xdr:rowOff>
    </xdr:to>
    <xdr:sp macro="" textlink="">
      <xdr:nvSpPr>
        <xdr:cNvPr id="40" name="Text Box 50">
          <a:extLst>
            <a:ext uri="{FF2B5EF4-FFF2-40B4-BE49-F238E27FC236}">
              <a16:creationId xmlns:a16="http://schemas.microsoft.com/office/drawing/2014/main" xmlns="" id="{00000000-0008-0000-0000-000028000000}"/>
            </a:ext>
          </a:extLst>
        </xdr:cNvPr>
        <xdr:cNvSpPr txBox="1">
          <a:spLocks noChangeArrowheads="1"/>
        </xdr:cNvSpPr>
      </xdr:nvSpPr>
      <xdr:spPr bwMode="auto">
        <a:xfrm>
          <a:off x="4029075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41" name="Text Box 51">
          <a:extLst>
            <a:ext uri="{FF2B5EF4-FFF2-40B4-BE49-F238E27FC236}">
              <a16:creationId xmlns:a16="http://schemas.microsoft.com/office/drawing/2014/main" xmlns="" id="{00000000-0008-0000-0000-000029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15</xdr:row>
      <xdr:rowOff>85725</xdr:rowOff>
    </xdr:from>
    <xdr:to>
      <xdr:col>9</xdr:col>
      <xdr:colOff>0</xdr:colOff>
      <xdr:row>18</xdr:row>
      <xdr:rowOff>9525</xdr:rowOff>
    </xdr:to>
    <xdr:sp macro="" textlink="">
      <xdr:nvSpPr>
        <xdr:cNvPr id="42" name="Text Box 52">
          <a:extLst>
            <a:ext uri="{FF2B5EF4-FFF2-40B4-BE49-F238E27FC236}">
              <a16:creationId xmlns:a16="http://schemas.microsoft.com/office/drawing/2014/main" xmlns="" id="{00000000-0008-0000-0000-00002A000000}"/>
            </a:ext>
          </a:extLst>
        </xdr:cNvPr>
        <xdr:cNvSpPr txBox="1">
          <a:spLocks noChangeArrowheads="1"/>
        </xdr:cNvSpPr>
      </xdr:nvSpPr>
      <xdr:spPr bwMode="auto">
        <a:xfrm>
          <a:off x="402907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9</xdr:col>
      <xdr:colOff>0</xdr:colOff>
      <xdr:row>18</xdr:row>
      <xdr:rowOff>9525</xdr:rowOff>
    </xdr:to>
    <xdr:sp macro="" textlink="">
      <xdr:nvSpPr>
        <xdr:cNvPr id="43" name="Text Box 53">
          <a:extLst>
            <a:ext uri="{FF2B5EF4-FFF2-40B4-BE49-F238E27FC236}">
              <a16:creationId xmlns:a16="http://schemas.microsoft.com/office/drawing/2014/main" xmlns="" id="{00000000-0008-0000-0000-00002B000000}"/>
            </a:ext>
          </a:extLst>
        </xdr:cNvPr>
        <xdr:cNvSpPr txBox="1">
          <a:spLocks noChangeArrowheads="1"/>
        </xdr:cNvSpPr>
      </xdr:nvSpPr>
      <xdr:spPr bwMode="auto">
        <a:xfrm>
          <a:off x="4029075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15</xdr:row>
      <xdr:rowOff>85725</xdr:rowOff>
    </xdr:from>
    <xdr:to>
      <xdr:col>9</xdr:col>
      <xdr:colOff>0</xdr:colOff>
      <xdr:row>18</xdr:row>
      <xdr:rowOff>9525</xdr:rowOff>
    </xdr:to>
    <xdr:sp macro="" textlink="">
      <xdr:nvSpPr>
        <xdr:cNvPr id="44" name="Text Box 54">
          <a:extLst>
            <a:ext uri="{FF2B5EF4-FFF2-40B4-BE49-F238E27FC236}">
              <a16:creationId xmlns:a16="http://schemas.microsoft.com/office/drawing/2014/main" xmlns="" id="{00000000-0008-0000-0000-00002C000000}"/>
            </a:ext>
          </a:extLst>
        </xdr:cNvPr>
        <xdr:cNvSpPr txBox="1">
          <a:spLocks noChangeArrowheads="1"/>
        </xdr:cNvSpPr>
      </xdr:nvSpPr>
      <xdr:spPr bwMode="auto">
        <a:xfrm>
          <a:off x="402907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9</xdr:col>
      <xdr:colOff>0</xdr:colOff>
      <xdr:row>18</xdr:row>
      <xdr:rowOff>9525</xdr:rowOff>
    </xdr:to>
    <xdr:sp macro="" textlink="">
      <xdr:nvSpPr>
        <xdr:cNvPr id="45" name="Text Box 55">
          <a:extLst>
            <a:ext uri="{FF2B5EF4-FFF2-40B4-BE49-F238E27FC236}">
              <a16:creationId xmlns:a16="http://schemas.microsoft.com/office/drawing/2014/main" xmlns="" id="{00000000-0008-0000-0000-00002D000000}"/>
            </a:ext>
          </a:extLst>
        </xdr:cNvPr>
        <xdr:cNvSpPr txBox="1">
          <a:spLocks noChangeArrowheads="1"/>
        </xdr:cNvSpPr>
      </xdr:nvSpPr>
      <xdr:spPr bwMode="auto">
        <a:xfrm>
          <a:off x="4029075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15</xdr:row>
      <xdr:rowOff>85725</xdr:rowOff>
    </xdr:from>
    <xdr:to>
      <xdr:col>9</xdr:col>
      <xdr:colOff>0</xdr:colOff>
      <xdr:row>18</xdr:row>
      <xdr:rowOff>9525</xdr:rowOff>
    </xdr:to>
    <xdr:sp macro="" textlink="">
      <xdr:nvSpPr>
        <xdr:cNvPr id="46" name="Text Box 56">
          <a:extLst>
            <a:ext uri="{FF2B5EF4-FFF2-40B4-BE49-F238E27FC236}">
              <a16:creationId xmlns:a16="http://schemas.microsoft.com/office/drawing/2014/main" xmlns="" id="{00000000-0008-0000-0000-00002E000000}"/>
            </a:ext>
          </a:extLst>
        </xdr:cNvPr>
        <xdr:cNvSpPr txBox="1">
          <a:spLocks noChangeArrowheads="1"/>
        </xdr:cNvSpPr>
      </xdr:nvSpPr>
      <xdr:spPr bwMode="auto">
        <a:xfrm>
          <a:off x="402907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9</xdr:col>
      <xdr:colOff>0</xdr:colOff>
      <xdr:row>18</xdr:row>
      <xdr:rowOff>9525</xdr:rowOff>
    </xdr:to>
    <xdr:sp macro="" textlink="">
      <xdr:nvSpPr>
        <xdr:cNvPr id="47" name="Text Box 57">
          <a:extLst>
            <a:ext uri="{FF2B5EF4-FFF2-40B4-BE49-F238E27FC236}">
              <a16:creationId xmlns:a16="http://schemas.microsoft.com/office/drawing/2014/main" xmlns="" id="{00000000-0008-0000-0000-00002F000000}"/>
            </a:ext>
          </a:extLst>
        </xdr:cNvPr>
        <xdr:cNvSpPr txBox="1">
          <a:spLocks noChangeArrowheads="1"/>
        </xdr:cNvSpPr>
      </xdr:nvSpPr>
      <xdr:spPr bwMode="auto">
        <a:xfrm>
          <a:off x="4029075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15</xdr:row>
      <xdr:rowOff>85725</xdr:rowOff>
    </xdr:from>
    <xdr:to>
      <xdr:col>9</xdr:col>
      <xdr:colOff>0</xdr:colOff>
      <xdr:row>18</xdr:row>
      <xdr:rowOff>9525</xdr:rowOff>
    </xdr:to>
    <xdr:sp macro="" textlink="">
      <xdr:nvSpPr>
        <xdr:cNvPr id="48" name="Text Box 58">
          <a:extLst>
            <a:ext uri="{FF2B5EF4-FFF2-40B4-BE49-F238E27FC236}">
              <a16:creationId xmlns:a16="http://schemas.microsoft.com/office/drawing/2014/main" xmlns="" id="{00000000-0008-0000-0000-000030000000}"/>
            </a:ext>
          </a:extLst>
        </xdr:cNvPr>
        <xdr:cNvSpPr txBox="1">
          <a:spLocks noChangeArrowheads="1"/>
        </xdr:cNvSpPr>
      </xdr:nvSpPr>
      <xdr:spPr bwMode="auto">
        <a:xfrm>
          <a:off x="402907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9</xdr:col>
      <xdr:colOff>0</xdr:colOff>
      <xdr:row>18</xdr:row>
      <xdr:rowOff>9525</xdr:rowOff>
    </xdr:to>
    <xdr:sp macro="" textlink="">
      <xdr:nvSpPr>
        <xdr:cNvPr id="49" name="Text Box 59">
          <a:extLst>
            <a:ext uri="{FF2B5EF4-FFF2-40B4-BE49-F238E27FC236}">
              <a16:creationId xmlns:a16="http://schemas.microsoft.com/office/drawing/2014/main" xmlns="" id="{00000000-0008-0000-0000-000031000000}"/>
            </a:ext>
          </a:extLst>
        </xdr:cNvPr>
        <xdr:cNvSpPr txBox="1">
          <a:spLocks noChangeArrowheads="1"/>
        </xdr:cNvSpPr>
      </xdr:nvSpPr>
      <xdr:spPr bwMode="auto">
        <a:xfrm>
          <a:off x="4029075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50" name="Text Box 60">
          <a:extLst>
            <a:ext uri="{FF2B5EF4-FFF2-40B4-BE49-F238E27FC236}">
              <a16:creationId xmlns:a16="http://schemas.microsoft.com/office/drawing/2014/main" xmlns="" id="{00000000-0008-0000-0000-000032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 editAs="oneCell">
    <xdr:from>
      <xdr:col>1</xdr:col>
      <xdr:colOff>19051</xdr:colOff>
      <xdr:row>2</xdr:row>
      <xdr:rowOff>38100</xdr:rowOff>
    </xdr:from>
    <xdr:to>
      <xdr:col>5</xdr:col>
      <xdr:colOff>201173</xdr:colOff>
      <xdr:row>5</xdr:row>
      <xdr:rowOff>190499</xdr:rowOff>
    </xdr:to>
    <xdr:pic>
      <xdr:nvPicPr>
        <xdr:cNvPr id="51" name="Image 1">
          <a:extLst>
            <a:ext uri="{FF2B5EF4-FFF2-40B4-BE49-F238E27FC236}">
              <a16:creationId xmlns:a16="http://schemas.microsoft.com/office/drawing/2014/main" xmlns="" id="{00000000-0008-0000-0000-000033000000}"/>
            </a:ext>
            <a:ext uri="{C183D7F6-B498-43B3-948B-1728B52AA6E4}">
              <adec:decorative xmlns:adec="http://schemas.microsoft.com/office/drawing/2017/decorative" xmlns="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34952" t="40839" r="35043" b="39529"/>
        <a:stretch>
          <a:fillRect/>
        </a:stretch>
      </xdr:blipFill>
      <xdr:spPr bwMode="auto">
        <a:xfrm>
          <a:off x="466726" y="419100"/>
          <a:ext cx="1972822" cy="7238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83537</xdr:colOff>
      <xdr:row>8</xdr:row>
      <xdr:rowOff>182841</xdr:rowOff>
    </xdr:from>
    <xdr:to>
      <xdr:col>27</xdr:col>
      <xdr:colOff>28067</xdr:colOff>
      <xdr:row>9</xdr:row>
      <xdr:rowOff>182841</xdr:rowOff>
    </xdr:to>
    <xdr:sp macro="" textlink="">
      <xdr:nvSpPr>
        <xdr:cNvPr id="3" name="Ellipse 2">
          <a:extLst>
            <a:ext uri="{FF2B5EF4-FFF2-40B4-BE49-F238E27FC236}">
              <a16:creationId xmlns:a16="http://schemas.microsoft.com/office/drawing/2014/main" xmlns="" id="{A2217F34-FE8D-416C-BBC3-D125FB86CB26}"/>
            </a:ext>
          </a:extLst>
        </xdr:cNvPr>
        <xdr:cNvSpPr/>
      </xdr:nvSpPr>
      <xdr:spPr bwMode="auto">
        <a:xfrm>
          <a:off x="10818772" y="1807694"/>
          <a:ext cx="19106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</a:t>
          </a:r>
        </a:p>
      </xdr:txBody>
    </xdr:sp>
    <xdr:clientData/>
  </xdr:twoCellAnchor>
  <xdr:twoCellAnchor editAs="oneCell">
    <xdr:from>
      <xdr:col>26</xdr:col>
      <xdr:colOff>55923</xdr:colOff>
      <xdr:row>10</xdr:row>
      <xdr:rowOff>25880</xdr:rowOff>
    </xdr:from>
    <xdr:to>
      <xdr:col>26</xdr:col>
      <xdr:colOff>246423</xdr:colOff>
      <xdr:row>11</xdr:row>
      <xdr:rowOff>25880</xdr:rowOff>
    </xdr:to>
    <xdr:sp macro="" textlink="">
      <xdr:nvSpPr>
        <xdr:cNvPr id="4" name="Ellipse 3">
          <a:extLst>
            <a:ext uri="{FF2B5EF4-FFF2-40B4-BE49-F238E27FC236}">
              <a16:creationId xmlns:a16="http://schemas.microsoft.com/office/drawing/2014/main" xmlns="" id="{3DE60920-CCB6-4541-AC4D-F6E356B5AB30}"/>
            </a:ext>
          </a:extLst>
        </xdr:cNvPr>
        <xdr:cNvSpPr/>
      </xdr:nvSpPr>
      <xdr:spPr bwMode="auto">
        <a:xfrm>
          <a:off x="10791158" y="2031733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</a:t>
          </a:r>
        </a:p>
      </xdr:txBody>
    </xdr:sp>
    <xdr:clientData/>
  </xdr:twoCellAnchor>
  <xdr:twoCellAnchor editAs="oneCell">
    <xdr:from>
      <xdr:col>26</xdr:col>
      <xdr:colOff>51360</xdr:colOff>
      <xdr:row>11</xdr:row>
      <xdr:rowOff>79748</xdr:rowOff>
    </xdr:from>
    <xdr:to>
      <xdr:col>26</xdr:col>
      <xdr:colOff>241860</xdr:colOff>
      <xdr:row>12</xdr:row>
      <xdr:rowOff>79748</xdr:rowOff>
    </xdr:to>
    <xdr:sp macro="" textlink="">
      <xdr:nvSpPr>
        <xdr:cNvPr id="5" name="Ellipse 4">
          <a:extLst>
            <a:ext uri="{FF2B5EF4-FFF2-40B4-BE49-F238E27FC236}">
              <a16:creationId xmlns:a16="http://schemas.microsoft.com/office/drawing/2014/main" xmlns="" id="{4C86A001-876A-4B1B-A70D-03FFE1F2FE0C}"/>
            </a:ext>
          </a:extLst>
        </xdr:cNvPr>
        <xdr:cNvSpPr/>
      </xdr:nvSpPr>
      <xdr:spPr bwMode="auto">
        <a:xfrm>
          <a:off x="10786035" y="2280023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</a:t>
          </a:r>
        </a:p>
      </xdr:txBody>
    </xdr:sp>
    <xdr:clientData/>
  </xdr:twoCellAnchor>
  <xdr:twoCellAnchor editAs="oneCell">
    <xdr:from>
      <xdr:col>26</xdr:col>
      <xdr:colOff>59764</xdr:colOff>
      <xdr:row>12</xdr:row>
      <xdr:rowOff>61818</xdr:rowOff>
    </xdr:from>
    <xdr:to>
      <xdr:col>27</xdr:col>
      <xdr:colOff>3734</xdr:colOff>
      <xdr:row>13</xdr:row>
      <xdr:rowOff>61818</xdr:rowOff>
    </xdr:to>
    <xdr:sp macro="" textlink="">
      <xdr:nvSpPr>
        <xdr:cNvPr id="6" name="Ellipse 5">
          <a:extLst>
            <a:ext uri="{FF2B5EF4-FFF2-40B4-BE49-F238E27FC236}">
              <a16:creationId xmlns:a16="http://schemas.microsoft.com/office/drawing/2014/main" xmlns="" id="{BBE5CB66-C226-414B-A548-7CF07DEA3193}"/>
            </a:ext>
          </a:extLst>
        </xdr:cNvPr>
        <xdr:cNvSpPr/>
      </xdr:nvSpPr>
      <xdr:spPr bwMode="auto">
        <a:xfrm>
          <a:off x="10794439" y="2452593"/>
          <a:ext cx="19162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</a:t>
          </a:r>
        </a:p>
      </xdr:txBody>
    </xdr:sp>
    <xdr:clientData/>
  </xdr:twoCellAnchor>
  <xdr:twoCellAnchor editAs="oneCell">
    <xdr:from>
      <xdr:col>26</xdr:col>
      <xdr:colOff>66488</xdr:colOff>
      <xdr:row>13</xdr:row>
      <xdr:rowOff>35484</xdr:rowOff>
    </xdr:from>
    <xdr:to>
      <xdr:col>27</xdr:col>
      <xdr:colOff>10458</xdr:colOff>
      <xdr:row>14</xdr:row>
      <xdr:rowOff>35484</xdr:rowOff>
    </xdr:to>
    <xdr:sp macro="" textlink="">
      <xdr:nvSpPr>
        <xdr:cNvPr id="7" name="Ellipse 6">
          <a:extLst>
            <a:ext uri="{FF2B5EF4-FFF2-40B4-BE49-F238E27FC236}">
              <a16:creationId xmlns:a16="http://schemas.microsoft.com/office/drawing/2014/main" xmlns="" id="{5E0A2B28-736D-42CB-90EF-ABF9E995A572}"/>
            </a:ext>
          </a:extLst>
        </xdr:cNvPr>
        <xdr:cNvSpPr/>
      </xdr:nvSpPr>
      <xdr:spPr bwMode="auto">
        <a:xfrm>
          <a:off x="10801163" y="2616759"/>
          <a:ext cx="19162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5</a:t>
          </a:r>
        </a:p>
      </xdr:txBody>
    </xdr:sp>
    <xdr:clientData/>
  </xdr:twoCellAnchor>
  <xdr:twoCellAnchor editAs="oneCell">
    <xdr:from>
      <xdr:col>26</xdr:col>
      <xdr:colOff>50799</xdr:colOff>
      <xdr:row>14</xdr:row>
      <xdr:rowOff>6349</xdr:rowOff>
    </xdr:from>
    <xdr:to>
      <xdr:col>26</xdr:col>
      <xdr:colOff>241299</xdr:colOff>
      <xdr:row>15</xdr:row>
      <xdr:rowOff>6349</xdr:rowOff>
    </xdr:to>
    <xdr:sp macro="" textlink="">
      <xdr:nvSpPr>
        <xdr:cNvPr id="8" name="Ellipse 7">
          <a:extLst>
            <a:ext uri="{FF2B5EF4-FFF2-40B4-BE49-F238E27FC236}">
              <a16:creationId xmlns:a16="http://schemas.microsoft.com/office/drawing/2014/main" xmlns="" id="{8C130EAA-3A0E-47CC-8537-DD72EBE18383}"/>
            </a:ext>
          </a:extLst>
        </xdr:cNvPr>
        <xdr:cNvSpPr/>
      </xdr:nvSpPr>
      <xdr:spPr bwMode="auto">
        <a:xfrm>
          <a:off x="10785474" y="277812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6</a:t>
          </a:r>
        </a:p>
      </xdr:txBody>
    </xdr:sp>
    <xdr:clientData/>
  </xdr:twoCellAnchor>
  <xdr:twoCellAnchor editAs="oneCell">
    <xdr:from>
      <xdr:col>26</xdr:col>
      <xdr:colOff>50799</xdr:colOff>
      <xdr:row>15</xdr:row>
      <xdr:rowOff>6349</xdr:rowOff>
    </xdr:from>
    <xdr:to>
      <xdr:col>26</xdr:col>
      <xdr:colOff>241299</xdr:colOff>
      <xdr:row>16</xdr:row>
      <xdr:rowOff>6349</xdr:rowOff>
    </xdr:to>
    <xdr:sp macro="" textlink="">
      <xdr:nvSpPr>
        <xdr:cNvPr id="9" name="Ellipse 8">
          <a:extLst>
            <a:ext uri="{FF2B5EF4-FFF2-40B4-BE49-F238E27FC236}">
              <a16:creationId xmlns:a16="http://schemas.microsoft.com/office/drawing/2014/main" xmlns="" id="{54D2AC00-07F0-4331-9C07-881BE9C612FA}"/>
            </a:ext>
          </a:extLst>
        </xdr:cNvPr>
        <xdr:cNvSpPr/>
      </xdr:nvSpPr>
      <xdr:spPr bwMode="auto">
        <a:xfrm>
          <a:off x="10785474" y="296862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7</a:t>
          </a:r>
        </a:p>
      </xdr:txBody>
    </xdr:sp>
    <xdr:clientData/>
  </xdr:twoCellAnchor>
  <xdr:twoCellAnchor editAs="oneCell">
    <xdr:from>
      <xdr:col>26</xdr:col>
      <xdr:colOff>50799</xdr:colOff>
      <xdr:row>16</xdr:row>
      <xdr:rowOff>6349</xdr:rowOff>
    </xdr:from>
    <xdr:to>
      <xdr:col>26</xdr:col>
      <xdr:colOff>241299</xdr:colOff>
      <xdr:row>17</xdr:row>
      <xdr:rowOff>6349</xdr:rowOff>
    </xdr:to>
    <xdr:sp macro="" textlink="">
      <xdr:nvSpPr>
        <xdr:cNvPr id="10" name="Ellipse 9">
          <a:extLst>
            <a:ext uri="{FF2B5EF4-FFF2-40B4-BE49-F238E27FC236}">
              <a16:creationId xmlns:a16="http://schemas.microsoft.com/office/drawing/2014/main" xmlns="" id="{52F89A74-E8BA-465C-9C1C-CCE26C23EF77}"/>
            </a:ext>
          </a:extLst>
        </xdr:cNvPr>
        <xdr:cNvSpPr/>
      </xdr:nvSpPr>
      <xdr:spPr bwMode="auto">
        <a:xfrm>
          <a:off x="10785474" y="315912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8</a:t>
          </a:r>
        </a:p>
      </xdr:txBody>
    </xdr:sp>
    <xdr:clientData/>
  </xdr:twoCellAnchor>
  <xdr:twoCellAnchor editAs="oneCell">
    <xdr:from>
      <xdr:col>26</xdr:col>
      <xdr:colOff>50799</xdr:colOff>
      <xdr:row>17</xdr:row>
      <xdr:rowOff>6349</xdr:rowOff>
    </xdr:from>
    <xdr:to>
      <xdr:col>26</xdr:col>
      <xdr:colOff>241299</xdr:colOff>
      <xdr:row>18</xdr:row>
      <xdr:rowOff>6349</xdr:rowOff>
    </xdr:to>
    <xdr:sp macro="" textlink="">
      <xdr:nvSpPr>
        <xdr:cNvPr id="11" name="Ellipse 10">
          <a:extLst>
            <a:ext uri="{FF2B5EF4-FFF2-40B4-BE49-F238E27FC236}">
              <a16:creationId xmlns:a16="http://schemas.microsoft.com/office/drawing/2014/main" xmlns="" id="{2E8E8DCE-298D-4E5F-8B00-89FA83E91845}"/>
            </a:ext>
          </a:extLst>
        </xdr:cNvPr>
        <xdr:cNvSpPr/>
      </xdr:nvSpPr>
      <xdr:spPr bwMode="auto">
        <a:xfrm>
          <a:off x="10785474" y="334962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9</a:t>
          </a:r>
        </a:p>
      </xdr:txBody>
    </xdr:sp>
    <xdr:clientData/>
  </xdr:twoCellAnchor>
  <xdr:twoCellAnchor editAs="oneCell">
    <xdr:from>
      <xdr:col>27</xdr:col>
      <xdr:colOff>176305</xdr:colOff>
      <xdr:row>8</xdr:row>
      <xdr:rowOff>153706</xdr:rowOff>
    </xdr:from>
    <xdr:to>
      <xdr:col>28</xdr:col>
      <xdr:colOff>119155</xdr:colOff>
      <xdr:row>9</xdr:row>
      <xdr:rowOff>153706</xdr:rowOff>
    </xdr:to>
    <xdr:sp macro="" textlink="">
      <xdr:nvSpPr>
        <xdr:cNvPr id="12" name="Ellipse 11">
          <a:extLst>
            <a:ext uri="{FF2B5EF4-FFF2-40B4-BE49-F238E27FC236}">
              <a16:creationId xmlns:a16="http://schemas.microsoft.com/office/drawing/2014/main" xmlns="" id="{E2BA0450-CB8C-46EA-A960-1BD3EE7078D3}"/>
            </a:ext>
          </a:extLst>
        </xdr:cNvPr>
        <xdr:cNvSpPr/>
      </xdr:nvSpPr>
      <xdr:spPr bwMode="auto">
        <a:xfrm>
          <a:off x="11158630" y="1782481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10</a:t>
          </a:r>
        </a:p>
      </xdr:txBody>
    </xdr:sp>
    <xdr:clientData/>
  </xdr:twoCellAnchor>
  <xdr:twoCellAnchor editAs="oneCell">
    <xdr:from>
      <xdr:col>27</xdr:col>
      <xdr:colOff>165099</xdr:colOff>
      <xdr:row>9</xdr:row>
      <xdr:rowOff>176118</xdr:rowOff>
    </xdr:from>
    <xdr:to>
      <xdr:col>28</xdr:col>
      <xdr:colOff>107949</xdr:colOff>
      <xdr:row>10</xdr:row>
      <xdr:rowOff>176118</xdr:rowOff>
    </xdr:to>
    <xdr:sp macro="" textlink="">
      <xdr:nvSpPr>
        <xdr:cNvPr id="13" name="Ellipse 12">
          <a:extLst>
            <a:ext uri="{FF2B5EF4-FFF2-40B4-BE49-F238E27FC236}">
              <a16:creationId xmlns:a16="http://schemas.microsoft.com/office/drawing/2014/main" xmlns="" id="{ECD6EF30-BFB5-4C91-A35F-41273C05AF43}"/>
            </a:ext>
          </a:extLst>
        </xdr:cNvPr>
        <xdr:cNvSpPr/>
      </xdr:nvSpPr>
      <xdr:spPr bwMode="auto">
        <a:xfrm>
          <a:off x="11147424" y="1995393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11</a:t>
          </a:r>
        </a:p>
      </xdr:txBody>
    </xdr:sp>
    <xdr:clientData/>
  </xdr:twoCellAnchor>
  <xdr:twoCellAnchor editAs="oneCell">
    <xdr:from>
      <xdr:col>27</xdr:col>
      <xdr:colOff>165099</xdr:colOff>
      <xdr:row>10</xdr:row>
      <xdr:rowOff>187324</xdr:rowOff>
    </xdr:from>
    <xdr:to>
      <xdr:col>28</xdr:col>
      <xdr:colOff>107949</xdr:colOff>
      <xdr:row>11</xdr:row>
      <xdr:rowOff>187324</xdr:rowOff>
    </xdr:to>
    <xdr:sp macro="" textlink="">
      <xdr:nvSpPr>
        <xdr:cNvPr id="14" name="Ellipse 13">
          <a:extLst>
            <a:ext uri="{FF2B5EF4-FFF2-40B4-BE49-F238E27FC236}">
              <a16:creationId xmlns:a16="http://schemas.microsoft.com/office/drawing/2014/main" xmlns="" id="{374355C9-6111-4A38-8AB4-808379922A7B}"/>
            </a:ext>
          </a:extLst>
        </xdr:cNvPr>
        <xdr:cNvSpPr/>
      </xdr:nvSpPr>
      <xdr:spPr bwMode="auto">
        <a:xfrm>
          <a:off x="11147424" y="21970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12</a:t>
          </a:r>
        </a:p>
      </xdr:txBody>
    </xdr:sp>
    <xdr:clientData/>
  </xdr:twoCellAnchor>
  <xdr:twoCellAnchor editAs="oneCell">
    <xdr:from>
      <xdr:col>27</xdr:col>
      <xdr:colOff>165099</xdr:colOff>
      <xdr:row>11</xdr:row>
      <xdr:rowOff>187324</xdr:rowOff>
    </xdr:from>
    <xdr:to>
      <xdr:col>28</xdr:col>
      <xdr:colOff>107949</xdr:colOff>
      <xdr:row>12</xdr:row>
      <xdr:rowOff>187324</xdr:rowOff>
    </xdr:to>
    <xdr:sp macro="" textlink="">
      <xdr:nvSpPr>
        <xdr:cNvPr id="15" name="Ellipse 14">
          <a:extLst>
            <a:ext uri="{FF2B5EF4-FFF2-40B4-BE49-F238E27FC236}">
              <a16:creationId xmlns:a16="http://schemas.microsoft.com/office/drawing/2014/main" xmlns="" id="{EA495EFC-9B9B-4036-9B35-CF78B30EC4A2}"/>
            </a:ext>
          </a:extLst>
        </xdr:cNvPr>
        <xdr:cNvSpPr/>
      </xdr:nvSpPr>
      <xdr:spPr bwMode="auto">
        <a:xfrm>
          <a:off x="11147424" y="23875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13</a:t>
          </a:r>
        </a:p>
      </xdr:txBody>
    </xdr:sp>
    <xdr:clientData/>
  </xdr:twoCellAnchor>
  <xdr:twoCellAnchor editAs="oneCell">
    <xdr:from>
      <xdr:col>27</xdr:col>
      <xdr:colOff>165099</xdr:colOff>
      <xdr:row>12</xdr:row>
      <xdr:rowOff>187324</xdr:rowOff>
    </xdr:from>
    <xdr:to>
      <xdr:col>28</xdr:col>
      <xdr:colOff>107949</xdr:colOff>
      <xdr:row>13</xdr:row>
      <xdr:rowOff>187324</xdr:rowOff>
    </xdr:to>
    <xdr:sp macro="" textlink="">
      <xdr:nvSpPr>
        <xdr:cNvPr id="16" name="Ellipse 15">
          <a:extLst>
            <a:ext uri="{FF2B5EF4-FFF2-40B4-BE49-F238E27FC236}">
              <a16:creationId xmlns:a16="http://schemas.microsoft.com/office/drawing/2014/main" xmlns="" id="{D989571F-BFDE-41B4-A5DE-BDD456BB369B}"/>
            </a:ext>
          </a:extLst>
        </xdr:cNvPr>
        <xdr:cNvSpPr/>
      </xdr:nvSpPr>
      <xdr:spPr bwMode="auto">
        <a:xfrm>
          <a:off x="11147424" y="25780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14</a:t>
          </a:r>
        </a:p>
      </xdr:txBody>
    </xdr:sp>
    <xdr:clientData/>
  </xdr:twoCellAnchor>
  <xdr:twoCellAnchor editAs="oneCell">
    <xdr:from>
      <xdr:col>27</xdr:col>
      <xdr:colOff>165099</xdr:colOff>
      <xdr:row>13</xdr:row>
      <xdr:rowOff>187324</xdr:rowOff>
    </xdr:from>
    <xdr:to>
      <xdr:col>28</xdr:col>
      <xdr:colOff>107949</xdr:colOff>
      <xdr:row>14</xdr:row>
      <xdr:rowOff>187324</xdr:rowOff>
    </xdr:to>
    <xdr:sp macro="" textlink="">
      <xdr:nvSpPr>
        <xdr:cNvPr id="17" name="Ellipse 16">
          <a:extLst>
            <a:ext uri="{FF2B5EF4-FFF2-40B4-BE49-F238E27FC236}">
              <a16:creationId xmlns:a16="http://schemas.microsoft.com/office/drawing/2014/main" xmlns="" id="{E80C53DB-A1DC-466E-B22C-E45AE7732BEB}"/>
            </a:ext>
          </a:extLst>
        </xdr:cNvPr>
        <xdr:cNvSpPr/>
      </xdr:nvSpPr>
      <xdr:spPr bwMode="auto">
        <a:xfrm>
          <a:off x="11147424" y="27685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15</a:t>
          </a:r>
        </a:p>
      </xdr:txBody>
    </xdr:sp>
    <xdr:clientData/>
  </xdr:twoCellAnchor>
  <xdr:twoCellAnchor editAs="oneCell">
    <xdr:from>
      <xdr:col>27</xdr:col>
      <xdr:colOff>165099</xdr:colOff>
      <xdr:row>14</xdr:row>
      <xdr:rowOff>187324</xdr:rowOff>
    </xdr:from>
    <xdr:to>
      <xdr:col>28</xdr:col>
      <xdr:colOff>107949</xdr:colOff>
      <xdr:row>15</xdr:row>
      <xdr:rowOff>187324</xdr:rowOff>
    </xdr:to>
    <xdr:sp macro="" textlink="">
      <xdr:nvSpPr>
        <xdr:cNvPr id="18" name="Ellipse 17">
          <a:extLst>
            <a:ext uri="{FF2B5EF4-FFF2-40B4-BE49-F238E27FC236}">
              <a16:creationId xmlns:a16="http://schemas.microsoft.com/office/drawing/2014/main" xmlns="" id="{36AE1606-B04F-48AD-9377-684803FF01E2}"/>
            </a:ext>
          </a:extLst>
        </xdr:cNvPr>
        <xdr:cNvSpPr/>
      </xdr:nvSpPr>
      <xdr:spPr bwMode="auto">
        <a:xfrm>
          <a:off x="11147424" y="29590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16</a:t>
          </a:r>
        </a:p>
      </xdr:txBody>
    </xdr:sp>
    <xdr:clientData/>
  </xdr:twoCellAnchor>
  <xdr:twoCellAnchor editAs="oneCell">
    <xdr:from>
      <xdr:col>27</xdr:col>
      <xdr:colOff>165099</xdr:colOff>
      <xdr:row>15</xdr:row>
      <xdr:rowOff>187324</xdr:rowOff>
    </xdr:from>
    <xdr:to>
      <xdr:col>28</xdr:col>
      <xdr:colOff>107949</xdr:colOff>
      <xdr:row>16</xdr:row>
      <xdr:rowOff>187324</xdr:rowOff>
    </xdr:to>
    <xdr:sp macro="" textlink="">
      <xdr:nvSpPr>
        <xdr:cNvPr id="19" name="Ellipse 18">
          <a:extLst>
            <a:ext uri="{FF2B5EF4-FFF2-40B4-BE49-F238E27FC236}">
              <a16:creationId xmlns:a16="http://schemas.microsoft.com/office/drawing/2014/main" xmlns="" id="{0288E4B6-D7AA-4E7E-841C-359190B634AB}"/>
            </a:ext>
          </a:extLst>
        </xdr:cNvPr>
        <xdr:cNvSpPr/>
      </xdr:nvSpPr>
      <xdr:spPr bwMode="auto">
        <a:xfrm>
          <a:off x="11147424" y="31495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17</a:t>
          </a:r>
        </a:p>
      </xdr:txBody>
    </xdr:sp>
    <xdr:clientData/>
  </xdr:twoCellAnchor>
  <xdr:twoCellAnchor editAs="oneCell">
    <xdr:from>
      <xdr:col>27</xdr:col>
      <xdr:colOff>165099</xdr:colOff>
      <xdr:row>16</xdr:row>
      <xdr:rowOff>187324</xdr:rowOff>
    </xdr:from>
    <xdr:to>
      <xdr:col>28</xdr:col>
      <xdr:colOff>107949</xdr:colOff>
      <xdr:row>17</xdr:row>
      <xdr:rowOff>187324</xdr:rowOff>
    </xdr:to>
    <xdr:sp macro="" textlink="">
      <xdr:nvSpPr>
        <xdr:cNvPr id="20" name="Ellipse 19">
          <a:extLst>
            <a:ext uri="{FF2B5EF4-FFF2-40B4-BE49-F238E27FC236}">
              <a16:creationId xmlns:a16="http://schemas.microsoft.com/office/drawing/2014/main" xmlns="" id="{2455EDB3-8CA9-4324-8981-5C897F7FCCDA}"/>
            </a:ext>
          </a:extLst>
        </xdr:cNvPr>
        <xdr:cNvSpPr/>
      </xdr:nvSpPr>
      <xdr:spPr bwMode="auto">
        <a:xfrm>
          <a:off x="11147424" y="33400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18</a:t>
          </a:r>
        </a:p>
      </xdr:txBody>
    </xdr:sp>
    <xdr:clientData/>
  </xdr:twoCellAnchor>
  <xdr:twoCellAnchor editAs="oneCell">
    <xdr:from>
      <xdr:col>27</xdr:col>
      <xdr:colOff>165099</xdr:colOff>
      <xdr:row>17</xdr:row>
      <xdr:rowOff>187324</xdr:rowOff>
    </xdr:from>
    <xdr:to>
      <xdr:col>28</xdr:col>
      <xdr:colOff>107949</xdr:colOff>
      <xdr:row>18</xdr:row>
      <xdr:rowOff>187324</xdr:rowOff>
    </xdr:to>
    <xdr:sp macro="" textlink="">
      <xdr:nvSpPr>
        <xdr:cNvPr id="21" name="Ellipse 20">
          <a:extLst>
            <a:ext uri="{FF2B5EF4-FFF2-40B4-BE49-F238E27FC236}">
              <a16:creationId xmlns:a16="http://schemas.microsoft.com/office/drawing/2014/main" xmlns="" id="{091CF295-C430-4635-949F-950F10648F68}"/>
            </a:ext>
          </a:extLst>
        </xdr:cNvPr>
        <xdr:cNvSpPr/>
      </xdr:nvSpPr>
      <xdr:spPr bwMode="auto">
        <a:xfrm>
          <a:off x="11147424" y="35305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19</a:t>
          </a:r>
        </a:p>
      </xdr:txBody>
    </xdr:sp>
    <xdr:clientData/>
  </xdr:twoCellAnchor>
  <xdr:twoCellAnchor editAs="oneCell">
    <xdr:from>
      <xdr:col>29</xdr:col>
      <xdr:colOff>58830</xdr:colOff>
      <xdr:row>8</xdr:row>
      <xdr:rowOff>163232</xdr:rowOff>
    </xdr:from>
    <xdr:to>
      <xdr:col>30</xdr:col>
      <xdr:colOff>2801</xdr:colOff>
      <xdr:row>9</xdr:row>
      <xdr:rowOff>163232</xdr:rowOff>
    </xdr:to>
    <xdr:sp macro="" textlink="">
      <xdr:nvSpPr>
        <xdr:cNvPr id="22" name="Ellipse 21">
          <a:extLst>
            <a:ext uri="{FF2B5EF4-FFF2-40B4-BE49-F238E27FC236}">
              <a16:creationId xmlns:a16="http://schemas.microsoft.com/office/drawing/2014/main" xmlns="" id="{4125EAC9-B5AA-4052-B4A0-973EC302F92B}"/>
            </a:ext>
          </a:extLst>
        </xdr:cNvPr>
        <xdr:cNvSpPr/>
      </xdr:nvSpPr>
      <xdr:spPr bwMode="auto">
        <a:xfrm>
          <a:off x="11536455" y="1792007"/>
          <a:ext cx="191621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20</a:t>
          </a:r>
        </a:p>
      </xdr:txBody>
    </xdr:sp>
    <xdr:clientData/>
  </xdr:twoCellAnchor>
  <xdr:twoCellAnchor editAs="oneCell">
    <xdr:from>
      <xdr:col>29</xdr:col>
      <xdr:colOff>47624</xdr:colOff>
      <xdr:row>10</xdr:row>
      <xdr:rowOff>6349</xdr:rowOff>
    </xdr:from>
    <xdr:to>
      <xdr:col>29</xdr:col>
      <xdr:colOff>238124</xdr:colOff>
      <xdr:row>11</xdr:row>
      <xdr:rowOff>6349</xdr:rowOff>
    </xdr:to>
    <xdr:sp macro="" textlink="">
      <xdr:nvSpPr>
        <xdr:cNvPr id="23" name="Ellipse 22">
          <a:extLst>
            <a:ext uri="{FF2B5EF4-FFF2-40B4-BE49-F238E27FC236}">
              <a16:creationId xmlns:a16="http://schemas.microsoft.com/office/drawing/2014/main" xmlns="" id="{E80DCA13-2159-4A98-9D5C-8E94FB666A81}"/>
            </a:ext>
          </a:extLst>
        </xdr:cNvPr>
        <xdr:cNvSpPr/>
      </xdr:nvSpPr>
      <xdr:spPr bwMode="auto">
        <a:xfrm>
          <a:off x="11525249" y="201612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21</a:t>
          </a:r>
        </a:p>
      </xdr:txBody>
    </xdr:sp>
    <xdr:clientData/>
  </xdr:twoCellAnchor>
  <xdr:twoCellAnchor editAs="oneCell">
    <xdr:from>
      <xdr:col>29</xdr:col>
      <xdr:colOff>47624</xdr:colOff>
      <xdr:row>11</xdr:row>
      <xdr:rowOff>6349</xdr:rowOff>
    </xdr:from>
    <xdr:to>
      <xdr:col>29</xdr:col>
      <xdr:colOff>238124</xdr:colOff>
      <xdr:row>12</xdr:row>
      <xdr:rowOff>6349</xdr:rowOff>
    </xdr:to>
    <xdr:sp macro="" textlink="">
      <xdr:nvSpPr>
        <xdr:cNvPr id="24" name="Ellipse 23">
          <a:extLst>
            <a:ext uri="{FF2B5EF4-FFF2-40B4-BE49-F238E27FC236}">
              <a16:creationId xmlns:a16="http://schemas.microsoft.com/office/drawing/2014/main" xmlns="" id="{57DFD5AF-5D3D-496A-B897-ACE63FE7429D}"/>
            </a:ext>
          </a:extLst>
        </xdr:cNvPr>
        <xdr:cNvSpPr/>
      </xdr:nvSpPr>
      <xdr:spPr bwMode="auto">
        <a:xfrm>
          <a:off x="11525249" y="220662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22</a:t>
          </a:r>
        </a:p>
      </xdr:txBody>
    </xdr:sp>
    <xdr:clientData/>
  </xdr:twoCellAnchor>
  <xdr:twoCellAnchor editAs="oneCell">
    <xdr:from>
      <xdr:col>29</xdr:col>
      <xdr:colOff>47624</xdr:colOff>
      <xdr:row>12</xdr:row>
      <xdr:rowOff>6349</xdr:rowOff>
    </xdr:from>
    <xdr:to>
      <xdr:col>29</xdr:col>
      <xdr:colOff>238124</xdr:colOff>
      <xdr:row>13</xdr:row>
      <xdr:rowOff>6349</xdr:rowOff>
    </xdr:to>
    <xdr:sp macro="" textlink="">
      <xdr:nvSpPr>
        <xdr:cNvPr id="25" name="Ellipse 24">
          <a:extLst>
            <a:ext uri="{FF2B5EF4-FFF2-40B4-BE49-F238E27FC236}">
              <a16:creationId xmlns:a16="http://schemas.microsoft.com/office/drawing/2014/main" xmlns="" id="{D122A543-4858-464F-96DB-4D6281B5384D}"/>
            </a:ext>
          </a:extLst>
        </xdr:cNvPr>
        <xdr:cNvSpPr/>
      </xdr:nvSpPr>
      <xdr:spPr bwMode="auto">
        <a:xfrm>
          <a:off x="11525249" y="239712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23</a:t>
          </a:r>
        </a:p>
      </xdr:txBody>
    </xdr:sp>
    <xdr:clientData/>
  </xdr:twoCellAnchor>
  <xdr:twoCellAnchor editAs="oneCell">
    <xdr:from>
      <xdr:col>29</xdr:col>
      <xdr:colOff>47624</xdr:colOff>
      <xdr:row>13</xdr:row>
      <xdr:rowOff>6349</xdr:rowOff>
    </xdr:from>
    <xdr:to>
      <xdr:col>29</xdr:col>
      <xdr:colOff>238124</xdr:colOff>
      <xdr:row>14</xdr:row>
      <xdr:rowOff>6349</xdr:rowOff>
    </xdr:to>
    <xdr:sp macro="" textlink="">
      <xdr:nvSpPr>
        <xdr:cNvPr id="26" name="Ellipse 25">
          <a:extLst>
            <a:ext uri="{FF2B5EF4-FFF2-40B4-BE49-F238E27FC236}">
              <a16:creationId xmlns:a16="http://schemas.microsoft.com/office/drawing/2014/main" xmlns="" id="{E69ADEDB-04DE-405A-ADAA-5B4C110EA960}"/>
            </a:ext>
          </a:extLst>
        </xdr:cNvPr>
        <xdr:cNvSpPr/>
      </xdr:nvSpPr>
      <xdr:spPr bwMode="auto">
        <a:xfrm>
          <a:off x="11525249" y="258762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24</a:t>
          </a:r>
        </a:p>
      </xdr:txBody>
    </xdr:sp>
    <xdr:clientData/>
  </xdr:twoCellAnchor>
  <xdr:twoCellAnchor editAs="oneCell">
    <xdr:from>
      <xdr:col>29</xdr:col>
      <xdr:colOff>47624</xdr:colOff>
      <xdr:row>14</xdr:row>
      <xdr:rowOff>6349</xdr:rowOff>
    </xdr:from>
    <xdr:to>
      <xdr:col>29</xdr:col>
      <xdr:colOff>238124</xdr:colOff>
      <xdr:row>15</xdr:row>
      <xdr:rowOff>6349</xdr:rowOff>
    </xdr:to>
    <xdr:sp macro="" textlink="">
      <xdr:nvSpPr>
        <xdr:cNvPr id="27" name="Ellipse 26">
          <a:extLst>
            <a:ext uri="{FF2B5EF4-FFF2-40B4-BE49-F238E27FC236}">
              <a16:creationId xmlns:a16="http://schemas.microsoft.com/office/drawing/2014/main" xmlns="" id="{9C8239D0-CB29-4A36-BDC2-254D135E903E}"/>
            </a:ext>
          </a:extLst>
        </xdr:cNvPr>
        <xdr:cNvSpPr/>
      </xdr:nvSpPr>
      <xdr:spPr bwMode="auto">
        <a:xfrm>
          <a:off x="11525249" y="277812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25</a:t>
          </a:r>
        </a:p>
      </xdr:txBody>
    </xdr:sp>
    <xdr:clientData/>
  </xdr:twoCellAnchor>
  <xdr:twoCellAnchor editAs="oneCell">
    <xdr:from>
      <xdr:col>29</xdr:col>
      <xdr:colOff>47624</xdr:colOff>
      <xdr:row>15</xdr:row>
      <xdr:rowOff>6349</xdr:rowOff>
    </xdr:from>
    <xdr:to>
      <xdr:col>29</xdr:col>
      <xdr:colOff>238124</xdr:colOff>
      <xdr:row>16</xdr:row>
      <xdr:rowOff>6349</xdr:rowOff>
    </xdr:to>
    <xdr:sp macro="" textlink="">
      <xdr:nvSpPr>
        <xdr:cNvPr id="28" name="Ellipse 27">
          <a:extLst>
            <a:ext uri="{FF2B5EF4-FFF2-40B4-BE49-F238E27FC236}">
              <a16:creationId xmlns:a16="http://schemas.microsoft.com/office/drawing/2014/main" xmlns="" id="{3C21B650-CC7E-47A6-8875-28657BDDFDCE}"/>
            </a:ext>
          </a:extLst>
        </xdr:cNvPr>
        <xdr:cNvSpPr/>
      </xdr:nvSpPr>
      <xdr:spPr bwMode="auto">
        <a:xfrm>
          <a:off x="11525249" y="296862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26</a:t>
          </a:r>
        </a:p>
      </xdr:txBody>
    </xdr:sp>
    <xdr:clientData/>
  </xdr:twoCellAnchor>
  <xdr:twoCellAnchor editAs="oneCell">
    <xdr:from>
      <xdr:col>29</xdr:col>
      <xdr:colOff>47624</xdr:colOff>
      <xdr:row>16</xdr:row>
      <xdr:rowOff>6349</xdr:rowOff>
    </xdr:from>
    <xdr:to>
      <xdr:col>29</xdr:col>
      <xdr:colOff>238124</xdr:colOff>
      <xdr:row>17</xdr:row>
      <xdr:rowOff>6349</xdr:rowOff>
    </xdr:to>
    <xdr:sp macro="" textlink="">
      <xdr:nvSpPr>
        <xdr:cNvPr id="29" name="Ellipse 28">
          <a:extLst>
            <a:ext uri="{FF2B5EF4-FFF2-40B4-BE49-F238E27FC236}">
              <a16:creationId xmlns:a16="http://schemas.microsoft.com/office/drawing/2014/main" xmlns="" id="{CF9D542D-1624-47C0-B35F-8775E2F7C17F}"/>
            </a:ext>
          </a:extLst>
        </xdr:cNvPr>
        <xdr:cNvSpPr/>
      </xdr:nvSpPr>
      <xdr:spPr bwMode="auto">
        <a:xfrm>
          <a:off x="11525249" y="315912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27</a:t>
          </a:r>
        </a:p>
      </xdr:txBody>
    </xdr:sp>
    <xdr:clientData/>
  </xdr:twoCellAnchor>
  <xdr:twoCellAnchor editAs="oneCell">
    <xdr:from>
      <xdr:col>29</xdr:col>
      <xdr:colOff>47624</xdr:colOff>
      <xdr:row>17</xdr:row>
      <xdr:rowOff>6349</xdr:rowOff>
    </xdr:from>
    <xdr:to>
      <xdr:col>29</xdr:col>
      <xdr:colOff>238124</xdr:colOff>
      <xdr:row>18</xdr:row>
      <xdr:rowOff>6349</xdr:rowOff>
    </xdr:to>
    <xdr:sp macro="" textlink="">
      <xdr:nvSpPr>
        <xdr:cNvPr id="30" name="Ellipse 29">
          <a:extLst>
            <a:ext uri="{FF2B5EF4-FFF2-40B4-BE49-F238E27FC236}">
              <a16:creationId xmlns:a16="http://schemas.microsoft.com/office/drawing/2014/main" xmlns="" id="{C46723A1-08EC-4EA2-9F70-21DD15F0E85B}"/>
            </a:ext>
          </a:extLst>
        </xdr:cNvPr>
        <xdr:cNvSpPr/>
      </xdr:nvSpPr>
      <xdr:spPr bwMode="auto">
        <a:xfrm>
          <a:off x="11525249" y="334962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28</a:t>
          </a:r>
        </a:p>
      </xdr:txBody>
    </xdr:sp>
    <xdr:clientData/>
  </xdr:twoCellAnchor>
  <xdr:twoCellAnchor editAs="oneCell">
    <xdr:from>
      <xdr:col>29</xdr:col>
      <xdr:colOff>47624</xdr:colOff>
      <xdr:row>18</xdr:row>
      <xdr:rowOff>6349</xdr:rowOff>
    </xdr:from>
    <xdr:to>
      <xdr:col>29</xdr:col>
      <xdr:colOff>238124</xdr:colOff>
      <xdr:row>19</xdr:row>
      <xdr:rowOff>6349</xdr:rowOff>
    </xdr:to>
    <xdr:sp macro="" textlink="">
      <xdr:nvSpPr>
        <xdr:cNvPr id="31" name="Ellipse 30">
          <a:extLst>
            <a:ext uri="{FF2B5EF4-FFF2-40B4-BE49-F238E27FC236}">
              <a16:creationId xmlns:a16="http://schemas.microsoft.com/office/drawing/2014/main" xmlns="" id="{B88F3FCF-D501-49EA-9278-AE8DBA73A46B}"/>
            </a:ext>
          </a:extLst>
        </xdr:cNvPr>
        <xdr:cNvSpPr/>
      </xdr:nvSpPr>
      <xdr:spPr bwMode="auto">
        <a:xfrm>
          <a:off x="11525249" y="354012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29</a:t>
          </a:r>
        </a:p>
      </xdr:txBody>
    </xdr:sp>
    <xdr:clientData/>
  </xdr:twoCellAnchor>
  <xdr:twoCellAnchor editAs="oneCell">
    <xdr:from>
      <xdr:col>30</xdr:col>
      <xdr:colOff>165099</xdr:colOff>
      <xdr:row>13</xdr:row>
      <xdr:rowOff>15874</xdr:rowOff>
    </xdr:from>
    <xdr:to>
      <xdr:col>31</xdr:col>
      <xdr:colOff>107949</xdr:colOff>
      <xdr:row>14</xdr:row>
      <xdr:rowOff>15874</xdr:rowOff>
    </xdr:to>
    <xdr:sp macro="" textlink="">
      <xdr:nvSpPr>
        <xdr:cNvPr id="32" name="Ellipse 31">
          <a:extLst>
            <a:ext uri="{FF2B5EF4-FFF2-40B4-BE49-F238E27FC236}">
              <a16:creationId xmlns:a16="http://schemas.microsoft.com/office/drawing/2014/main" xmlns="" id="{FFE3DA33-A836-4F14-B5C0-E2DEA821B5FC}"/>
            </a:ext>
          </a:extLst>
        </xdr:cNvPr>
        <xdr:cNvSpPr/>
      </xdr:nvSpPr>
      <xdr:spPr bwMode="auto">
        <a:xfrm>
          <a:off x="11890374" y="259714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34</a:t>
          </a:r>
        </a:p>
      </xdr:txBody>
    </xdr:sp>
    <xdr:clientData/>
  </xdr:twoCellAnchor>
  <xdr:twoCellAnchor editAs="oneCell">
    <xdr:from>
      <xdr:col>30</xdr:col>
      <xdr:colOff>165099</xdr:colOff>
      <xdr:row>14</xdr:row>
      <xdr:rowOff>15874</xdr:rowOff>
    </xdr:from>
    <xdr:to>
      <xdr:col>31</xdr:col>
      <xdr:colOff>107949</xdr:colOff>
      <xdr:row>15</xdr:row>
      <xdr:rowOff>15874</xdr:rowOff>
    </xdr:to>
    <xdr:sp macro="" textlink="">
      <xdr:nvSpPr>
        <xdr:cNvPr id="33" name="Ellipse 32">
          <a:extLst>
            <a:ext uri="{FF2B5EF4-FFF2-40B4-BE49-F238E27FC236}">
              <a16:creationId xmlns:a16="http://schemas.microsoft.com/office/drawing/2014/main" xmlns="" id="{49FAC88F-E06D-48A1-80EB-7761C5D0885F}"/>
            </a:ext>
          </a:extLst>
        </xdr:cNvPr>
        <xdr:cNvSpPr/>
      </xdr:nvSpPr>
      <xdr:spPr bwMode="auto">
        <a:xfrm>
          <a:off x="11890374" y="278764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35</a:t>
          </a:r>
        </a:p>
      </xdr:txBody>
    </xdr:sp>
    <xdr:clientData/>
  </xdr:twoCellAnchor>
  <xdr:twoCellAnchor editAs="oneCell">
    <xdr:from>
      <xdr:col>30</xdr:col>
      <xdr:colOff>165099</xdr:colOff>
      <xdr:row>15</xdr:row>
      <xdr:rowOff>15874</xdr:rowOff>
    </xdr:from>
    <xdr:to>
      <xdr:col>31</xdr:col>
      <xdr:colOff>107949</xdr:colOff>
      <xdr:row>16</xdr:row>
      <xdr:rowOff>15874</xdr:rowOff>
    </xdr:to>
    <xdr:sp macro="" textlink="">
      <xdr:nvSpPr>
        <xdr:cNvPr id="34" name="Ellipse 33">
          <a:extLst>
            <a:ext uri="{FF2B5EF4-FFF2-40B4-BE49-F238E27FC236}">
              <a16:creationId xmlns:a16="http://schemas.microsoft.com/office/drawing/2014/main" xmlns="" id="{FFC844EA-3A67-4E2D-93B4-199D127C106A}"/>
            </a:ext>
          </a:extLst>
        </xdr:cNvPr>
        <xdr:cNvSpPr/>
      </xdr:nvSpPr>
      <xdr:spPr bwMode="auto">
        <a:xfrm>
          <a:off x="11890374" y="297814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36</a:t>
          </a:r>
        </a:p>
      </xdr:txBody>
    </xdr:sp>
    <xdr:clientData/>
  </xdr:twoCellAnchor>
  <xdr:twoCellAnchor editAs="oneCell">
    <xdr:from>
      <xdr:col>30</xdr:col>
      <xdr:colOff>165099</xdr:colOff>
      <xdr:row>16</xdr:row>
      <xdr:rowOff>15874</xdr:rowOff>
    </xdr:from>
    <xdr:to>
      <xdr:col>31</xdr:col>
      <xdr:colOff>107949</xdr:colOff>
      <xdr:row>17</xdr:row>
      <xdr:rowOff>15874</xdr:rowOff>
    </xdr:to>
    <xdr:sp macro="" textlink="">
      <xdr:nvSpPr>
        <xdr:cNvPr id="35" name="Ellipse 34">
          <a:extLst>
            <a:ext uri="{FF2B5EF4-FFF2-40B4-BE49-F238E27FC236}">
              <a16:creationId xmlns:a16="http://schemas.microsoft.com/office/drawing/2014/main" xmlns="" id="{75E7C5DF-48F6-4D84-BD92-EE2BB1404490}"/>
            </a:ext>
          </a:extLst>
        </xdr:cNvPr>
        <xdr:cNvSpPr/>
      </xdr:nvSpPr>
      <xdr:spPr bwMode="auto">
        <a:xfrm>
          <a:off x="11890374" y="316864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37</a:t>
          </a:r>
        </a:p>
      </xdr:txBody>
    </xdr:sp>
    <xdr:clientData/>
  </xdr:twoCellAnchor>
  <xdr:twoCellAnchor editAs="oneCell">
    <xdr:from>
      <xdr:col>30</xdr:col>
      <xdr:colOff>165099</xdr:colOff>
      <xdr:row>17</xdr:row>
      <xdr:rowOff>15874</xdr:rowOff>
    </xdr:from>
    <xdr:to>
      <xdr:col>31</xdr:col>
      <xdr:colOff>107949</xdr:colOff>
      <xdr:row>18</xdr:row>
      <xdr:rowOff>15874</xdr:rowOff>
    </xdr:to>
    <xdr:sp macro="" textlink="">
      <xdr:nvSpPr>
        <xdr:cNvPr id="36" name="Ellipse 35">
          <a:extLst>
            <a:ext uri="{FF2B5EF4-FFF2-40B4-BE49-F238E27FC236}">
              <a16:creationId xmlns:a16="http://schemas.microsoft.com/office/drawing/2014/main" xmlns="" id="{AA71DC04-5E7B-4CE6-93C1-52368B8AFCD5}"/>
            </a:ext>
          </a:extLst>
        </xdr:cNvPr>
        <xdr:cNvSpPr/>
      </xdr:nvSpPr>
      <xdr:spPr bwMode="auto">
        <a:xfrm>
          <a:off x="11890374" y="335914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38</a:t>
          </a:r>
        </a:p>
      </xdr:txBody>
    </xdr:sp>
    <xdr:clientData/>
  </xdr:twoCellAnchor>
  <xdr:twoCellAnchor editAs="oneCell">
    <xdr:from>
      <xdr:col>30</xdr:col>
      <xdr:colOff>165099</xdr:colOff>
      <xdr:row>18</xdr:row>
      <xdr:rowOff>15874</xdr:rowOff>
    </xdr:from>
    <xdr:to>
      <xdr:col>31</xdr:col>
      <xdr:colOff>107949</xdr:colOff>
      <xdr:row>19</xdr:row>
      <xdr:rowOff>15874</xdr:rowOff>
    </xdr:to>
    <xdr:sp macro="" textlink="">
      <xdr:nvSpPr>
        <xdr:cNvPr id="37" name="Ellipse 36">
          <a:extLst>
            <a:ext uri="{FF2B5EF4-FFF2-40B4-BE49-F238E27FC236}">
              <a16:creationId xmlns:a16="http://schemas.microsoft.com/office/drawing/2014/main" xmlns="" id="{BDD7C7D4-6719-463A-A41C-DFEBBA45B15C}"/>
            </a:ext>
          </a:extLst>
        </xdr:cNvPr>
        <xdr:cNvSpPr/>
      </xdr:nvSpPr>
      <xdr:spPr bwMode="auto">
        <a:xfrm>
          <a:off x="11890374" y="354964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39</a:t>
          </a:r>
        </a:p>
      </xdr:txBody>
    </xdr:sp>
    <xdr:clientData/>
  </xdr:twoCellAnchor>
  <xdr:twoCellAnchor editAs="oneCell">
    <xdr:from>
      <xdr:col>32</xdr:col>
      <xdr:colOff>58830</xdr:colOff>
      <xdr:row>8</xdr:row>
      <xdr:rowOff>131294</xdr:rowOff>
    </xdr:from>
    <xdr:to>
      <xdr:col>33</xdr:col>
      <xdr:colOff>2801</xdr:colOff>
      <xdr:row>9</xdr:row>
      <xdr:rowOff>131294</xdr:rowOff>
    </xdr:to>
    <xdr:sp macro="" textlink="">
      <xdr:nvSpPr>
        <xdr:cNvPr id="38" name="Ellipse 37">
          <a:extLst>
            <a:ext uri="{FF2B5EF4-FFF2-40B4-BE49-F238E27FC236}">
              <a16:creationId xmlns:a16="http://schemas.microsoft.com/office/drawing/2014/main" xmlns="" id="{0D5F74EE-D7D4-4655-A568-BABCBFB369C0}"/>
            </a:ext>
          </a:extLst>
        </xdr:cNvPr>
        <xdr:cNvSpPr/>
      </xdr:nvSpPr>
      <xdr:spPr bwMode="auto">
        <a:xfrm>
          <a:off x="12279405" y="1760069"/>
          <a:ext cx="191621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40</a:t>
          </a:r>
        </a:p>
      </xdr:txBody>
    </xdr:sp>
    <xdr:clientData/>
  </xdr:twoCellAnchor>
  <xdr:twoCellAnchor editAs="oneCell">
    <xdr:from>
      <xdr:col>32</xdr:col>
      <xdr:colOff>47624</xdr:colOff>
      <xdr:row>9</xdr:row>
      <xdr:rowOff>131295</xdr:rowOff>
    </xdr:from>
    <xdr:to>
      <xdr:col>32</xdr:col>
      <xdr:colOff>238124</xdr:colOff>
      <xdr:row>10</xdr:row>
      <xdr:rowOff>131295</xdr:rowOff>
    </xdr:to>
    <xdr:sp macro="" textlink="">
      <xdr:nvSpPr>
        <xdr:cNvPr id="39" name="Ellipse 38">
          <a:extLst>
            <a:ext uri="{FF2B5EF4-FFF2-40B4-BE49-F238E27FC236}">
              <a16:creationId xmlns:a16="http://schemas.microsoft.com/office/drawing/2014/main" xmlns="" id="{BCFC1AFD-5A83-40FD-A3B4-45EC0DFEAD5C}"/>
            </a:ext>
          </a:extLst>
        </xdr:cNvPr>
        <xdr:cNvSpPr/>
      </xdr:nvSpPr>
      <xdr:spPr bwMode="auto">
        <a:xfrm>
          <a:off x="12268199" y="1950570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41</a:t>
          </a:r>
        </a:p>
      </xdr:txBody>
    </xdr:sp>
    <xdr:clientData/>
  </xdr:twoCellAnchor>
  <xdr:twoCellAnchor editAs="oneCell">
    <xdr:from>
      <xdr:col>32</xdr:col>
      <xdr:colOff>47624</xdr:colOff>
      <xdr:row>10</xdr:row>
      <xdr:rowOff>187324</xdr:rowOff>
    </xdr:from>
    <xdr:to>
      <xdr:col>32</xdr:col>
      <xdr:colOff>238124</xdr:colOff>
      <xdr:row>11</xdr:row>
      <xdr:rowOff>187324</xdr:rowOff>
    </xdr:to>
    <xdr:sp macro="" textlink="">
      <xdr:nvSpPr>
        <xdr:cNvPr id="40" name="Ellipse 39">
          <a:extLst>
            <a:ext uri="{FF2B5EF4-FFF2-40B4-BE49-F238E27FC236}">
              <a16:creationId xmlns:a16="http://schemas.microsoft.com/office/drawing/2014/main" xmlns="" id="{30B68922-A511-4AB3-B26B-98DA2DD0B494}"/>
            </a:ext>
          </a:extLst>
        </xdr:cNvPr>
        <xdr:cNvSpPr/>
      </xdr:nvSpPr>
      <xdr:spPr bwMode="auto">
        <a:xfrm>
          <a:off x="12268199" y="21970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42</a:t>
          </a:r>
        </a:p>
      </xdr:txBody>
    </xdr:sp>
    <xdr:clientData/>
  </xdr:twoCellAnchor>
  <xdr:twoCellAnchor editAs="oneCell">
    <xdr:from>
      <xdr:col>32</xdr:col>
      <xdr:colOff>47624</xdr:colOff>
      <xdr:row>11</xdr:row>
      <xdr:rowOff>187324</xdr:rowOff>
    </xdr:from>
    <xdr:to>
      <xdr:col>32</xdr:col>
      <xdr:colOff>238124</xdr:colOff>
      <xdr:row>12</xdr:row>
      <xdr:rowOff>187324</xdr:rowOff>
    </xdr:to>
    <xdr:sp macro="" textlink="">
      <xdr:nvSpPr>
        <xdr:cNvPr id="41" name="Ellipse 40">
          <a:extLst>
            <a:ext uri="{FF2B5EF4-FFF2-40B4-BE49-F238E27FC236}">
              <a16:creationId xmlns:a16="http://schemas.microsoft.com/office/drawing/2014/main" xmlns="" id="{7C71FC0A-CEEC-42C1-B39F-A2D90FDCE6EE}"/>
            </a:ext>
          </a:extLst>
        </xdr:cNvPr>
        <xdr:cNvSpPr/>
      </xdr:nvSpPr>
      <xdr:spPr bwMode="auto">
        <a:xfrm>
          <a:off x="12268199" y="23875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43</a:t>
          </a:r>
        </a:p>
      </xdr:txBody>
    </xdr:sp>
    <xdr:clientData/>
  </xdr:twoCellAnchor>
  <xdr:twoCellAnchor editAs="oneCell">
    <xdr:from>
      <xdr:col>32</xdr:col>
      <xdr:colOff>47624</xdr:colOff>
      <xdr:row>12</xdr:row>
      <xdr:rowOff>187324</xdr:rowOff>
    </xdr:from>
    <xdr:to>
      <xdr:col>32</xdr:col>
      <xdr:colOff>238124</xdr:colOff>
      <xdr:row>13</xdr:row>
      <xdr:rowOff>187324</xdr:rowOff>
    </xdr:to>
    <xdr:sp macro="" textlink="">
      <xdr:nvSpPr>
        <xdr:cNvPr id="42" name="Ellipse 41">
          <a:extLst>
            <a:ext uri="{FF2B5EF4-FFF2-40B4-BE49-F238E27FC236}">
              <a16:creationId xmlns:a16="http://schemas.microsoft.com/office/drawing/2014/main" xmlns="" id="{B259C345-A88E-4C83-87BC-EE552ED8177B}"/>
            </a:ext>
          </a:extLst>
        </xdr:cNvPr>
        <xdr:cNvSpPr/>
      </xdr:nvSpPr>
      <xdr:spPr bwMode="auto">
        <a:xfrm>
          <a:off x="12268199" y="25780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44</a:t>
          </a:r>
        </a:p>
      </xdr:txBody>
    </xdr:sp>
    <xdr:clientData/>
  </xdr:twoCellAnchor>
  <xdr:twoCellAnchor editAs="oneCell">
    <xdr:from>
      <xdr:col>32</xdr:col>
      <xdr:colOff>47624</xdr:colOff>
      <xdr:row>13</xdr:row>
      <xdr:rowOff>187324</xdr:rowOff>
    </xdr:from>
    <xdr:to>
      <xdr:col>32</xdr:col>
      <xdr:colOff>238124</xdr:colOff>
      <xdr:row>14</xdr:row>
      <xdr:rowOff>187324</xdr:rowOff>
    </xdr:to>
    <xdr:sp macro="" textlink="">
      <xdr:nvSpPr>
        <xdr:cNvPr id="43" name="Ellipse 42">
          <a:extLst>
            <a:ext uri="{FF2B5EF4-FFF2-40B4-BE49-F238E27FC236}">
              <a16:creationId xmlns:a16="http://schemas.microsoft.com/office/drawing/2014/main" xmlns="" id="{837531ED-B6CA-46B2-89E6-7DD71501D6F3}"/>
            </a:ext>
          </a:extLst>
        </xdr:cNvPr>
        <xdr:cNvSpPr/>
      </xdr:nvSpPr>
      <xdr:spPr bwMode="auto">
        <a:xfrm>
          <a:off x="12268199" y="27685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45</a:t>
          </a:r>
        </a:p>
      </xdr:txBody>
    </xdr:sp>
    <xdr:clientData/>
  </xdr:twoCellAnchor>
  <xdr:twoCellAnchor editAs="oneCell">
    <xdr:from>
      <xdr:col>32</xdr:col>
      <xdr:colOff>47624</xdr:colOff>
      <xdr:row>14</xdr:row>
      <xdr:rowOff>187324</xdr:rowOff>
    </xdr:from>
    <xdr:to>
      <xdr:col>32</xdr:col>
      <xdr:colOff>238124</xdr:colOff>
      <xdr:row>15</xdr:row>
      <xdr:rowOff>187324</xdr:rowOff>
    </xdr:to>
    <xdr:sp macro="" textlink="">
      <xdr:nvSpPr>
        <xdr:cNvPr id="44" name="Ellipse 43">
          <a:extLst>
            <a:ext uri="{FF2B5EF4-FFF2-40B4-BE49-F238E27FC236}">
              <a16:creationId xmlns:a16="http://schemas.microsoft.com/office/drawing/2014/main" xmlns="" id="{8B54EBB1-C441-4458-AA11-34F50EB9DF15}"/>
            </a:ext>
          </a:extLst>
        </xdr:cNvPr>
        <xdr:cNvSpPr/>
      </xdr:nvSpPr>
      <xdr:spPr bwMode="auto">
        <a:xfrm>
          <a:off x="12268199" y="29590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46</a:t>
          </a:r>
        </a:p>
      </xdr:txBody>
    </xdr:sp>
    <xdr:clientData/>
  </xdr:twoCellAnchor>
  <xdr:twoCellAnchor editAs="oneCell">
    <xdr:from>
      <xdr:col>32</xdr:col>
      <xdr:colOff>47624</xdr:colOff>
      <xdr:row>15</xdr:row>
      <xdr:rowOff>187324</xdr:rowOff>
    </xdr:from>
    <xdr:to>
      <xdr:col>32</xdr:col>
      <xdr:colOff>238124</xdr:colOff>
      <xdr:row>16</xdr:row>
      <xdr:rowOff>187324</xdr:rowOff>
    </xdr:to>
    <xdr:sp macro="" textlink="">
      <xdr:nvSpPr>
        <xdr:cNvPr id="45" name="Ellipse 44">
          <a:extLst>
            <a:ext uri="{FF2B5EF4-FFF2-40B4-BE49-F238E27FC236}">
              <a16:creationId xmlns:a16="http://schemas.microsoft.com/office/drawing/2014/main" xmlns="" id="{AEBC7C4E-2DF8-4701-B498-8865F8E23FCE}"/>
            </a:ext>
          </a:extLst>
        </xdr:cNvPr>
        <xdr:cNvSpPr/>
      </xdr:nvSpPr>
      <xdr:spPr bwMode="auto">
        <a:xfrm>
          <a:off x="12268199" y="31495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47</a:t>
          </a:r>
        </a:p>
      </xdr:txBody>
    </xdr:sp>
    <xdr:clientData/>
  </xdr:twoCellAnchor>
  <xdr:twoCellAnchor editAs="oneCell">
    <xdr:from>
      <xdr:col>32</xdr:col>
      <xdr:colOff>47624</xdr:colOff>
      <xdr:row>16</xdr:row>
      <xdr:rowOff>187324</xdr:rowOff>
    </xdr:from>
    <xdr:to>
      <xdr:col>32</xdr:col>
      <xdr:colOff>238124</xdr:colOff>
      <xdr:row>17</xdr:row>
      <xdr:rowOff>187324</xdr:rowOff>
    </xdr:to>
    <xdr:sp macro="" textlink="">
      <xdr:nvSpPr>
        <xdr:cNvPr id="46" name="Ellipse 45">
          <a:extLst>
            <a:ext uri="{FF2B5EF4-FFF2-40B4-BE49-F238E27FC236}">
              <a16:creationId xmlns:a16="http://schemas.microsoft.com/office/drawing/2014/main" xmlns="" id="{E0907B5F-19AC-418D-932D-A9E31F4810CB}"/>
            </a:ext>
          </a:extLst>
        </xdr:cNvPr>
        <xdr:cNvSpPr/>
      </xdr:nvSpPr>
      <xdr:spPr bwMode="auto">
        <a:xfrm>
          <a:off x="12268199" y="33400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48</a:t>
          </a:r>
        </a:p>
      </xdr:txBody>
    </xdr:sp>
    <xdr:clientData/>
  </xdr:twoCellAnchor>
  <xdr:twoCellAnchor editAs="oneCell">
    <xdr:from>
      <xdr:col>32</xdr:col>
      <xdr:colOff>47624</xdr:colOff>
      <xdr:row>17</xdr:row>
      <xdr:rowOff>187324</xdr:rowOff>
    </xdr:from>
    <xdr:to>
      <xdr:col>32</xdr:col>
      <xdr:colOff>238124</xdr:colOff>
      <xdr:row>18</xdr:row>
      <xdr:rowOff>187324</xdr:rowOff>
    </xdr:to>
    <xdr:sp macro="" textlink="">
      <xdr:nvSpPr>
        <xdr:cNvPr id="47" name="Ellipse 46">
          <a:extLst>
            <a:ext uri="{FF2B5EF4-FFF2-40B4-BE49-F238E27FC236}">
              <a16:creationId xmlns:a16="http://schemas.microsoft.com/office/drawing/2014/main" xmlns="" id="{5F990890-7759-4978-92DF-873C83D0301E}"/>
            </a:ext>
          </a:extLst>
        </xdr:cNvPr>
        <xdr:cNvSpPr/>
      </xdr:nvSpPr>
      <xdr:spPr bwMode="auto">
        <a:xfrm>
          <a:off x="12268199" y="35305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49</a:t>
          </a:r>
        </a:p>
      </xdr:txBody>
    </xdr:sp>
    <xdr:clientData/>
  </xdr:twoCellAnchor>
  <xdr:twoCellAnchor editAs="oneCell">
    <xdr:from>
      <xdr:col>30</xdr:col>
      <xdr:colOff>153893</xdr:colOff>
      <xdr:row>8</xdr:row>
      <xdr:rowOff>150345</xdr:rowOff>
    </xdr:from>
    <xdr:to>
      <xdr:col>31</xdr:col>
      <xdr:colOff>96743</xdr:colOff>
      <xdr:row>9</xdr:row>
      <xdr:rowOff>150345</xdr:rowOff>
    </xdr:to>
    <xdr:sp macro="" textlink="">
      <xdr:nvSpPr>
        <xdr:cNvPr id="48" name="Ellipse 47">
          <a:extLst>
            <a:ext uri="{FF2B5EF4-FFF2-40B4-BE49-F238E27FC236}">
              <a16:creationId xmlns:a16="http://schemas.microsoft.com/office/drawing/2014/main" xmlns="" id="{35EA6F6D-9150-4C5A-AE5B-89A35BC1306A}"/>
            </a:ext>
          </a:extLst>
        </xdr:cNvPr>
        <xdr:cNvSpPr/>
      </xdr:nvSpPr>
      <xdr:spPr bwMode="auto">
        <a:xfrm>
          <a:off x="11879168" y="1779120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30</a:t>
          </a:r>
        </a:p>
      </xdr:txBody>
    </xdr:sp>
    <xdr:clientData/>
  </xdr:twoCellAnchor>
  <xdr:twoCellAnchor editAs="oneCell">
    <xdr:from>
      <xdr:col>30</xdr:col>
      <xdr:colOff>165099</xdr:colOff>
      <xdr:row>10</xdr:row>
      <xdr:rowOff>15874</xdr:rowOff>
    </xdr:from>
    <xdr:to>
      <xdr:col>31</xdr:col>
      <xdr:colOff>107949</xdr:colOff>
      <xdr:row>11</xdr:row>
      <xdr:rowOff>15874</xdr:rowOff>
    </xdr:to>
    <xdr:sp macro="" textlink="">
      <xdr:nvSpPr>
        <xdr:cNvPr id="49" name="Ellipse 48">
          <a:extLst>
            <a:ext uri="{FF2B5EF4-FFF2-40B4-BE49-F238E27FC236}">
              <a16:creationId xmlns:a16="http://schemas.microsoft.com/office/drawing/2014/main" xmlns="" id="{46998F3F-9863-419C-8F64-11BCD554F902}"/>
            </a:ext>
          </a:extLst>
        </xdr:cNvPr>
        <xdr:cNvSpPr/>
      </xdr:nvSpPr>
      <xdr:spPr bwMode="auto">
        <a:xfrm>
          <a:off x="11890374" y="202564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31</a:t>
          </a:r>
        </a:p>
      </xdr:txBody>
    </xdr:sp>
    <xdr:clientData/>
  </xdr:twoCellAnchor>
  <xdr:twoCellAnchor editAs="oneCell">
    <xdr:from>
      <xdr:col>30</xdr:col>
      <xdr:colOff>165099</xdr:colOff>
      <xdr:row>11</xdr:row>
      <xdr:rowOff>15874</xdr:rowOff>
    </xdr:from>
    <xdr:to>
      <xdr:col>31</xdr:col>
      <xdr:colOff>107949</xdr:colOff>
      <xdr:row>12</xdr:row>
      <xdr:rowOff>15874</xdr:rowOff>
    </xdr:to>
    <xdr:sp macro="" textlink="">
      <xdr:nvSpPr>
        <xdr:cNvPr id="50" name="Ellipse 49">
          <a:extLst>
            <a:ext uri="{FF2B5EF4-FFF2-40B4-BE49-F238E27FC236}">
              <a16:creationId xmlns:a16="http://schemas.microsoft.com/office/drawing/2014/main" xmlns="" id="{F638DFBE-1518-4653-B186-38D448A724AF}"/>
            </a:ext>
          </a:extLst>
        </xdr:cNvPr>
        <xdr:cNvSpPr/>
      </xdr:nvSpPr>
      <xdr:spPr bwMode="auto">
        <a:xfrm>
          <a:off x="11890374" y="221614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32</a:t>
          </a:r>
        </a:p>
      </xdr:txBody>
    </xdr:sp>
    <xdr:clientData/>
  </xdr:twoCellAnchor>
  <xdr:twoCellAnchor editAs="oneCell">
    <xdr:from>
      <xdr:col>30</xdr:col>
      <xdr:colOff>165099</xdr:colOff>
      <xdr:row>12</xdr:row>
      <xdr:rowOff>15874</xdr:rowOff>
    </xdr:from>
    <xdr:to>
      <xdr:col>31</xdr:col>
      <xdr:colOff>107949</xdr:colOff>
      <xdr:row>13</xdr:row>
      <xdr:rowOff>15874</xdr:rowOff>
    </xdr:to>
    <xdr:sp macro="" textlink="">
      <xdr:nvSpPr>
        <xdr:cNvPr id="51" name="Ellipse 50">
          <a:extLst>
            <a:ext uri="{FF2B5EF4-FFF2-40B4-BE49-F238E27FC236}">
              <a16:creationId xmlns:a16="http://schemas.microsoft.com/office/drawing/2014/main" xmlns="" id="{39AC3DF2-4F5B-45A1-A516-4D9DFE30574E}"/>
            </a:ext>
          </a:extLst>
        </xdr:cNvPr>
        <xdr:cNvSpPr/>
      </xdr:nvSpPr>
      <xdr:spPr bwMode="auto">
        <a:xfrm>
          <a:off x="11890374" y="240664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33</a:t>
          </a:r>
        </a:p>
      </xdr:txBody>
    </xdr:sp>
    <xdr:clientData/>
  </xdr:twoCellAnchor>
  <xdr:twoCellAnchor editAs="oneCell">
    <xdr:from>
      <xdr:col>34</xdr:col>
      <xdr:colOff>152400</xdr:colOff>
      <xdr:row>7</xdr:row>
      <xdr:rowOff>9525</xdr:rowOff>
    </xdr:from>
    <xdr:to>
      <xdr:col>35</xdr:col>
      <xdr:colOff>95250</xdr:colOff>
      <xdr:row>8</xdr:row>
      <xdr:rowOff>9525</xdr:rowOff>
    </xdr:to>
    <xdr:sp macro="" textlink="">
      <xdr:nvSpPr>
        <xdr:cNvPr id="52" name="Ellipse 51">
          <a:extLst>
            <a:ext uri="{FF2B5EF4-FFF2-40B4-BE49-F238E27FC236}">
              <a16:creationId xmlns:a16="http://schemas.microsoft.com/office/drawing/2014/main" xmlns="" id="{1858B2F6-F133-4E8B-8BC9-D5D2C8D35572}"/>
            </a:ext>
          </a:extLst>
        </xdr:cNvPr>
        <xdr:cNvSpPr/>
      </xdr:nvSpPr>
      <xdr:spPr bwMode="auto">
        <a:xfrm>
          <a:off x="12868275" y="1447800"/>
          <a:ext cx="190500" cy="190500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A</a:t>
          </a:r>
        </a:p>
      </xdr:txBody>
    </xdr:sp>
    <xdr:clientData/>
  </xdr:twoCellAnchor>
  <xdr:twoCellAnchor editAs="oneCell">
    <xdr:from>
      <xdr:col>34</xdr:col>
      <xdr:colOff>152400</xdr:colOff>
      <xdr:row>10</xdr:row>
      <xdr:rowOff>9525</xdr:rowOff>
    </xdr:from>
    <xdr:to>
      <xdr:col>35</xdr:col>
      <xdr:colOff>95250</xdr:colOff>
      <xdr:row>11</xdr:row>
      <xdr:rowOff>9525</xdr:rowOff>
    </xdr:to>
    <xdr:sp macro="" textlink="">
      <xdr:nvSpPr>
        <xdr:cNvPr id="53" name="Ellipse 52">
          <a:extLst>
            <a:ext uri="{FF2B5EF4-FFF2-40B4-BE49-F238E27FC236}">
              <a16:creationId xmlns:a16="http://schemas.microsoft.com/office/drawing/2014/main" xmlns="" id="{0D0DAD31-D267-4C97-9B8F-136FFFA86410}"/>
            </a:ext>
          </a:extLst>
        </xdr:cNvPr>
        <xdr:cNvSpPr/>
      </xdr:nvSpPr>
      <xdr:spPr bwMode="auto">
        <a:xfrm>
          <a:off x="12868275" y="2019300"/>
          <a:ext cx="190500" cy="190500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B</a:t>
          </a:r>
        </a:p>
      </xdr:txBody>
    </xdr:sp>
    <xdr:clientData/>
  </xdr:twoCellAnchor>
  <xdr:twoCellAnchor editAs="oneCell">
    <xdr:from>
      <xdr:col>34</xdr:col>
      <xdr:colOff>152400</xdr:colOff>
      <xdr:row>11</xdr:row>
      <xdr:rowOff>9525</xdr:rowOff>
    </xdr:from>
    <xdr:to>
      <xdr:col>35</xdr:col>
      <xdr:colOff>95250</xdr:colOff>
      <xdr:row>12</xdr:row>
      <xdr:rowOff>9525</xdr:rowOff>
    </xdr:to>
    <xdr:sp macro="" textlink="">
      <xdr:nvSpPr>
        <xdr:cNvPr id="54" name="Ellipse 53">
          <a:extLst>
            <a:ext uri="{FF2B5EF4-FFF2-40B4-BE49-F238E27FC236}">
              <a16:creationId xmlns:a16="http://schemas.microsoft.com/office/drawing/2014/main" xmlns="" id="{5064926A-5CD6-40E7-BC88-413CDBBDCE63}"/>
            </a:ext>
          </a:extLst>
        </xdr:cNvPr>
        <xdr:cNvSpPr/>
      </xdr:nvSpPr>
      <xdr:spPr bwMode="auto">
        <a:xfrm>
          <a:off x="12868275" y="2209800"/>
          <a:ext cx="190500" cy="190500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C</a:t>
          </a:r>
        </a:p>
      </xdr:txBody>
    </xdr:sp>
    <xdr:clientData/>
  </xdr:twoCellAnchor>
  <xdr:twoCellAnchor editAs="oneCell">
    <xdr:from>
      <xdr:col>34</xdr:col>
      <xdr:colOff>152400</xdr:colOff>
      <xdr:row>12</xdr:row>
      <xdr:rowOff>9525</xdr:rowOff>
    </xdr:from>
    <xdr:to>
      <xdr:col>35</xdr:col>
      <xdr:colOff>95250</xdr:colOff>
      <xdr:row>13</xdr:row>
      <xdr:rowOff>9525</xdr:rowOff>
    </xdr:to>
    <xdr:sp macro="" textlink="">
      <xdr:nvSpPr>
        <xdr:cNvPr id="55" name="Ellipse 54">
          <a:extLst>
            <a:ext uri="{FF2B5EF4-FFF2-40B4-BE49-F238E27FC236}">
              <a16:creationId xmlns:a16="http://schemas.microsoft.com/office/drawing/2014/main" xmlns="" id="{33E74530-006E-4E3A-93B8-5914DF7325CE}"/>
            </a:ext>
          </a:extLst>
        </xdr:cNvPr>
        <xdr:cNvSpPr/>
      </xdr:nvSpPr>
      <xdr:spPr bwMode="auto">
        <a:xfrm>
          <a:off x="12868275" y="2400300"/>
          <a:ext cx="190500" cy="190500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D</a:t>
          </a:r>
        </a:p>
      </xdr:txBody>
    </xdr:sp>
    <xdr:clientData/>
  </xdr:twoCellAnchor>
  <xdr:twoCellAnchor editAs="oneCell">
    <xdr:from>
      <xdr:col>34</xdr:col>
      <xdr:colOff>152400</xdr:colOff>
      <xdr:row>13</xdr:row>
      <xdr:rowOff>9525</xdr:rowOff>
    </xdr:from>
    <xdr:to>
      <xdr:col>35</xdr:col>
      <xdr:colOff>95250</xdr:colOff>
      <xdr:row>14</xdr:row>
      <xdr:rowOff>9525</xdr:rowOff>
    </xdr:to>
    <xdr:sp macro="" textlink="">
      <xdr:nvSpPr>
        <xdr:cNvPr id="56" name="Ellipse 55">
          <a:extLst>
            <a:ext uri="{FF2B5EF4-FFF2-40B4-BE49-F238E27FC236}">
              <a16:creationId xmlns:a16="http://schemas.microsoft.com/office/drawing/2014/main" xmlns="" id="{5474BF4B-735F-4EF8-AC38-5229C35F38F5}"/>
            </a:ext>
          </a:extLst>
        </xdr:cNvPr>
        <xdr:cNvSpPr/>
      </xdr:nvSpPr>
      <xdr:spPr bwMode="auto">
        <a:xfrm>
          <a:off x="12868275" y="2590800"/>
          <a:ext cx="190500" cy="190500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E</a:t>
          </a:r>
        </a:p>
      </xdr:txBody>
    </xdr:sp>
    <xdr:clientData/>
  </xdr:twoCellAnchor>
  <xdr:twoCellAnchor editAs="oneCell">
    <xdr:from>
      <xdr:col>34</xdr:col>
      <xdr:colOff>152400</xdr:colOff>
      <xdr:row>14</xdr:row>
      <xdr:rowOff>9525</xdr:rowOff>
    </xdr:from>
    <xdr:to>
      <xdr:col>35</xdr:col>
      <xdr:colOff>95250</xdr:colOff>
      <xdr:row>15</xdr:row>
      <xdr:rowOff>9525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xmlns="" id="{95FBB706-D4EA-4672-BFA7-D83E6B835C28}"/>
            </a:ext>
          </a:extLst>
        </xdr:cNvPr>
        <xdr:cNvSpPr/>
      </xdr:nvSpPr>
      <xdr:spPr bwMode="auto">
        <a:xfrm>
          <a:off x="12868275" y="2781300"/>
          <a:ext cx="190500" cy="190500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F</a:t>
          </a:r>
        </a:p>
      </xdr:txBody>
    </xdr:sp>
    <xdr:clientData/>
  </xdr:twoCellAnchor>
  <xdr:twoCellAnchor editAs="oneCell">
    <xdr:from>
      <xdr:col>34</xdr:col>
      <xdr:colOff>152400</xdr:colOff>
      <xdr:row>15</xdr:row>
      <xdr:rowOff>9525</xdr:rowOff>
    </xdr:from>
    <xdr:to>
      <xdr:col>35</xdr:col>
      <xdr:colOff>95250</xdr:colOff>
      <xdr:row>16</xdr:row>
      <xdr:rowOff>9525</xdr:rowOff>
    </xdr:to>
    <xdr:sp macro="" textlink="">
      <xdr:nvSpPr>
        <xdr:cNvPr id="58" name="Ellipse 57">
          <a:extLst>
            <a:ext uri="{FF2B5EF4-FFF2-40B4-BE49-F238E27FC236}">
              <a16:creationId xmlns:a16="http://schemas.microsoft.com/office/drawing/2014/main" xmlns="" id="{77CD1906-202F-47C3-940E-912B00251723}"/>
            </a:ext>
          </a:extLst>
        </xdr:cNvPr>
        <xdr:cNvSpPr/>
      </xdr:nvSpPr>
      <xdr:spPr bwMode="auto">
        <a:xfrm>
          <a:off x="12868275" y="2971800"/>
          <a:ext cx="190500" cy="190500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G</a:t>
          </a:r>
        </a:p>
      </xdr:txBody>
    </xdr:sp>
    <xdr:clientData/>
  </xdr:twoCellAnchor>
  <xdr:twoCellAnchor editAs="oneCell">
    <xdr:from>
      <xdr:col>34</xdr:col>
      <xdr:colOff>152400</xdr:colOff>
      <xdr:row>16</xdr:row>
      <xdr:rowOff>9525</xdr:rowOff>
    </xdr:from>
    <xdr:to>
      <xdr:col>35</xdr:col>
      <xdr:colOff>95250</xdr:colOff>
      <xdr:row>17</xdr:row>
      <xdr:rowOff>9525</xdr:rowOff>
    </xdr:to>
    <xdr:sp macro="" textlink="">
      <xdr:nvSpPr>
        <xdr:cNvPr id="59" name="Ellipse 58">
          <a:extLst>
            <a:ext uri="{FF2B5EF4-FFF2-40B4-BE49-F238E27FC236}">
              <a16:creationId xmlns:a16="http://schemas.microsoft.com/office/drawing/2014/main" xmlns="" id="{D6504671-B61F-47BD-85B9-EEB5832F9B42}"/>
            </a:ext>
          </a:extLst>
        </xdr:cNvPr>
        <xdr:cNvSpPr/>
      </xdr:nvSpPr>
      <xdr:spPr bwMode="auto">
        <a:xfrm>
          <a:off x="12868275" y="3162300"/>
          <a:ext cx="190500" cy="190500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H</a:t>
          </a:r>
        </a:p>
      </xdr:txBody>
    </xdr:sp>
    <xdr:clientData/>
  </xdr:twoCellAnchor>
  <xdr:twoCellAnchor editAs="oneCell">
    <xdr:from>
      <xdr:col>34</xdr:col>
      <xdr:colOff>152400</xdr:colOff>
      <xdr:row>17</xdr:row>
      <xdr:rowOff>9525</xdr:rowOff>
    </xdr:from>
    <xdr:to>
      <xdr:col>35</xdr:col>
      <xdr:colOff>95250</xdr:colOff>
      <xdr:row>18</xdr:row>
      <xdr:rowOff>9525</xdr:rowOff>
    </xdr:to>
    <xdr:sp macro="" textlink="">
      <xdr:nvSpPr>
        <xdr:cNvPr id="60" name="Ellipse 59">
          <a:extLst>
            <a:ext uri="{FF2B5EF4-FFF2-40B4-BE49-F238E27FC236}">
              <a16:creationId xmlns:a16="http://schemas.microsoft.com/office/drawing/2014/main" xmlns="" id="{168A24BF-6650-4DCA-8D5E-EED3A93B1B29}"/>
            </a:ext>
          </a:extLst>
        </xdr:cNvPr>
        <xdr:cNvSpPr/>
      </xdr:nvSpPr>
      <xdr:spPr bwMode="auto">
        <a:xfrm>
          <a:off x="12868275" y="3352800"/>
          <a:ext cx="190500" cy="190500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I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ED/TRIDIMENSIONNEL/Partage%20F/DEM/ADMINISTRATIF/ADRESSE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GED/TRIDIMENSIONNEL/Partage%20F/DEM/GESTION%20DU%20LABO5/Gestion%20des%20&#233;talons%20labo5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ADRESSE"/>
      <sheetName val="Rapport sur la compatibilité"/>
    </sheetNames>
    <sheetDataSet>
      <sheetData sheetId="0">
        <row r="2">
          <cell r="A2">
            <v>1</v>
          </cell>
          <cell r="B2" t="str">
            <v>AMCOR FLEXIBLES France</v>
          </cell>
          <cell r="C2" t="str">
            <v>Route de Chalais</v>
          </cell>
          <cell r="D2" t="str">
            <v>BP45</v>
          </cell>
          <cell r="E2">
            <v>16300</v>
          </cell>
          <cell r="F2" t="str">
            <v>BARBEZIEUX</v>
          </cell>
        </row>
        <row r="3">
          <cell r="A3">
            <v>2</v>
          </cell>
          <cell r="B3" t="str">
            <v>ATMC GROUP - ECM</v>
          </cell>
          <cell r="C3" t="str">
            <v>6 rue de la vallée du chat</v>
          </cell>
          <cell r="D3" t="str">
            <v>-</v>
          </cell>
          <cell r="E3">
            <v>45150</v>
          </cell>
          <cell r="F3" t="str">
            <v>JARGEAU</v>
          </cell>
        </row>
        <row r="4">
          <cell r="A4">
            <v>3</v>
          </cell>
          <cell r="B4" t="str">
            <v>BAZILLE SAS</v>
          </cell>
          <cell r="C4" t="str">
            <v>Z.A de la Crosne</v>
          </cell>
          <cell r="D4" t="str">
            <v>-</v>
          </cell>
          <cell r="E4">
            <v>45300</v>
          </cell>
          <cell r="F4" t="str">
            <v>ASCOUX</v>
          </cell>
        </row>
        <row r="5">
          <cell r="A5">
            <v>4</v>
          </cell>
          <cell r="B5" t="str">
            <v>CIRETEC</v>
          </cell>
          <cell r="C5" t="str">
            <v>1rue Jean Monnet</v>
          </cell>
          <cell r="D5" t="str">
            <v>Z.A.</v>
          </cell>
          <cell r="E5">
            <v>45130</v>
          </cell>
          <cell r="F5" t="str">
            <v>SAINT AY</v>
          </cell>
        </row>
        <row r="6">
          <cell r="A6">
            <v>5</v>
          </cell>
          <cell r="B6" t="str">
            <v>CM3D</v>
          </cell>
          <cell r="C6" t="str">
            <v>Rue des Cousseaux</v>
          </cell>
          <cell r="D6" t="str">
            <v>-</v>
          </cell>
          <cell r="E6" t="str">
            <v>41300</v>
          </cell>
          <cell r="F6" t="str">
            <v>SALBRIS</v>
          </cell>
        </row>
        <row r="7">
          <cell r="A7">
            <v>6</v>
          </cell>
          <cell r="B7" t="str">
            <v>COOPER CAPRI</v>
          </cell>
          <cell r="C7" t="str">
            <v>36-40 rue des fontenils</v>
          </cell>
          <cell r="D7" t="str">
            <v>-</v>
          </cell>
          <cell r="E7" t="str">
            <v>41600</v>
          </cell>
          <cell r="F7" t="str">
            <v>NOUAN LE FUSELIER</v>
          </cell>
        </row>
        <row r="8">
          <cell r="A8">
            <v>7</v>
          </cell>
          <cell r="B8" t="str">
            <v>CNPE EDF DE SAINT LAURENT</v>
          </cell>
          <cell r="C8" t="str">
            <v>MAGASIN RELAIS CNPE</v>
          </cell>
          <cell r="D8" t="str">
            <v>ORYS CHANTIER EASu</v>
          </cell>
          <cell r="E8">
            <v>41220</v>
          </cell>
          <cell r="F8" t="str">
            <v xml:space="preserve"> SAINT LAURENT NOUAN</v>
          </cell>
        </row>
        <row r="9">
          <cell r="A9">
            <v>8</v>
          </cell>
          <cell r="B9" t="str">
            <v>DIAGNOSTICA STAGO</v>
          </cell>
          <cell r="C9" t="str">
            <v>14-16 Avenue des Béthunes</v>
          </cell>
          <cell r="D9" t="str">
            <v>ZI Parc des Béthunes</v>
          </cell>
          <cell r="E9">
            <v>95310</v>
          </cell>
          <cell r="F9" t="str">
            <v>SAINT OUEN L'AUMONE</v>
          </cell>
        </row>
        <row r="10">
          <cell r="A10">
            <v>9</v>
          </cell>
          <cell r="B10" t="str">
            <v>EASY INOX</v>
          </cell>
          <cell r="C10" t="str">
            <v>22 route de Creton</v>
          </cell>
          <cell r="E10">
            <v>18110</v>
          </cell>
          <cell r="F10" t="str">
            <v>VASSELAY</v>
          </cell>
        </row>
        <row r="11">
          <cell r="A11">
            <v>10</v>
          </cell>
          <cell r="B11" t="str">
            <v>EDF-DPN</v>
          </cell>
          <cell r="C11" t="str">
            <v>CNPE de SAINT LAURENT NOUAN</v>
          </cell>
          <cell r="D11" t="str">
            <v>-</v>
          </cell>
          <cell r="E11" t="str">
            <v>41220</v>
          </cell>
          <cell r="F11" t="str">
            <v>SAINT LAURENT NOUAN</v>
          </cell>
        </row>
        <row r="12">
          <cell r="A12">
            <v>11</v>
          </cell>
          <cell r="B12" t="str">
            <v>EES - LAB ASSISTANCE</v>
          </cell>
          <cell r="C12" t="str">
            <v>19 ,rue Henri Dunant</v>
          </cell>
          <cell r="D12" t="str">
            <v>-</v>
          </cell>
          <cell r="E12" t="str">
            <v>45140</v>
          </cell>
          <cell r="F12" t="str">
            <v>INGRE</v>
          </cell>
        </row>
        <row r="13">
          <cell r="A13">
            <v>12</v>
          </cell>
          <cell r="B13" t="str">
            <v>EOLANE</v>
          </cell>
          <cell r="C13" t="str">
            <v>Z.A. de l'Ombrée</v>
          </cell>
          <cell r="D13" t="str">
            <v>Boulevard Jean-Baptiste Colbert</v>
          </cell>
          <cell r="E13">
            <v>49520</v>
          </cell>
          <cell r="F13" t="str">
            <v>COMBREE</v>
          </cell>
        </row>
        <row r="14">
          <cell r="A14">
            <v>13</v>
          </cell>
          <cell r="B14" t="str">
            <v>ESPA HUTCHINSON Group</v>
          </cell>
          <cell r="C14" t="str">
            <v>22, rue de Curembourg</v>
          </cell>
          <cell r="D14" t="str">
            <v>B.P. 206</v>
          </cell>
          <cell r="E14">
            <v>45401</v>
          </cell>
          <cell r="F14" t="str">
            <v>FLEURY LES AUBRAIS</v>
          </cell>
        </row>
        <row r="15">
          <cell r="A15">
            <v>14</v>
          </cell>
          <cell r="B15" t="str">
            <v>ETUDEMA</v>
          </cell>
          <cell r="C15" t="str">
            <v>25,rue Bernard PALISSY</v>
          </cell>
          <cell r="D15" t="str">
            <v>-</v>
          </cell>
          <cell r="E15">
            <v>45800</v>
          </cell>
          <cell r="F15" t="str">
            <v>SAINT JEAN DE BRAYE</v>
          </cell>
        </row>
        <row r="16">
          <cell r="A16">
            <v>15</v>
          </cell>
          <cell r="B16" t="str">
            <v>FRENEHARD S.A.S</v>
          </cell>
          <cell r="C16" t="str">
            <v>Z.A. Les Bredollières</v>
          </cell>
          <cell r="D16" t="str">
            <v>SSB 1</v>
          </cell>
          <cell r="E16">
            <v>61300</v>
          </cell>
          <cell r="F16" t="str">
            <v>SAINT SYMPHORIEN DES BRUYERES</v>
          </cell>
        </row>
        <row r="17">
          <cell r="A17">
            <v>16</v>
          </cell>
          <cell r="B17" t="str">
            <v>GUINAULT</v>
          </cell>
          <cell r="C17" t="str">
            <v>PAOS LA SAUSSAYE</v>
          </cell>
          <cell r="D17" t="str">
            <v>95, rue du rond d'eau- CS70004</v>
          </cell>
          <cell r="E17">
            <v>45590</v>
          </cell>
          <cell r="F17" t="str">
            <v>SAINT CYR EN VAL</v>
          </cell>
        </row>
        <row r="18">
          <cell r="A18">
            <v>17</v>
          </cell>
          <cell r="B18" t="str">
            <v>HAUZERWIZE</v>
          </cell>
          <cell r="C18" t="str">
            <v>Le Lab'O</v>
          </cell>
          <cell r="D18" t="str">
            <v>1,avenue du Champ-de-Mars</v>
          </cell>
          <cell r="E18">
            <v>45100</v>
          </cell>
          <cell r="F18" t="str">
            <v>ORLEANS</v>
          </cell>
        </row>
        <row r="19">
          <cell r="A19">
            <v>18</v>
          </cell>
          <cell r="B19" t="str">
            <v>HEBCO INDUSTRIE</v>
          </cell>
          <cell r="C19" t="str">
            <v>Avenue de l'Europe</v>
          </cell>
          <cell r="E19">
            <v>41600</v>
          </cell>
          <cell r="F19" t="str">
            <v>LAMOTTE BEUVRON</v>
          </cell>
        </row>
        <row r="20">
          <cell r="A20">
            <v>19</v>
          </cell>
          <cell r="B20" t="str">
            <v>HENRY</v>
          </cell>
          <cell r="C20" t="str">
            <v>185 Route des Trays</v>
          </cell>
          <cell r="E20">
            <v>45240</v>
          </cell>
          <cell r="F20" t="str">
            <v>LA FERTE SAINT AUBIN</v>
          </cell>
        </row>
        <row r="21">
          <cell r="A21">
            <v>20</v>
          </cell>
          <cell r="B21" t="str">
            <v>HUTCHINSON SNC</v>
          </cell>
          <cell r="C21" t="str">
            <v>Rue Gustave Nourry</v>
          </cell>
          <cell r="D21" t="str">
            <v>BP31</v>
          </cell>
          <cell r="E21">
            <v>45120</v>
          </cell>
          <cell r="F21" t="str">
            <v>CHALETTE SUR LOING</v>
          </cell>
        </row>
        <row r="22">
          <cell r="A22">
            <v>21</v>
          </cell>
          <cell r="B22" t="str">
            <v>ÏOKEPLASTIC S.A.S.</v>
          </cell>
          <cell r="C22" t="str">
            <v>Rue saint Georges</v>
          </cell>
          <cell r="D22" t="str">
            <v>Le Pont Jamineau</v>
          </cell>
          <cell r="E22">
            <v>37340</v>
          </cell>
          <cell r="F22" t="str">
            <v>SAVIGNE-SUR-LATHAN</v>
          </cell>
        </row>
        <row r="23">
          <cell r="A23">
            <v>22</v>
          </cell>
          <cell r="B23" t="str">
            <v>JICEY PRECISION SHIMS</v>
          </cell>
          <cell r="C23" t="str">
            <v>Rue des Côtes d'Orval</v>
          </cell>
          <cell r="E23" t="str">
            <v>78550</v>
          </cell>
          <cell r="F23" t="str">
            <v>HOUDAN</v>
          </cell>
        </row>
        <row r="24">
          <cell r="A24">
            <v>23</v>
          </cell>
          <cell r="B24" t="str">
            <v xml:space="preserve">JOHN DEERE S.A.S. </v>
          </cell>
          <cell r="C24" t="str">
            <v>Orléans-Saran Unit ,1 rue John DEERE</v>
          </cell>
          <cell r="D24" t="str">
            <v>B.P. 11013</v>
          </cell>
          <cell r="E24" t="str">
            <v>45401</v>
          </cell>
          <cell r="F24" t="str">
            <v>FLEURY LES AUBRAIS cedex</v>
          </cell>
        </row>
        <row r="25">
          <cell r="A25">
            <v>24</v>
          </cell>
          <cell r="B25" t="str">
            <v>JUNGHANS T2M S.A.S.</v>
          </cell>
          <cell r="C25" t="str">
            <v>Route d'ARDON</v>
          </cell>
          <cell r="E25" t="str">
            <v>45240</v>
          </cell>
          <cell r="F25" t="str">
            <v>LA FERTE SAINT AUBIN</v>
          </cell>
        </row>
        <row r="26">
          <cell r="A26">
            <v>25</v>
          </cell>
          <cell r="B26" t="str">
            <v>LA FERME D'ALLOU</v>
          </cell>
          <cell r="C26" t="str">
            <v>MOTO TRIUMPH</v>
          </cell>
          <cell r="E26">
            <v>45560</v>
          </cell>
          <cell r="F26" t="str">
            <v>SAINT DENIS EN VAL</v>
          </cell>
        </row>
        <row r="27">
          <cell r="A27">
            <v>26</v>
          </cell>
          <cell r="B27" t="str">
            <v>LOGIS ALLIANCE</v>
          </cell>
          <cell r="C27" t="str">
            <v>Rue 6ème avenue</v>
          </cell>
          <cell r="D27" t="str">
            <v>ZAC Synergie</v>
          </cell>
          <cell r="E27">
            <v>45130</v>
          </cell>
          <cell r="F27" t="str">
            <v>MEUNG SUR LOIRE</v>
          </cell>
        </row>
        <row r="28">
          <cell r="A28">
            <v>27</v>
          </cell>
          <cell r="B28" t="str">
            <v>M.P.A. BERTIN s.a.r.l.</v>
          </cell>
          <cell r="C28" t="str">
            <v>56-58-60,rue de la Burelle</v>
          </cell>
          <cell r="E28">
            <v>45800</v>
          </cell>
          <cell r="F28" t="str">
            <v>SAINT JEAN DE BRAYE</v>
          </cell>
        </row>
        <row r="29">
          <cell r="A29">
            <v>28</v>
          </cell>
          <cell r="B29" t="str">
            <v>M.P.O.</v>
          </cell>
          <cell r="C29" t="str">
            <v>108,rue du Petit Hameau</v>
          </cell>
          <cell r="E29">
            <v>45110</v>
          </cell>
          <cell r="F29" t="str">
            <v>CHATEAUNEUF SUR LOIRE</v>
          </cell>
        </row>
        <row r="30">
          <cell r="A30">
            <v>29</v>
          </cell>
          <cell r="B30" t="str">
            <v>MARS</v>
          </cell>
          <cell r="C30" t="str">
            <v>Boulevard des Chenâts</v>
          </cell>
          <cell r="D30" t="str">
            <v>CS20001</v>
          </cell>
          <cell r="E30" t="str">
            <v>45550</v>
          </cell>
          <cell r="F30" t="str">
            <v>SAINT DENIS DE L'HÔTEL</v>
          </cell>
        </row>
        <row r="31">
          <cell r="A31">
            <v>30</v>
          </cell>
          <cell r="B31" t="str">
            <v>MECA 2B</v>
          </cell>
          <cell r="C31" t="str">
            <v>Parc Archimède</v>
          </cell>
          <cell r="D31" t="str">
            <v>7,rue Bernard PALISSY</v>
          </cell>
          <cell r="E31" t="str">
            <v>45800</v>
          </cell>
          <cell r="F31" t="str">
            <v>SAINT JEAN DE BRAYE</v>
          </cell>
        </row>
        <row r="32">
          <cell r="A32">
            <v>31</v>
          </cell>
          <cell r="B32" t="str">
            <v>MECASPACE INDUSTRIE</v>
          </cell>
          <cell r="C32" t="str">
            <v>300,rue Marcel PAUL</v>
          </cell>
          <cell r="E32">
            <v>45770</v>
          </cell>
          <cell r="F32" t="str">
            <v>SARAN</v>
          </cell>
        </row>
        <row r="33">
          <cell r="A33">
            <v>32</v>
          </cell>
          <cell r="B33" t="str">
            <v>MECASUP</v>
          </cell>
          <cell r="C33" t="str">
            <v>ZA les Combles</v>
          </cell>
          <cell r="E33">
            <v>41300</v>
          </cell>
          <cell r="F33" t="str">
            <v>SALBRIS</v>
          </cell>
        </row>
        <row r="34">
          <cell r="A34">
            <v>33</v>
          </cell>
          <cell r="B34" t="str">
            <v>MSL circuits SAS</v>
          </cell>
          <cell r="C34" t="str">
            <v>B.P.14</v>
          </cell>
          <cell r="D34" t="str">
            <v>N°6, 3 Parc d'Activ. Synergie Val / Loire</v>
          </cell>
          <cell r="E34">
            <v>45130</v>
          </cell>
          <cell r="F34" t="str">
            <v>MEUNG/LOIRE</v>
          </cell>
        </row>
        <row r="35">
          <cell r="A35">
            <v>34</v>
          </cell>
          <cell r="B35" t="str">
            <v>NUMECAP</v>
          </cell>
          <cell r="C35" t="str">
            <v>Allée du Commerce</v>
          </cell>
          <cell r="D35" t="str">
            <v>Z.A.C. Cap Sud</v>
          </cell>
          <cell r="E35">
            <v>36250</v>
          </cell>
          <cell r="F35" t="str">
            <v>SAINT MAUR</v>
          </cell>
        </row>
        <row r="36">
          <cell r="A36">
            <v>35</v>
          </cell>
          <cell r="B36" t="str">
            <v>OUEST ALU</v>
          </cell>
          <cell r="C36" t="str">
            <v>24 Avenue des sables</v>
          </cell>
          <cell r="D36" t="str">
            <v>CS40129</v>
          </cell>
          <cell r="E36">
            <v>85501</v>
          </cell>
          <cell r="F36" t="str">
            <v>LES HERBIERS CEDEX</v>
          </cell>
        </row>
        <row r="37">
          <cell r="A37">
            <v>36</v>
          </cell>
          <cell r="B37" t="str">
            <v>OUTILLAGE PROGRESS</v>
          </cell>
          <cell r="C37" t="str">
            <v>18,rue des Sables</v>
          </cell>
          <cell r="E37" t="str">
            <v>37530</v>
          </cell>
          <cell r="F37" t="str">
            <v>NAZELLES-NEGRON</v>
          </cell>
        </row>
        <row r="38">
          <cell r="A38">
            <v>37</v>
          </cell>
          <cell r="B38" t="str">
            <v>POCLAIN TECHNICAST GRANDRY TECHNOLOGIES</v>
          </cell>
          <cell r="C38" t="str">
            <v>4 Boulevard de la Primaudière</v>
          </cell>
          <cell r="E38" t="str">
            <v>72302</v>
          </cell>
          <cell r="F38" t="str">
            <v>Sablé-sur-Sarthe Cedex</v>
          </cell>
        </row>
        <row r="39">
          <cell r="A39">
            <v>38</v>
          </cell>
          <cell r="B39" t="str">
            <v>PAULSTRA SNC</v>
          </cell>
          <cell r="C39" t="str">
            <v>Parc d'activités de l'églantier</v>
          </cell>
          <cell r="D39" t="str">
            <v>3 rue des Cerisiers</v>
          </cell>
          <cell r="E39" t="str">
            <v>91090</v>
          </cell>
          <cell r="F39" t="str">
            <v>LISSES</v>
          </cell>
        </row>
        <row r="40">
          <cell r="A40">
            <v>39</v>
          </cell>
          <cell r="B40" t="str">
            <v>ROXEL LA FERTE</v>
          </cell>
          <cell r="C40" t="str">
            <v>Route d'ARDON</v>
          </cell>
          <cell r="E40">
            <v>45240</v>
          </cell>
          <cell r="F40" t="str">
            <v>LA FERTE SAINT AUBIN</v>
          </cell>
        </row>
        <row r="41">
          <cell r="A41">
            <v>40</v>
          </cell>
          <cell r="B41" t="str">
            <v>ROXEL LE SUBDRAY</v>
          </cell>
          <cell r="C41" t="str">
            <v>Site MBDA</v>
          </cell>
          <cell r="D41" t="str">
            <v>RN 151</v>
          </cell>
          <cell r="E41">
            <v>18570</v>
          </cell>
          <cell r="F41" t="str">
            <v>LE SUBDRAY</v>
          </cell>
        </row>
        <row r="42">
          <cell r="A42">
            <v>41</v>
          </cell>
          <cell r="B42" t="str">
            <v>ROXEL ST MEDARD</v>
          </cell>
          <cell r="C42" t="str">
            <v>Route de CORBIAC</v>
          </cell>
          <cell r="D42" t="str">
            <v>Allée Louis MOREL</v>
          </cell>
          <cell r="E42">
            <v>33167</v>
          </cell>
          <cell r="F42" t="str">
            <v>SAINT-MEDARD-EN-JALLES</v>
          </cell>
        </row>
        <row r="43">
          <cell r="A43">
            <v>42</v>
          </cell>
          <cell r="B43" t="str">
            <v>S.N.C.F Technicentre S.E</v>
          </cell>
          <cell r="C43" t="str">
            <v>1 rue du TGV</v>
          </cell>
          <cell r="E43">
            <v>94190</v>
          </cell>
          <cell r="F43" t="str">
            <v>VILLEUNEUVE SAINT GEORGES</v>
          </cell>
        </row>
        <row r="44">
          <cell r="A44">
            <v>43</v>
          </cell>
          <cell r="B44" t="str">
            <v>SAVIPLAST</v>
          </cell>
          <cell r="C44" t="str">
            <v>ZI Terres de Vauplaines</v>
          </cell>
          <cell r="E44" t="str">
            <v>89700</v>
          </cell>
          <cell r="F44" t="str">
            <v>TONNERRE</v>
          </cell>
        </row>
        <row r="45">
          <cell r="A45">
            <v>44</v>
          </cell>
          <cell r="B45" t="str">
            <v>SCHROFF</v>
          </cell>
          <cell r="C45" t="str">
            <v>4 rue du Marais</v>
          </cell>
          <cell r="E45" t="str">
            <v>67660</v>
          </cell>
          <cell r="F45" t="str">
            <v>BETSCHDORF</v>
          </cell>
        </row>
        <row r="46">
          <cell r="A46">
            <v>45</v>
          </cell>
          <cell r="B46" t="str">
            <v>SCODIP</v>
          </cell>
          <cell r="C46" t="str">
            <v>14,chemin du Pont Cotelle</v>
          </cell>
          <cell r="E46">
            <v>45073</v>
          </cell>
          <cell r="F46" t="str">
            <v>ORLEANS Cedex 02</v>
          </cell>
        </row>
        <row r="47">
          <cell r="A47">
            <v>46</v>
          </cell>
          <cell r="B47" t="str">
            <v>SNCF Technicentre atlantique métrologie</v>
          </cell>
          <cell r="C47" t="str">
            <v>60 rue Etienne Deforges</v>
          </cell>
          <cell r="E47">
            <v>92320</v>
          </cell>
          <cell r="F47" t="str">
            <v>CHATILLON</v>
          </cell>
        </row>
        <row r="48">
          <cell r="A48">
            <v>47</v>
          </cell>
          <cell r="B48" t="str">
            <v>SPI</v>
          </cell>
          <cell r="C48" t="str">
            <v>ZI des Vigneaux</v>
          </cell>
          <cell r="D48" t="str">
            <v>6 rue de l'étang</v>
          </cell>
          <cell r="E48" t="str">
            <v>36210</v>
          </cell>
          <cell r="F48" t="str">
            <v>CHABRIS</v>
          </cell>
        </row>
        <row r="49">
          <cell r="A49">
            <v>48</v>
          </cell>
          <cell r="B49" t="str">
            <v>SPIE INDUSTRIE ET TERTIAIRE</v>
          </cell>
          <cell r="C49" t="str">
            <v>Z.A. Parc d'Archimède - Bât A</v>
          </cell>
          <cell r="D49" t="str">
            <v>7 rue Isaac Newton</v>
          </cell>
          <cell r="E49">
            <v>45800</v>
          </cell>
          <cell r="F49" t="str">
            <v>SAINT JEAN DE BRAYE</v>
          </cell>
        </row>
        <row r="50">
          <cell r="A50">
            <v>49</v>
          </cell>
          <cell r="B50" t="str">
            <v>SPIE NUCLEAIRE</v>
          </cell>
          <cell r="C50" t="str">
            <v>CNPE de Chinon</v>
          </cell>
          <cell r="D50" t="str">
            <v>Centrale EDF CNPE de Chinon</v>
          </cell>
          <cell r="E50">
            <v>37420</v>
          </cell>
          <cell r="F50" t="str">
            <v>AVOINE</v>
          </cell>
        </row>
        <row r="51">
          <cell r="A51">
            <v>50</v>
          </cell>
          <cell r="B51" t="str">
            <v>SPIE NUCLEAIRE</v>
          </cell>
          <cell r="C51" t="str">
            <v>Centre logistique Semoy</v>
          </cell>
          <cell r="D51" t="str">
            <v>825 rue Léonard de Vinci</v>
          </cell>
          <cell r="E51">
            <v>45400</v>
          </cell>
          <cell r="F51" t="str">
            <v>SEMOY</v>
          </cell>
        </row>
        <row r="52">
          <cell r="A52">
            <v>51</v>
          </cell>
          <cell r="B52" t="str">
            <v>SPIE NUCLEAIRE</v>
          </cell>
          <cell r="C52" t="str">
            <v>CNPE de Belleville</v>
          </cell>
          <cell r="D52" t="str">
            <v>-</v>
          </cell>
          <cell r="E52">
            <v>18240</v>
          </cell>
          <cell r="F52" t="str">
            <v>BELLEVILLE-SUR-LOIRE</v>
          </cell>
        </row>
        <row r="53">
          <cell r="A53">
            <v>52</v>
          </cell>
          <cell r="B53" t="str">
            <v>SPS MEDICAL</v>
          </cell>
          <cell r="C53" t="str">
            <v>5 rue de Montigny</v>
          </cell>
          <cell r="D53" t="str">
            <v>-</v>
          </cell>
          <cell r="E53">
            <v>77120</v>
          </cell>
          <cell r="F53" t="str">
            <v>COULOMMIERS</v>
          </cell>
        </row>
        <row r="54">
          <cell r="A54">
            <v>53</v>
          </cell>
          <cell r="B54" t="str">
            <v>THALES AIR SYSTEMS</v>
          </cell>
          <cell r="C54" t="str">
            <v>29,rue de Montaran</v>
          </cell>
          <cell r="D54" t="str">
            <v>-</v>
          </cell>
          <cell r="E54" t="str">
            <v>45404</v>
          </cell>
          <cell r="F54" t="str">
            <v>FLEURY-LES-AUBRAIS</v>
          </cell>
        </row>
        <row r="55">
          <cell r="A55">
            <v>54</v>
          </cell>
          <cell r="B55" t="str">
            <v>THALES LAS</v>
          </cell>
          <cell r="C55" t="str">
            <v>Route d'ARDON</v>
          </cell>
          <cell r="D55" t="str">
            <v>-</v>
          </cell>
          <cell r="E55" t="str">
            <v>45240</v>
          </cell>
          <cell r="F55" t="str">
            <v>LA FERTE SAINT AUBIN</v>
          </cell>
        </row>
        <row r="56">
          <cell r="A56">
            <v>55</v>
          </cell>
          <cell r="B56" t="str">
            <v>THERMOR S.A.S.</v>
          </cell>
          <cell r="C56" t="str">
            <v>17,rue Croix FAUCHET</v>
          </cell>
          <cell r="D56" t="str">
            <v>B.P.46</v>
          </cell>
          <cell r="E56">
            <v>45141</v>
          </cell>
          <cell r="F56" t="str">
            <v xml:space="preserve">SAINT JEAN DE LA RUELLE </v>
          </cell>
        </row>
        <row r="57">
          <cell r="A57">
            <v>56</v>
          </cell>
          <cell r="B57" t="str">
            <v>VERGNET HYDRO</v>
          </cell>
          <cell r="C57" t="str">
            <v>6 rue Lavoisier</v>
          </cell>
          <cell r="D57" t="str">
            <v>-</v>
          </cell>
          <cell r="E57">
            <v>45140</v>
          </cell>
          <cell r="F57" t="str">
            <v xml:space="preserve">SAINT JEAN DE LA RUELLE 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Liste des Etalons à jour"/>
      <sheetName val="raccordements à jour "/>
      <sheetName val="Liste des moyens "/>
      <sheetName val="Liste des Etalons en sommeil"/>
      <sheetName val="Gestion des étalons labo5"/>
      <sheetName val="Rapport d'essai"/>
    </sheetNames>
    <sheetDataSet>
      <sheetData sheetId="0"/>
      <sheetData sheetId="1">
        <row r="9">
          <cell r="B9" t="str">
            <v>Machine de mesure tridimensionnelle MITUTOYO EURO-C APEX 7106 (MMT01)</v>
          </cell>
        </row>
        <row r="10">
          <cell r="B10" t="str">
            <v>CE N° 23042101-OMA</v>
          </cell>
        </row>
        <row r="11">
          <cell r="B11">
            <v>45748</v>
          </cell>
        </row>
        <row r="19">
          <cell r="B19" t="str">
            <v>CE COFRAC N° CET0223417_01_A</v>
          </cell>
        </row>
        <row r="20">
          <cell r="B20">
            <v>45809</v>
          </cell>
        </row>
        <row r="21">
          <cell r="B21"/>
        </row>
        <row r="40">
          <cell r="B40" t="str">
            <v>Bague lisse 16 mm (BLE10)</v>
          </cell>
        </row>
        <row r="41">
          <cell r="B41" t="str">
            <v>CE COFRAC n° 030627_006</v>
          </cell>
        </row>
        <row r="42">
          <cell r="B42">
            <v>46174</v>
          </cell>
        </row>
        <row r="43">
          <cell r="B43" t="str">
            <v>Cale étalon 400 mm (CE1)</v>
          </cell>
        </row>
        <row r="44">
          <cell r="B44" t="str">
            <v>CE COFRAC n° 030627_008</v>
          </cell>
        </row>
        <row r="45">
          <cell r="B45">
            <v>46174</v>
          </cell>
        </row>
        <row r="46">
          <cell r="B46" t="str">
            <v>Cale étalon 200 mm (CE3)</v>
          </cell>
        </row>
        <row r="47">
          <cell r="B47" t="str">
            <v>CE COFRAC n° 030627_007</v>
          </cell>
        </row>
        <row r="48">
          <cell r="B48">
            <v>46174</v>
          </cell>
        </row>
      </sheetData>
      <sheetData sheetId="2"/>
      <sheetData sheetId="3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11" Type="http://schemas.openxmlformats.org/officeDocument/2006/relationships/ctrlProp" Target="../ctrlProps/ctrlProp2.xml"/><Relationship Id="rId10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2">
    <pageSetUpPr fitToPage="1"/>
  </sheetPr>
  <dimension ref="A1:CM2100"/>
  <sheetViews>
    <sheetView tabSelected="1" view="pageBreakPreview" zoomScaleSheetLayoutView="100" workbookViewId="0">
      <selection activeCell="N65" sqref="N65"/>
    </sheetView>
  </sheetViews>
  <sheetFormatPr baseColWidth="10" defaultRowHeight="12.75"/>
  <cols>
    <col min="1" max="14" width="6.7109375" customWidth="1"/>
    <col min="15" max="15" width="10" customWidth="1"/>
    <col min="16" max="16" width="7.5703125" customWidth="1"/>
    <col min="17" max="17" width="8.85546875" customWidth="1"/>
    <col min="18" max="18" width="9.5703125" customWidth="1"/>
    <col min="19" max="23" width="10.7109375" customWidth="1"/>
    <col min="24" max="24" width="15.7109375" bestFit="1" customWidth="1"/>
    <col min="25" max="250" width="10.7109375" customWidth="1"/>
  </cols>
  <sheetData>
    <row r="1" spans="1:91" s="1" customFormat="1" ht="15" customHeight="1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  <c r="AR1" s="38"/>
      <c r="AS1" s="38"/>
      <c r="AT1" s="38"/>
      <c r="AU1" s="38"/>
      <c r="AV1" s="38"/>
      <c r="AW1" s="38"/>
      <c r="AX1" s="38"/>
      <c r="AY1" s="38"/>
      <c r="AZ1" s="38"/>
      <c r="BA1" s="38"/>
      <c r="BB1" s="38"/>
      <c r="BC1" s="38"/>
      <c r="BD1" s="38"/>
      <c r="BE1" s="38"/>
      <c r="BF1" s="38"/>
      <c r="BG1" s="38"/>
      <c r="BH1" s="38"/>
      <c r="BI1" s="38"/>
      <c r="BJ1" s="38"/>
      <c r="BK1" s="38"/>
      <c r="BL1" s="38"/>
      <c r="BM1" s="38"/>
      <c r="BN1" s="38"/>
      <c r="BO1" s="38"/>
      <c r="BP1" s="38"/>
      <c r="BQ1" s="38"/>
      <c r="BR1" s="38"/>
      <c r="BS1" s="38"/>
      <c r="BT1" s="38"/>
      <c r="BU1" s="38"/>
      <c r="BV1" s="38"/>
      <c r="BW1" s="38"/>
      <c r="BX1" s="38"/>
      <c r="BY1" s="38"/>
      <c r="BZ1" s="38"/>
      <c r="CA1" s="38"/>
      <c r="CB1" s="38"/>
      <c r="CC1" s="38"/>
      <c r="CD1" s="38"/>
      <c r="CE1" s="38"/>
      <c r="CF1" s="38"/>
      <c r="CG1" s="38"/>
      <c r="CH1" s="38"/>
      <c r="CI1" s="38"/>
      <c r="CJ1" s="38"/>
      <c r="CK1" s="38"/>
      <c r="CL1" s="38"/>
      <c r="CM1" s="38"/>
    </row>
    <row r="2" spans="1:91" s="1" customFormat="1" ht="15" customHeight="1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N2" s="73"/>
      <c r="O2" s="73"/>
      <c r="P2" s="73"/>
      <c r="Q2" s="73"/>
      <c r="R2" s="73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38"/>
      <c r="AZ2" s="38"/>
      <c r="BA2" s="38"/>
      <c r="BB2" s="38"/>
      <c r="BC2" s="38"/>
      <c r="BD2" s="38"/>
      <c r="BE2" s="38"/>
      <c r="BF2" s="38"/>
      <c r="BG2" s="38"/>
      <c r="BH2" s="38"/>
      <c r="BI2" s="38"/>
      <c r="BJ2" s="38"/>
      <c r="BK2" s="38"/>
      <c r="BL2" s="38"/>
      <c r="BM2" s="38"/>
      <c r="BN2" s="38"/>
      <c r="BO2" s="38"/>
      <c r="BP2" s="38"/>
      <c r="BQ2" s="38"/>
      <c r="BR2" s="38"/>
      <c r="BS2" s="38"/>
      <c r="BT2" s="38"/>
      <c r="BU2" s="38"/>
      <c r="BV2" s="38"/>
      <c r="BW2" s="38"/>
      <c r="BX2" s="38"/>
      <c r="BY2" s="38"/>
      <c r="BZ2" s="38"/>
      <c r="CA2" s="38"/>
      <c r="CB2" s="38"/>
      <c r="CC2" s="38"/>
      <c r="CD2" s="38"/>
      <c r="CE2" s="38"/>
      <c r="CF2" s="38"/>
      <c r="CG2" s="38"/>
      <c r="CH2" s="38"/>
      <c r="CI2" s="38"/>
      <c r="CJ2" s="38"/>
      <c r="CK2" s="38"/>
      <c r="CL2" s="38"/>
      <c r="CM2" s="38"/>
    </row>
    <row r="3" spans="1:91" s="1" customFormat="1" ht="15" customHeight="1">
      <c r="D3" s="52"/>
      <c r="E3" s="52"/>
      <c r="F3" s="52"/>
      <c r="G3" s="52"/>
      <c r="H3" s="52"/>
      <c r="I3" s="52"/>
      <c r="J3" s="52"/>
      <c r="K3" s="52" t="s">
        <v>4</v>
      </c>
      <c r="N3" s="73"/>
      <c r="P3" s="54"/>
      <c r="Q3" s="54"/>
      <c r="S3" s="52"/>
      <c r="T3" s="52"/>
      <c r="U3" s="52"/>
      <c r="V3" s="52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8"/>
      <c r="BO3" s="38"/>
      <c r="BP3" s="38"/>
      <c r="BQ3" s="38"/>
      <c r="BR3" s="38"/>
      <c r="BS3" s="38"/>
      <c r="BT3" s="38"/>
      <c r="BU3" s="38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8"/>
      <c r="CJ3" s="38"/>
      <c r="CK3" s="38"/>
      <c r="CL3" s="38"/>
      <c r="CM3" s="38"/>
    </row>
    <row r="4" spans="1:91" s="1" customFormat="1" ht="15" customHeight="1">
      <c r="D4" s="52"/>
      <c r="E4" s="52"/>
      <c r="F4" s="52"/>
      <c r="G4" s="52"/>
      <c r="H4" s="52"/>
      <c r="I4" s="52"/>
      <c r="J4" s="52"/>
      <c r="K4" s="52" t="s">
        <v>86</v>
      </c>
      <c r="P4" s="54"/>
      <c r="Q4" s="54"/>
      <c r="S4" s="52"/>
      <c r="T4" s="52"/>
      <c r="U4" s="52"/>
      <c r="V4" s="52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38"/>
      <c r="BD4" s="38"/>
      <c r="BE4" s="38"/>
      <c r="BF4" s="38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</row>
    <row r="5" spans="1:91" s="1" customFormat="1" ht="15" customHeight="1">
      <c r="D5" s="52"/>
      <c r="E5" s="52"/>
      <c r="F5" s="52"/>
      <c r="G5" s="52"/>
      <c r="H5" s="52"/>
      <c r="I5" s="52"/>
      <c r="J5" s="52"/>
      <c r="K5" s="52" t="s">
        <v>5</v>
      </c>
      <c r="P5" s="54"/>
      <c r="Q5" s="54"/>
      <c r="S5" s="52"/>
      <c r="T5" s="52"/>
      <c r="U5" s="52"/>
      <c r="V5" s="52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38"/>
      <c r="BC5" s="38"/>
      <c r="BD5" s="38"/>
      <c r="BE5" s="38"/>
      <c r="BF5" s="38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</row>
    <row r="6" spans="1:91" s="1" customFormat="1" ht="15" customHeight="1">
      <c r="D6" s="52"/>
      <c r="E6" s="52"/>
      <c r="F6" s="52"/>
      <c r="G6" s="52"/>
      <c r="H6" s="52"/>
      <c r="I6" s="52"/>
      <c r="J6" s="52"/>
      <c r="K6" s="52" t="s">
        <v>87</v>
      </c>
      <c r="P6" s="54"/>
      <c r="Q6" s="54"/>
      <c r="S6" s="52"/>
      <c r="T6" s="52"/>
      <c r="U6" s="52"/>
      <c r="V6" s="52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38"/>
      <c r="BC6" s="38"/>
      <c r="BD6" s="38"/>
      <c r="BE6" s="38"/>
      <c r="BF6" s="38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8"/>
      <c r="BU6" s="38"/>
      <c r="BV6" s="38"/>
      <c r="BW6" s="38"/>
      <c r="BX6" s="38"/>
      <c r="BY6" s="38"/>
      <c r="BZ6" s="38"/>
      <c r="CA6" s="38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</row>
    <row r="7" spans="1:91" s="1" customFormat="1" ht="15" customHeight="1">
      <c r="D7" s="52"/>
      <c r="E7" s="52"/>
      <c r="F7" s="52"/>
      <c r="G7" s="52"/>
      <c r="H7" s="52"/>
      <c r="I7" s="52"/>
      <c r="J7" s="52"/>
      <c r="K7" s="52" t="s">
        <v>20</v>
      </c>
      <c r="P7" s="54"/>
      <c r="Q7" s="54"/>
      <c r="S7" s="52"/>
      <c r="T7" s="52"/>
      <c r="U7" s="52"/>
      <c r="V7" s="52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  <c r="BA7" s="38"/>
      <c r="BB7" s="38"/>
      <c r="BC7" s="38"/>
      <c r="BD7" s="38"/>
      <c r="BE7" s="38"/>
      <c r="BF7" s="38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8"/>
      <c r="BU7" s="38"/>
      <c r="BV7" s="38"/>
      <c r="BW7" s="38"/>
      <c r="BX7" s="38"/>
      <c r="BY7" s="38"/>
      <c r="BZ7" s="38"/>
      <c r="CA7" s="38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</row>
    <row r="8" spans="1:91" s="1" customFormat="1" ht="15" customHeight="1">
      <c r="D8" s="52"/>
      <c r="E8" s="52"/>
      <c r="F8" s="52"/>
      <c r="G8" s="52"/>
      <c r="H8" s="52"/>
      <c r="I8" s="52"/>
      <c r="J8" s="52"/>
      <c r="P8" s="54"/>
      <c r="Q8" s="54"/>
      <c r="R8" s="54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8"/>
      <c r="BB8" s="38"/>
      <c r="BC8" s="38"/>
      <c r="BD8" s="38"/>
      <c r="BE8" s="38"/>
      <c r="BF8" s="38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8"/>
      <c r="BU8" s="38"/>
      <c r="BV8" s="38"/>
      <c r="BW8" s="38"/>
      <c r="BX8" s="38"/>
      <c r="BY8" s="38"/>
      <c r="BZ8" s="38"/>
      <c r="CA8" s="38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</row>
    <row r="9" spans="1:91" s="1" customFormat="1" ht="15" customHeight="1">
      <c r="A9" s="52"/>
      <c r="B9" s="52"/>
      <c r="C9" s="52"/>
      <c r="D9" s="52"/>
      <c r="E9" s="52"/>
      <c r="F9" s="52"/>
      <c r="G9" s="52"/>
      <c r="H9" s="52"/>
      <c r="I9" s="52"/>
      <c r="J9" s="52"/>
      <c r="K9" s="52"/>
      <c r="L9" s="52"/>
      <c r="M9" s="39"/>
      <c r="N9" s="39"/>
      <c r="O9" s="39"/>
      <c r="P9" s="39"/>
      <c r="Q9" s="39"/>
      <c r="R9" s="2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38"/>
      <c r="BC9" s="38"/>
      <c r="BD9" s="38"/>
      <c r="BE9" s="38"/>
      <c r="BF9" s="38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8"/>
      <c r="BU9" s="38"/>
      <c r="BV9" s="38"/>
      <c r="BW9" s="38"/>
      <c r="BX9" s="38"/>
      <c r="BY9" s="38"/>
      <c r="BZ9" s="38"/>
      <c r="CA9" s="38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</row>
    <row r="10" spans="1:91" s="1" customFormat="1" ht="15" customHeight="1">
      <c r="A10" s="52"/>
      <c r="B10" s="52"/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38"/>
      <c r="N10" s="38"/>
      <c r="O10" s="38"/>
      <c r="P10" s="38"/>
      <c r="Q10" s="38"/>
      <c r="R10" s="3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8"/>
      <c r="BU10" s="38"/>
      <c r="BV10" s="38"/>
      <c r="BW10" s="38"/>
      <c r="BX10" s="38"/>
      <c r="BY10" s="38"/>
      <c r="BZ10" s="38"/>
      <c r="CA10" s="38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</row>
    <row r="11" spans="1:91" s="1" customFormat="1" ht="15" customHeight="1">
      <c r="A11" s="192" t="s">
        <v>21</v>
      </c>
      <c r="B11" s="192"/>
      <c r="C11" s="192"/>
      <c r="D11" s="192"/>
      <c r="E11" s="192"/>
      <c r="F11" s="192"/>
      <c r="G11" s="192"/>
      <c r="H11" s="192"/>
      <c r="I11" s="192"/>
      <c r="J11" s="192"/>
      <c r="K11" s="192"/>
      <c r="L11" s="192"/>
      <c r="M11" s="192"/>
      <c r="N11" s="192"/>
      <c r="O11" s="192"/>
      <c r="P11" s="55"/>
      <c r="Q11" s="55"/>
      <c r="R11" s="55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8"/>
      <c r="AZ11" s="38"/>
      <c r="BA11" s="38"/>
      <c r="BB11" s="38"/>
      <c r="BC11" s="38"/>
      <c r="BD11" s="38"/>
      <c r="BE11" s="38"/>
      <c r="BF11" s="38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8"/>
      <c r="BU11" s="38"/>
      <c r="BV11" s="38"/>
      <c r="BW11" s="38"/>
      <c r="BX11" s="38"/>
      <c r="BY11" s="38"/>
      <c r="BZ11" s="38"/>
      <c r="CA11" s="38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</row>
    <row r="12" spans="1:91" s="1" customFormat="1" ht="15" customHeight="1">
      <c r="A12" s="192"/>
      <c r="B12" s="192"/>
      <c r="C12" s="192"/>
      <c r="D12" s="192"/>
      <c r="E12" s="192"/>
      <c r="F12" s="192"/>
      <c r="G12" s="192"/>
      <c r="H12" s="192"/>
      <c r="I12" s="192"/>
      <c r="J12" s="192"/>
      <c r="K12" s="192"/>
      <c r="L12" s="192"/>
      <c r="M12" s="192"/>
      <c r="N12" s="192"/>
      <c r="O12" s="192"/>
      <c r="P12" s="55"/>
      <c r="Q12" s="55"/>
      <c r="R12" s="55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38"/>
      <c r="BC12" s="38"/>
      <c r="BD12" s="38"/>
      <c r="BE12" s="38"/>
      <c r="BF12" s="38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8"/>
      <c r="BU12" s="38"/>
      <c r="BV12" s="38"/>
      <c r="BW12" s="38"/>
      <c r="BX12" s="38"/>
      <c r="BY12" s="38"/>
      <c r="BZ12" s="38"/>
      <c r="CA12" s="38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</row>
    <row r="13" spans="1:91" s="1" customFormat="1" ht="15" customHeight="1">
      <c r="A13" s="193" t="s">
        <v>68</v>
      </c>
      <c r="B13" s="193"/>
      <c r="C13" s="193"/>
      <c r="D13" s="193"/>
      <c r="E13" s="193"/>
      <c r="F13" s="193"/>
      <c r="G13" s="193"/>
      <c r="H13" s="193"/>
      <c r="I13" s="193"/>
      <c r="J13" s="193"/>
      <c r="K13" s="193"/>
      <c r="L13" s="193"/>
      <c r="M13" s="193"/>
      <c r="N13" s="193"/>
      <c r="O13" s="193"/>
      <c r="P13" s="56"/>
      <c r="Q13" s="56"/>
      <c r="R13" s="56"/>
      <c r="S13" s="38"/>
      <c r="T13" s="38"/>
      <c r="V13" s="42" t="s">
        <v>69</v>
      </c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38"/>
      <c r="BC13" s="38"/>
      <c r="BD13" s="38"/>
      <c r="BE13" s="38"/>
      <c r="BF13" s="38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8"/>
      <c r="BU13" s="38"/>
      <c r="BV13" s="38"/>
      <c r="BW13" s="38"/>
      <c r="BX13" s="38"/>
      <c r="BY13" s="38"/>
      <c r="BZ13" s="38"/>
      <c r="CA13" s="38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</row>
    <row r="14" spans="1:91" s="1" customFormat="1" ht="15" customHeight="1">
      <c r="A14" s="74"/>
      <c r="B14" s="74"/>
      <c r="C14" s="74"/>
      <c r="D14" s="74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74"/>
      <c r="P14" s="74"/>
      <c r="Q14" s="56"/>
      <c r="R14" s="56"/>
      <c r="S14" s="38"/>
      <c r="T14" s="38"/>
      <c r="V14" s="42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8"/>
      <c r="AK14" s="38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8"/>
      <c r="AZ14" s="38"/>
      <c r="BA14" s="38"/>
      <c r="BB14" s="38"/>
      <c r="BC14" s="38"/>
      <c r="BD14" s="38"/>
      <c r="BE14" s="38"/>
      <c r="BF14" s="38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8"/>
      <c r="BU14" s="38"/>
      <c r="BV14" s="38"/>
      <c r="BW14" s="38"/>
      <c r="BX14" s="38"/>
      <c r="BY14" s="38"/>
      <c r="BZ14" s="38"/>
      <c r="CA14" s="38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</row>
    <row r="15" spans="1:91" s="1" customFormat="1" ht="15" customHeight="1">
      <c r="A15" s="74"/>
      <c r="B15" s="74"/>
      <c r="C15" s="74"/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56"/>
      <c r="R15" s="56"/>
      <c r="S15" s="38"/>
      <c r="T15" s="38"/>
      <c r="V15" s="42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8"/>
      <c r="AJ15" s="38"/>
      <c r="AK15" s="38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8"/>
      <c r="AZ15" s="38"/>
      <c r="BA15" s="38"/>
      <c r="BB15" s="38"/>
      <c r="BC15" s="38"/>
      <c r="BD15" s="38"/>
      <c r="BE15" s="38"/>
      <c r="BF15" s="38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8"/>
      <c r="BU15" s="38"/>
      <c r="BV15" s="38"/>
      <c r="BW15" s="38"/>
      <c r="BX15" s="38"/>
      <c r="BY15" s="38"/>
      <c r="BZ15" s="38"/>
      <c r="CA15" s="38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</row>
    <row r="16" spans="1:91" s="1" customFormat="1" ht="15" customHeight="1">
      <c r="A16" s="52"/>
      <c r="B16" s="52"/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38"/>
      <c r="N16" s="54"/>
      <c r="O16" s="54"/>
      <c r="P16" s="54"/>
      <c r="Q16" s="2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/>
      <c r="AG16" s="38"/>
      <c r="AH16" s="38"/>
      <c r="AI16" s="38"/>
      <c r="AJ16" s="38"/>
      <c r="AK16" s="38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8"/>
      <c r="AZ16" s="38"/>
      <c r="BA16" s="38"/>
      <c r="BB16" s="38"/>
      <c r="BC16" s="38"/>
      <c r="BD16" s="38"/>
      <c r="BE16" s="38"/>
      <c r="BF16" s="38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8"/>
      <c r="BU16" s="38"/>
      <c r="BV16" s="38"/>
      <c r="BW16" s="38"/>
      <c r="BX16" s="38"/>
      <c r="BY16" s="38"/>
      <c r="BZ16" s="38"/>
      <c r="CA16" s="38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</row>
    <row r="17" spans="1:91" s="1" customFormat="1" ht="15" customHeight="1">
      <c r="A17" s="196" t="s">
        <v>6</v>
      </c>
      <c r="B17" s="196"/>
      <c r="C17" s="196"/>
      <c r="D17" s="37" t="str">
        <f>VLOOKUP(U18,[1]ADRESSE!$A$2:$F$150,2)</f>
        <v>AMCOR FLEXIBLES France</v>
      </c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8"/>
      <c r="T17" s="38"/>
      <c r="U17" s="36" t="s">
        <v>67</v>
      </c>
      <c r="V17" s="38"/>
      <c r="W17" s="38" t="s">
        <v>74</v>
      </c>
      <c r="X17" s="38"/>
      <c r="Y17" s="38"/>
      <c r="Z17" s="38"/>
      <c r="AA17" s="38"/>
      <c r="AB17" s="38"/>
      <c r="AC17" s="38"/>
      <c r="AD17" s="38"/>
      <c r="AE17" s="38"/>
      <c r="AF17" s="38"/>
      <c r="AG17" s="38"/>
      <c r="AH17" s="38"/>
      <c r="AI17" s="38"/>
      <c r="AJ17" s="38"/>
      <c r="AK17" s="38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8"/>
      <c r="AZ17" s="38"/>
      <c r="BA17" s="38"/>
      <c r="BB17" s="38"/>
      <c r="BC17" s="38"/>
      <c r="BD17" s="38"/>
      <c r="BE17" s="38"/>
      <c r="BF17" s="38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8"/>
      <c r="BU17" s="38"/>
      <c r="BV17" s="38"/>
      <c r="BW17" s="38"/>
      <c r="BX17" s="38"/>
      <c r="BY17" s="38"/>
      <c r="BZ17" s="38"/>
      <c r="CA17" s="38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</row>
    <row r="18" spans="1:91" s="1" customFormat="1" ht="15" customHeight="1">
      <c r="A18" s="52"/>
      <c r="B18" s="52"/>
      <c r="C18" s="38"/>
      <c r="D18" s="37" t="str">
        <f>VLOOKUP(U18,[1]ADRESSE!$A$2:$F$150,3)</f>
        <v>Route de Chalais</v>
      </c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8"/>
      <c r="T18" s="38"/>
      <c r="U18" s="35">
        <v>1</v>
      </c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</row>
    <row r="19" spans="1:91" s="1" customFormat="1" ht="15" customHeight="1">
      <c r="A19" s="52"/>
      <c r="B19" s="52"/>
      <c r="C19" s="38"/>
      <c r="D19" s="37" t="str">
        <f>VLOOKUP(U18,[1]ADRESSE!$A$2:$F$150,4)</f>
        <v>BP45</v>
      </c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8"/>
      <c r="AJ19" s="38"/>
      <c r="AK19" s="38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8"/>
      <c r="BU19" s="38"/>
      <c r="BV19" s="38"/>
      <c r="BW19" s="38"/>
      <c r="BX19" s="38"/>
      <c r="BY19" s="38"/>
      <c r="BZ19" s="38"/>
      <c r="CA19" s="38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</row>
    <row r="20" spans="1:91" s="1" customFormat="1" ht="15" customHeight="1">
      <c r="A20" s="52"/>
      <c r="B20" s="52"/>
      <c r="C20" s="52"/>
      <c r="D20" s="57">
        <f>VLOOKUP(U18,[1]ADRESSE!$A$2:$F$150,5)</f>
        <v>16300</v>
      </c>
      <c r="E20" s="37" t="str">
        <f>VLOOKUP(U18,[1]ADRESSE!$A$2:$F$150,6)</f>
        <v>BARBEZIEUX</v>
      </c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</row>
    <row r="21" spans="1:91" s="1" customFormat="1" ht="15" customHeight="1">
      <c r="A21" s="52"/>
      <c r="B21" s="52"/>
      <c r="C21" s="52"/>
      <c r="D21" s="5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</row>
    <row r="22" spans="1:91" s="1" customFormat="1" ht="15" customHeight="1">
      <c r="A22" s="52"/>
      <c r="B22" s="52"/>
      <c r="C22" s="5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</row>
    <row r="23" spans="1:91" s="1" customFormat="1" ht="15" customHeight="1">
      <c r="A23" s="3" t="s">
        <v>27</v>
      </c>
      <c r="B23" s="3"/>
      <c r="C23" s="3"/>
      <c r="D23" s="3"/>
      <c r="E23" s="3"/>
      <c r="F23" s="2"/>
      <c r="G23" s="2"/>
      <c r="H23" s="2"/>
      <c r="I23" s="38"/>
      <c r="J23" s="3" t="s">
        <v>48</v>
      </c>
      <c r="K23" s="3"/>
      <c r="L23" s="3"/>
      <c r="M23" s="3"/>
      <c r="N23" s="3"/>
      <c r="O23" s="3"/>
      <c r="Q23" s="3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</row>
    <row r="24" spans="1:91" s="1" customFormat="1" ht="15" customHeight="1">
      <c r="A24" s="52"/>
      <c r="B24" s="52"/>
      <c r="C24" s="52"/>
      <c r="D24" s="52"/>
      <c r="E24" s="52"/>
      <c r="F24" s="52"/>
      <c r="G24" s="52"/>
      <c r="H24" s="52"/>
      <c r="I24" s="38"/>
      <c r="J24" s="52"/>
      <c r="K24" s="52"/>
      <c r="L24" s="52"/>
      <c r="M24" s="2"/>
      <c r="N24" s="2"/>
      <c r="O24" s="52"/>
      <c r="Q24" s="52"/>
      <c r="S24" s="38"/>
      <c r="T24" s="38"/>
      <c r="U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</row>
    <row r="25" spans="1:91" s="1" customFormat="1" ht="15" customHeight="1">
      <c r="A25" s="52" t="s">
        <v>0</v>
      </c>
      <c r="B25" s="52"/>
      <c r="C25" s="52"/>
      <c r="D25" s="49" t="s">
        <v>100</v>
      </c>
      <c r="E25" s="49"/>
      <c r="F25" s="49"/>
      <c r="G25" s="49"/>
      <c r="H25" s="49"/>
      <c r="I25" s="49"/>
      <c r="J25" s="52" t="s">
        <v>1</v>
      </c>
      <c r="K25" s="52"/>
      <c r="L25" s="52"/>
      <c r="M25" s="52"/>
      <c r="N25" s="59" t="s">
        <v>12</v>
      </c>
      <c r="O25" s="38"/>
      <c r="S25" s="38"/>
      <c r="T25" s="38"/>
      <c r="U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8"/>
      <c r="BU25" s="38"/>
      <c r="BV25" s="38"/>
      <c r="BW25" s="38"/>
      <c r="BX25" s="38"/>
      <c r="BY25" s="38"/>
      <c r="BZ25" s="38"/>
      <c r="CA25" s="38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</row>
    <row r="26" spans="1:91" s="1" customFormat="1" ht="15" customHeight="1">
      <c r="A26" s="52"/>
      <c r="B26" s="58"/>
      <c r="C26" s="58"/>
      <c r="D26" s="39"/>
      <c r="E26" s="38"/>
      <c r="F26" s="38"/>
      <c r="G26" s="38"/>
      <c r="H26" s="38"/>
      <c r="I26" s="38"/>
      <c r="J26" s="54"/>
      <c r="K26" s="54"/>
      <c r="L26" s="54"/>
      <c r="M26" s="59"/>
      <c r="N26" s="39"/>
      <c r="O26" s="39"/>
      <c r="AI26" s="38"/>
      <c r="AJ26" s="38"/>
      <c r="AK26" s="38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8"/>
      <c r="AZ26" s="38"/>
      <c r="BA26" s="38"/>
      <c r="BB26" s="38"/>
      <c r="BC26" s="38"/>
      <c r="BD26" s="38"/>
      <c r="BE26" s="38"/>
      <c r="BF26" s="38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BY26" s="38"/>
      <c r="BZ26" s="38"/>
      <c r="CA26" s="38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</row>
    <row r="27" spans="1:91" s="1" customFormat="1" ht="15" customHeight="1">
      <c r="A27" s="52" t="s">
        <v>101</v>
      </c>
      <c r="B27" s="52"/>
      <c r="C27" s="52"/>
      <c r="D27" s="50"/>
      <c r="E27" s="49"/>
      <c r="F27" s="49"/>
      <c r="G27" s="49"/>
      <c r="H27" s="49"/>
      <c r="I27" s="49"/>
      <c r="J27" s="52" t="s">
        <v>49</v>
      </c>
      <c r="K27" s="52"/>
      <c r="L27" s="52"/>
      <c r="M27" s="52"/>
      <c r="N27" s="38" t="s">
        <v>23</v>
      </c>
      <c r="O27" s="38"/>
      <c r="AI27" s="38"/>
      <c r="AJ27" s="38"/>
      <c r="AK27" s="38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8"/>
      <c r="AZ27" s="38"/>
      <c r="BA27" s="38"/>
      <c r="BB27" s="38"/>
      <c r="BC27" s="38"/>
      <c r="BD27" s="38"/>
      <c r="BE27" s="38"/>
      <c r="BF27" s="38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8"/>
      <c r="BY27" s="38"/>
      <c r="BZ27" s="38"/>
      <c r="CA27" s="38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</row>
    <row r="28" spans="1:91" s="1" customFormat="1" ht="15" customHeight="1">
      <c r="A28" s="52"/>
      <c r="B28" s="52"/>
      <c r="C28" s="52"/>
      <c r="D28" s="39"/>
      <c r="E28" s="38"/>
      <c r="F28" s="38"/>
      <c r="G28" s="38"/>
      <c r="H28" s="38"/>
      <c r="I28" s="38"/>
      <c r="J28" s="54"/>
      <c r="K28" s="54"/>
      <c r="L28" s="38"/>
      <c r="M28" s="38"/>
      <c r="N28" s="5"/>
      <c r="O28" s="39"/>
      <c r="AI28" s="38"/>
      <c r="AJ28" s="38"/>
      <c r="AK28" s="38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8"/>
      <c r="AZ28" s="38"/>
      <c r="BA28" s="38"/>
      <c r="BB28" s="38"/>
      <c r="BC28" s="38"/>
      <c r="BD28" s="38"/>
      <c r="BE28" s="38"/>
      <c r="BF28" s="38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8"/>
      <c r="BU28" s="38"/>
      <c r="BV28" s="38"/>
      <c r="BW28" s="38"/>
      <c r="BX28" s="38"/>
      <c r="BY28" s="38"/>
      <c r="BZ28" s="38"/>
      <c r="CA28" s="38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</row>
    <row r="29" spans="1:91" s="1" customFormat="1" ht="15" customHeight="1">
      <c r="A29" s="52" t="s">
        <v>102</v>
      </c>
      <c r="B29" s="52"/>
      <c r="C29" s="53"/>
      <c r="D29" s="50"/>
      <c r="E29" s="49"/>
      <c r="F29" s="49"/>
      <c r="G29" s="49"/>
      <c r="H29" s="49"/>
      <c r="I29" s="49"/>
      <c r="J29" s="52" t="s">
        <v>8</v>
      </c>
      <c r="K29" s="52"/>
      <c r="L29" s="52"/>
      <c r="M29" s="52"/>
      <c r="N29" s="38" t="s">
        <v>88</v>
      </c>
      <c r="O29" s="38"/>
      <c r="S29" s="38"/>
      <c r="T29" s="38"/>
      <c r="U29" s="38"/>
      <c r="AC29" s="38"/>
      <c r="AD29" s="38"/>
      <c r="AE29" s="38"/>
      <c r="AF29" s="38"/>
      <c r="AG29" s="38"/>
      <c r="AH29" s="38"/>
      <c r="AI29" s="38"/>
      <c r="AJ29" s="38"/>
      <c r="AK29" s="38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8"/>
      <c r="AZ29" s="38"/>
      <c r="BA29" s="38"/>
      <c r="BB29" s="38"/>
      <c r="BC29" s="38"/>
      <c r="BD29" s="38"/>
      <c r="BE29" s="38"/>
      <c r="BF29" s="38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BY29" s="38"/>
      <c r="BZ29" s="38"/>
      <c r="CA29" s="38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</row>
    <row r="30" spans="1:91" s="1" customFormat="1" ht="15" customHeight="1">
      <c r="A30" s="52"/>
      <c r="B30" s="52"/>
      <c r="C30" s="52"/>
      <c r="D30" s="39"/>
      <c r="E30" s="38"/>
      <c r="F30" s="38"/>
      <c r="G30" s="38"/>
      <c r="H30" s="38"/>
      <c r="I30" s="38"/>
      <c r="J30" s="52" t="s">
        <v>2</v>
      </c>
      <c r="K30" s="52"/>
      <c r="L30" s="52"/>
      <c r="M30" s="52"/>
      <c r="N30" s="39" t="s">
        <v>24</v>
      </c>
      <c r="O30" s="39" t="s">
        <v>7</v>
      </c>
      <c r="S30" s="38"/>
      <c r="T30" s="38"/>
      <c r="U30" s="38"/>
      <c r="AC30" s="38"/>
      <c r="AD30" s="38"/>
      <c r="AE30" s="38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8"/>
      <c r="AQ30" s="38"/>
      <c r="AR30" s="38"/>
      <c r="AS30" s="38"/>
      <c r="AT30" s="38"/>
      <c r="AU30" s="38"/>
      <c r="AV30" s="38"/>
      <c r="AW30" s="38"/>
      <c r="AX30" s="38"/>
      <c r="AY30" s="38"/>
      <c r="AZ30" s="38"/>
      <c r="BA30" s="38"/>
      <c r="BB30" s="38"/>
      <c r="BC30" s="38"/>
      <c r="BD30" s="38"/>
      <c r="BE30" s="38"/>
      <c r="BF30" s="38"/>
      <c r="BG30" s="38"/>
      <c r="BH30" s="38"/>
      <c r="BI30" s="38"/>
      <c r="BJ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V30" s="38"/>
      <c r="BW30" s="38"/>
      <c r="BX30" s="38"/>
      <c r="BY30" s="38"/>
      <c r="BZ30" s="38"/>
      <c r="CA30" s="38"/>
      <c r="CB30" s="38"/>
      <c r="CC30" s="38"/>
      <c r="CD30" s="38"/>
      <c r="CE30" s="38"/>
      <c r="CF30" s="38"/>
      <c r="CG30" s="38"/>
      <c r="CH30" s="38"/>
      <c r="CI30" s="38"/>
      <c r="CJ30" s="38"/>
      <c r="CK30" s="38"/>
      <c r="CL30" s="38"/>
      <c r="CM30" s="38"/>
    </row>
    <row r="31" spans="1:91" s="1" customFormat="1" ht="15" customHeight="1">
      <c r="A31" s="52" t="s">
        <v>79</v>
      </c>
      <c r="B31" s="52"/>
      <c r="C31" s="52"/>
      <c r="D31" s="50"/>
      <c r="E31" s="49"/>
      <c r="F31" s="49"/>
      <c r="G31" s="49"/>
      <c r="H31" s="49"/>
      <c r="I31" s="49"/>
      <c r="J31" s="52" t="s">
        <v>3</v>
      </c>
      <c r="K31" s="52"/>
      <c r="L31" s="52"/>
      <c r="M31" s="52"/>
      <c r="N31" s="39" t="s">
        <v>25</v>
      </c>
      <c r="O31" s="39" t="s">
        <v>18</v>
      </c>
      <c r="S31" s="38"/>
      <c r="T31" s="38"/>
      <c r="U31" s="38"/>
      <c r="AC31" s="38"/>
      <c r="AD31" s="38"/>
      <c r="AE31" s="38"/>
      <c r="AF31" s="38"/>
      <c r="AG31" s="38"/>
      <c r="AH31" s="38"/>
      <c r="AI31" s="38"/>
      <c r="AJ31" s="38"/>
      <c r="AK31" s="38"/>
      <c r="AL31" s="38"/>
      <c r="AM31" s="38"/>
      <c r="AN31" s="38"/>
      <c r="AO31" s="38"/>
      <c r="AP31" s="38"/>
      <c r="AQ31" s="38"/>
      <c r="AR31" s="38"/>
      <c r="AS31" s="38"/>
      <c r="AT31" s="38"/>
      <c r="AU31" s="38"/>
      <c r="AV31" s="38"/>
      <c r="AW31" s="38"/>
      <c r="AX31" s="38"/>
      <c r="AY31" s="38"/>
      <c r="AZ31" s="38"/>
      <c r="BA31" s="38"/>
      <c r="BB31" s="38"/>
      <c r="BC31" s="38"/>
      <c r="BD31" s="38"/>
      <c r="BE31" s="38"/>
      <c r="BF31" s="38"/>
      <c r="BG31" s="38"/>
      <c r="BH31" s="38"/>
      <c r="BI31" s="38"/>
      <c r="BJ31" s="38"/>
      <c r="BK31" s="38"/>
      <c r="BL31" s="38"/>
      <c r="BM31" s="38"/>
      <c r="BN31" s="38"/>
      <c r="BO31" s="38"/>
      <c r="BP31" s="38"/>
      <c r="BQ31" s="38"/>
      <c r="BR31" s="38"/>
      <c r="BS31" s="38"/>
      <c r="BT31" s="38"/>
      <c r="BU31" s="38"/>
      <c r="BV31" s="38"/>
      <c r="BW31" s="38"/>
      <c r="BX31" s="38"/>
      <c r="BY31" s="38"/>
      <c r="BZ31" s="38"/>
      <c r="CA31" s="38"/>
      <c r="CB31" s="38"/>
      <c r="CC31" s="38"/>
      <c r="CD31" s="38"/>
      <c r="CE31" s="38"/>
      <c r="CF31" s="38"/>
      <c r="CG31" s="38"/>
      <c r="CH31" s="38"/>
      <c r="CI31" s="38"/>
      <c r="CJ31" s="38"/>
      <c r="CK31" s="38"/>
      <c r="CL31" s="38"/>
      <c r="CM31" s="38"/>
    </row>
    <row r="32" spans="1:91" s="1" customFormat="1" ht="15" customHeight="1">
      <c r="B32" s="52"/>
      <c r="C32" s="52"/>
      <c r="D32" s="39"/>
      <c r="E32" s="60"/>
      <c r="F32" s="60"/>
      <c r="G32" s="60"/>
      <c r="H32" s="60"/>
      <c r="I32" s="38"/>
      <c r="J32" s="54"/>
      <c r="K32" s="54"/>
      <c r="L32" s="38"/>
      <c r="M32" s="38"/>
      <c r="N32" s="39"/>
      <c r="O32" s="39"/>
      <c r="S32" s="38"/>
      <c r="T32" s="38"/>
      <c r="U32" s="38"/>
      <c r="AC32" s="38"/>
      <c r="AD32" s="38"/>
      <c r="AE32" s="38"/>
      <c r="AF32" s="38"/>
      <c r="AG32" s="38"/>
      <c r="AH32" s="38"/>
      <c r="AI32" s="38"/>
      <c r="AJ32" s="38"/>
      <c r="AK32" s="38"/>
      <c r="AL32" s="38"/>
      <c r="AM32" s="38"/>
      <c r="AN32" s="38"/>
      <c r="AO32" s="38"/>
      <c r="AP32" s="38"/>
      <c r="AQ32" s="38"/>
      <c r="AR32" s="38"/>
      <c r="AS32" s="38"/>
      <c r="AT32" s="38"/>
      <c r="AU32" s="38"/>
      <c r="AV32" s="38"/>
      <c r="AW32" s="38"/>
      <c r="AX32" s="38"/>
      <c r="AY32" s="38"/>
      <c r="AZ32" s="38"/>
      <c r="BA32" s="38"/>
      <c r="BB32" s="38"/>
      <c r="BC32" s="38"/>
      <c r="BD32" s="38"/>
      <c r="BE32" s="38"/>
      <c r="BF32" s="38"/>
      <c r="BG32" s="38"/>
      <c r="BH32" s="38"/>
      <c r="BI32" s="38"/>
      <c r="BJ32" s="38"/>
      <c r="BK32" s="38"/>
      <c r="BL32" s="38"/>
      <c r="BM32" s="38"/>
      <c r="BN32" s="38"/>
      <c r="BO32" s="38"/>
      <c r="BP32" s="38"/>
      <c r="BQ32" s="38"/>
      <c r="BR32" s="38"/>
      <c r="BS32" s="38"/>
      <c r="BT32" s="38"/>
      <c r="BU32" s="38"/>
      <c r="BV32" s="38"/>
      <c r="BW32" s="38"/>
      <c r="BX32" s="38"/>
      <c r="BY32" s="38"/>
      <c r="BZ32" s="38"/>
      <c r="CA32" s="38"/>
      <c r="CB32" s="38"/>
      <c r="CC32" s="38"/>
      <c r="CD32" s="38"/>
      <c r="CE32" s="38"/>
      <c r="CF32" s="38"/>
      <c r="CG32" s="38"/>
      <c r="CH32" s="38"/>
      <c r="CI32" s="38"/>
      <c r="CJ32" s="38"/>
      <c r="CK32" s="38"/>
      <c r="CL32" s="38"/>
      <c r="CM32" s="38"/>
    </row>
    <row r="33" spans="1:91" s="1" customFormat="1" ht="15" customHeight="1">
      <c r="A33" s="52" t="s">
        <v>78</v>
      </c>
      <c r="B33" s="52"/>
      <c r="C33" s="53"/>
      <c r="D33" s="50"/>
      <c r="J33" s="52" t="s">
        <v>50</v>
      </c>
      <c r="K33" s="52"/>
      <c r="L33" s="52"/>
      <c r="M33" s="52"/>
      <c r="N33" s="228"/>
      <c r="O33" s="228"/>
      <c r="S33" s="38"/>
      <c r="T33" s="38"/>
      <c r="U33" s="38"/>
      <c r="AC33" s="38"/>
      <c r="AD33" s="38"/>
      <c r="AE33" s="38"/>
      <c r="AF33" s="38"/>
      <c r="AG33" s="38"/>
      <c r="AH33" s="38"/>
      <c r="AI33" s="38"/>
      <c r="AJ33" s="38"/>
      <c r="AK33" s="38"/>
      <c r="AL33" s="38"/>
      <c r="AM33" s="38"/>
      <c r="AN33" s="38"/>
      <c r="AO33" s="38"/>
      <c r="AP33" s="38"/>
      <c r="AQ33" s="38"/>
      <c r="AR33" s="38"/>
      <c r="AS33" s="38"/>
      <c r="AT33" s="38"/>
      <c r="AU33" s="38"/>
      <c r="AV33" s="38"/>
      <c r="AW33" s="38"/>
      <c r="AX33" s="38"/>
      <c r="AY33" s="38"/>
      <c r="AZ33" s="38"/>
      <c r="BA33" s="38"/>
      <c r="BB33" s="38"/>
      <c r="BC33" s="38"/>
      <c r="BD33" s="38"/>
      <c r="BE33" s="38"/>
      <c r="BF33" s="38"/>
      <c r="BG33" s="38"/>
      <c r="BH33" s="38"/>
      <c r="BI33" s="38"/>
      <c r="BJ33" s="38"/>
      <c r="BK33" s="38"/>
      <c r="BL33" s="38"/>
      <c r="BM33" s="38"/>
      <c r="BN33" s="38"/>
      <c r="BO33" s="38"/>
      <c r="BP33" s="38"/>
      <c r="BQ33" s="38"/>
      <c r="BR33" s="38"/>
      <c r="BS33" s="38"/>
      <c r="BT33" s="38"/>
      <c r="BU33" s="38"/>
      <c r="BV33" s="38"/>
      <c r="BW33" s="38"/>
      <c r="BX33" s="38"/>
      <c r="BY33" s="38"/>
      <c r="BZ33" s="38"/>
      <c r="CA33" s="38"/>
      <c r="CB33" s="38"/>
      <c r="CC33" s="38"/>
      <c r="CD33" s="38"/>
      <c r="CE33" s="38"/>
      <c r="CF33" s="38"/>
      <c r="CG33" s="38"/>
      <c r="CH33" s="38"/>
      <c r="CI33" s="38"/>
      <c r="CJ33" s="38"/>
      <c r="CK33" s="38"/>
      <c r="CL33" s="38"/>
      <c r="CM33" s="38"/>
    </row>
    <row r="34" spans="1:91" s="1" customFormat="1" ht="15" customHeight="1">
      <c r="A34" s="52"/>
      <c r="B34" s="52"/>
      <c r="C34" s="52"/>
      <c r="D34" s="39"/>
      <c r="I34" s="6"/>
      <c r="J34" s="52" t="s">
        <v>26</v>
      </c>
      <c r="K34" s="52"/>
      <c r="L34" s="52"/>
      <c r="M34" s="52"/>
      <c r="N34" s="228">
        <f ca="1">TODAY()</f>
        <v>45370</v>
      </c>
      <c r="O34" s="228"/>
      <c r="Q34" s="61"/>
      <c r="S34" s="38"/>
      <c r="T34" s="38"/>
      <c r="U34" s="38"/>
      <c r="AC34" s="38"/>
      <c r="AD34" s="38"/>
      <c r="AE34" s="38"/>
      <c r="AF34" s="38"/>
      <c r="AG34" s="38"/>
      <c r="AH34" s="38"/>
      <c r="AI34" s="38"/>
      <c r="AJ34" s="38"/>
      <c r="AK34" s="38"/>
      <c r="AL34" s="38"/>
      <c r="AM34" s="38"/>
      <c r="AN34" s="38"/>
      <c r="AO34" s="38"/>
      <c r="AP34" s="38"/>
      <c r="AQ34" s="38"/>
      <c r="AR34" s="38"/>
      <c r="AS34" s="38"/>
      <c r="AT34" s="38"/>
      <c r="AU34" s="38"/>
      <c r="AV34" s="38"/>
      <c r="AW34" s="38"/>
      <c r="AX34" s="38"/>
      <c r="AY34" s="38"/>
      <c r="AZ34" s="38"/>
      <c r="BA34" s="38"/>
      <c r="BB34" s="38"/>
      <c r="BC34" s="38"/>
      <c r="BD34" s="38"/>
      <c r="BE34" s="38"/>
      <c r="BF34" s="38"/>
      <c r="BG34" s="38"/>
      <c r="BH34" s="38"/>
      <c r="BI34" s="38"/>
      <c r="BJ34" s="38"/>
      <c r="BK34" s="38"/>
      <c r="BL34" s="38"/>
      <c r="BM34" s="38"/>
      <c r="BN34" s="38"/>
      <c r="BO34" s="38"/>
      <c r="BP34" s="38"/>
      <c r="BQ34" s="38"/>
      <c r="BR34" s="38"/>
      <c r="BS34" s="38"/>
      <c r="BT34" s="38"/>
      <c r="BU34" s="38"/>
      <c r="BV34" s="38"/>
      <c r="BW34" s="38"/>
      <c r="BX34" s="38"/>
      <c r="BY34" s="38"/>
      <c r="BZ34" s="38"/>
      <c r="CA34" s="38"/>
      <c r="CB34" s="38"/>
      <c r="CC34" s="38"/>
      <c r="CD34" s="38"/>
      <c r="CE34" s="38"/>
      <c r="CF34" s="38"/>
      <c r="CG34" s="38"/>
      <c r="CH34" s="38"/>
      <c r="CI34" s="38"/>
      <c r="CJ34" s="38"/>
      <c r="CK34" s="38"/>
      <c r="CL34" s="38"/>
      <c r="CM34" s="38"/>
    </row>
    <row r="35" spans="1:91" s="1" customFormat="1" ht="15" customHeight="1">
      <c r="A35" s="52" t="s">
        <v>22</v>
      </c>
      <c r="B35" s="52"/>
      <c r="C35" s="52"/>
      <c r="D35" s="50" t="s">
        <v>76</v>
      </c>
      <c r="E35" s="38"/>
      <c r="F35" s="38"/>
      <c r="G35" s="38"/>
      <c r="H35" s="38"/>
      <c r="L35" s="54"/>
      <c r="M35" s="54"/>
      <c r="N35" s="54"/>
      <c r="O35" s="54"/>
      <c r="P35" s="54"/>
      <c r="Q35" s="51"/>
      <c r="R35" s="51"/>
      <c r="S35" s="38"/>
      <c r="T35" s="38"/>
      <c r="U35" s="38"/>
      <c r="AC35" s="38"/>
      <c r="AD35" s="38"/>
      <c r="AE35" s="38"/>
      <c r="AF35" s="38"/>
      <c r="AG35" s="38"/>
      <c r="AH35" s="38"/>
      <c r="AI35" s="38"/>
      <c r="AJ35" s="38"/>
      <c r="AK35" s="38"/>
      <c r="AL35" s="38"/>
      <c r="AM35" s="38"/>
      <c r="AN35" s="38"/>
      <c r="AO35" s="38"/>
      <c r="AP35" s="38"/>
      <c r="AQ35" s="38"/>
      <c r="AR35" s="38"/>
      <c r="AS35" s="38"/>
      <c r="AT35" s="38"/>
      <c r="AU35" s="38"/>
      <c r="AV35" s="38"/>
      <c r="AW35" s="38"/>
      <c r="AX35" s="38"/>
      <c r="AY35" s="38"/>
      <c r="AZ35" s="38"/>
      <c r="BA35" s="38"/>
      <c r="BB35" s="38"/>
      <c r="BC35" s="38"/>
      <c r="BD35" s="38"/>
      <c r="BE35" s="38"/>
      <c r="BF35" s="38"/>
      <c r="BG35" s="38"/>
      <c r="BH35" s="38"/>
      <c r="BI35" s="38"/>
      <c r="BJ35" s="38"/>
      <c r="BK35" s="38"/>
      <c r="BL35" s="38"/>
      <c r="BM35" s="38"/>
      <c r="BN35" s="38"/>
      <c r="BO35" s="38"/>
      <c r="BP35" s="38"/>
      <c r="BQ35" s="38"/>
      <c r="BR35" s="38"/>
      <c r="BS35" s="38"/>
      <c r="BT35" s="38"/>
      <c r="BU35" s="38"/>
      <c r="BV35" s="38"/>
      <c r="BW35" s="38"/>
      <c r="BX35" s="38"/>
      <c r="BY35" s="38"/>
      <c r="BZ35" s="38"/>
      <c r="CA35" s="38"/>
      <c r="CB35" s="38"/>
      <c r="CC35" s="38"/>
      <c r="CD35" s="38"/>
      <c r="CE35" s="38"/>
      <c r="CF35" s="38"/>
      <c r="CG35" s="38"/>
      <c r="CH35" s="38"/>
      <c r="CI35" s="38"/>
      <c r="CJ35" s="38"/>
      <c r="CK35" s="38"/>
      <c r="CL35" s="38"/>
      <c r="CM35" s="38"/>
    </row>
    <row r="36" spans="1:91" s="1" customFormat="1" ht="15" customHeight="1">
      <c r="I36" s="6"/>
      <c r="J36" s="6"/>
      <c r="L36" s="54"/>
      <c r="M36" s="54"/>
      <c r="N36" s="54"/>
      <c r="O36" s="54"/>
      <c r="P36" s="54"/>
      <c r="Q36" s="51"/>
      <c r="R36" s="51"/>
      <c r="S36" s="38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/>
      <c r="AI36" s="38"/>
      <c r="AJ36" s="38"/>
      <c r="AK36" s="38"/>
      <c r="AL36" s="38"/>
      <c r="AM36" s="38"/>
      <c r="AN36" s="38"/>
      <c r="AO36" s="38"/>
      <c r="AP36" s="38"/>
      <c r="AQ36" s="38"/>
      <c r="AR36" s="38"/>
      <c r="AS36" s="38"/>
      <c r="AT36" s="38"/>
      <c r="AU36" s="38"/>
      <c r="AV36" s="38"/>
      <c r="AW36" s="38"/>
      <c r="AX36" s="38"/>
      <c r="AY36" s="38"/>
      <c r="AZ36" s="38"/>
      <c r="BA36" s="38"/>
      <c r="BB36" s="38"/>
      <c r="BC36" s="38"/>
      <c r="BD36" s="38"/>
      <c r="BE36" s="38"/>
      <c r="BF36" s="38"/>
      <c r="BG36" s="38"/>
      <c r="BH36" s="38"/>
      <c r="BI36" s="38"/>
      <c r="BJ36" s="38"/>
      <c r="BK36" s="38"/>
      <c r="BL36" s="38"/>
      <c r="BM36" s="38"/>
      <c r="BN36" s="38"/>
      <c r="BO36" s="38"/>
      <c r="BP36" s="38"/>
      <c r="BQ36" s="38"/>
      <c r="BR36" s="38"/>
      <c r="BS36" s="38"/>
      <c r="BT36" s="38"/>
      <c r="BU36" s="38"/>
      <c r="BV36" s="38"/>
      <c r="BW36" s="38"/>
      <c r="BX36" s="38"/>
      <c r="BY36" s="38"/>
      <c r="BZ36" s="38"/>
      <c r="CA36" s="38"/>
      <c r="CB36" s="38"/>
      <c r="CC36" s="38"/>
      <c r="CD36" s="38"/>
      <c r="CE36" s="38"/>
      <c r="CF36" s="38"/>
      <c r="CG36" s="38"/>
      <c r="CH36" s="38"/>
      <c r="CI36" s="38"/>
      <c r="CJ36" s="38"/>
      <c r="CK36" s="38"/>
      <c r="CL36" s="38"/>
      <c r="CM36" s="38"/>
    </row>
    <row r="37" spans="1:91" s="1" customFormat="1" ht="15" customHeight="1">
      <c r="A37" s="38" t="s">
        <v>66</v>
      </c>
      <c r="H37" s="197"/>
      <c r="I37" s="197"/>
      <c r="J37" s="197"/>
      <c r="K37" s="197"/>
      <c r="L37" s="197"/>
      <c r="Q37" s="5"/>
      <c r="R37" s="5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  <c r="AH37" s="38"/>
      <c r="AI37" s="38"/>
      <c r="AJ37" s="38"/>
      <c r="AK37" s="38"/>
      <c r="AL37" s="38"/>
      <c r="AM37" s="38"/>
      <c r="AN37" s="38"/>
      <c r="AO37" s="38"/>
      <c r="AP37" s="38"/>
      <c r="AQ37" s="38"/>
      <c r="AR37" s="38"/>
      <c r="AS37" s="38"/>
      <c r="AT37" s="38"/>
      <c r="AU37" s="38"/>
      <c r="AV37" s="38"/>
      <c r="AW37" s="38"/>
      <c r="AX37" s="38"/>
      <c r="AY37" s="38"/>
      <c r="AZ37" s="38"/>
      <c r="BA37" s="38"/>
      <c r="BB37" s="38"/>
      <c r="BC37" s="38"/>
      <c r="BD37" s="38"/>
      <c r="BE37" s="38"/>
      <c r="BF37" s="38"/>
      <c r="BG37" s="38"/>
      <c r="BH37" s="38"/>
      <c r="BI37" s="38"/>
      <c r="BJ37" s="38"/>
      <c r="BK37" s="38"/>
      <c r="BL37" s="38"/>
      <c r="BM37" s="38"/>
      <c r="BN37" s="38"/>
      <c r="BO37" s="38"/>
      <c r="BP37" s="38"/>
      <c r="BQ37" s="38"/>
      <c r="BR37" s="38"/>
      <c r="BS37" s="38"/>
      <c r="BT37" s="38"/>
      <c r="BU37" s="38"/>
      <c r="BV37" s="38"/>
      <c r="BW37" s="38"/>
      <c r="BX37" s="38"/>
      <c r="BY37" s="38"/>
      <c r="BZ37" s="38"/>
      <c r="CA37" s="38"/>
      <c r="CB37" s="38"/>
      <c r="CC37" s="38"/>
      <c r="CD37" s="38"/>
      <c r="CE37" s="38"/>
      <c r="CF37" s="38"/>
      <c r="CG37" s="38"/>
      <c r="CH37" s="38"/>
      <c r="CI37" s="38"/>
      <c r="CJ37" s="38"/>
      <c r="CK37" s="38"/>
      <c r="CL37" s="38"/>
      <c r="CM37" s="38"/>
    </row>
    <row r="38" spans="1:91" s="1" customFormat="1" ht="15" customHeight="1">
      <c r="A38" s="39"/>
      <c r="B38" s="5"/>
      <c r="C38" s="5"/>
      <c r="D38" s="6"/>
      <c r="E38" s="5"/>
      <c r="F38" s="6"/>
      <c r="H38" s="5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8"/>
      <c r="AG38" s="38"/>
      <c r="AH38" s="38"/>
      <c r="AI38" s="38"/>
      <c r="AJ38" s="38"/>
      <c r="AK38" s="38"/>
      <c r="AL38" s="38"/>
      <c r="AM38" s="38"/>
      <c r="AN38" s="38"/>
      <c r="AO38" s="38"/>
      <c r="AP38" s="38"/>
      <c r="AQ38" s="38"/>
      <c r="AR38" s="38"/>
      <c r="AS38" s="38"/>
      <c r="AT38" s="38"/>
      <c r="AU38" s="38"/>
      <c r="AV38" s="38"/>
      <c r="AW38" s="38"/>
      <c r="AX38" s="38"/>
      <c r="AY38" s="38"/>
      <c r="AZ38" s="38"/>
      <c r="BA38" s="38"/>
      <c r="BB38" s="38"/>
      <c r="BC38" s="38"/>
      <c r="BD38" s="38"/>
      <c r="BE38" s="38"/>
      <c r="BF38" s="38"/>
      <c r="BG38" s="38"/>
      <c r="BH38" s="38"/>
      <c r="BI38" s="38"/>
      <c r="BJ38" s="38"/>
      <c r="BK38" s="38"/>
      <c r="BL38" s="38"/>
      <c r="BM38" s="38"/>
      <c r="BN38" s="38"/>
      <c r="BO38" s="38"/>
      <c r="BP38" s="38"/>
      <c r="BQ38" s="38"/>
      <c r="BR38" s="38"/>
      <c r="BS38" s="38"/>
      <c r="BT38" s="38"/>
      <c r="BU38" s="38"/>
      <c r="BV38" s="38"/>
      <c r="BW38" s="38"/>
      <c r="BX38" s="38"/>
      <c r="BY38" s="38"/>
      <c r="BZ38" s="38"/>
      <c r="CA38" s="38"/>
      <c r="CB38" s="38"/>
      <c r="CC38" s="38"/>
      <c r="CD38" s="38"/>
      <c r="CE38" s="38"/>
      <c r="CF38" s="38"/>
      <c r="CG38" s="38"/>
      <c r="CH38" s="38"/>
      <c r="CI38" s="38"/>
      <c r="CJ38" s="38"/>
      <c r="CK38" s="38"/>
      <c r="CL38" s="38"/>
      <c r="CM38" s="38"/>
    </row>
    <row r="39" spans="1:91" s="1" customFormat="1" ht="15" customHeight="1">
      <c r="A39" s="198" t="s">
        <v>16</v>
      </c>
      <c r="B39" s="198"/>
      <c r="C39" s="198"/>
      <c r="D39" s="41" t="s">
        <v>12</v>
      </c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38"/>
      <c r="T39" s="38">
        <v>4</v>
      </c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8"/>
      <c r="AJ39" s="38"/>
      <c r="AK39" s="38"/>
      <c r="AL39" s="38"/>
      <c r="AM39" s="38"/>
      <c r="AN39" s="38"/>
      <c r="AO39" s="38"/>
      <c r="AP39" s="38"/>
      <c r="AQ39" s="38"/>
      <c r="AR39" s="38"/>
      <c r="AS39" s="38"/>
      <c r="AT39" s="38"/>
      <c r="AU39" s="38"/>
      <c r="AV39" s="38"/>
      <c r="AW39" s="38"/>
      <c r="AX39" s="38"/>
      <c r="AY39" s="38"/>
      <c r="AZ39" s="38"/>
      <c r="BA39" s="38"/>
      <c r="BB39" s="38"/>
      <c r="BC39" s="38"/>
      <c r="BD39" s="38"/>
      <c r="BE39" s="38"/>
      <c r="BF39" s="38"/>
      <c r="BG39" s="38"/>
      <c r="BH39" s="38"/>
      <c r="BI39" s="38"/>
      <c r="BJ39" s="38"/>
      <c r="BK39" s="38"/>
      <c r="BL39" s="38"/>
      <c r="BM39" s="38"/>
      <c r="BN39" s="38"/>
      <c r="BO39" s="38"/>
      <c r="BP39" s="38"/>
      <c r="BQ39" s="38"/>
      <c r="BR39" s="38"/>
      <c r="BS39" s="38"/>
      <c r="BT39" s="38"/>
      <c r="BU39" s="38"/>
      <c r="BV39" s="38"/>
      <c r="BW39" s="38"/>
      <c r="BX39" s="38"/>
      <c r="BY39" s="38"/>
      <c r="BZ39" s="38"/>
      <c r="CA39" s="38"/>
      <c r="CB39" s="38"/>
      <c r="CC39" s="38"/>
      <c r="CD39" s="38"/>
      <c r="CE39" s="38"/>
      <c r="CF39" s="38"/>
      <c r="CG39" s="38"/>
      <c r="CH39" s="38"/>
      <c r="CI39" s="38"/>
      <c r="CJ39" s="38"/>
      <c r="CK39" s="38"/>
      <c r="CL39" s="38"/>
      <c r="CM39" s="38"/>
    </row>
    <row r="40" spans="1:91" s="1" customFormat="1" ht="13.5" customHeight="1">
      <c r="A40" s="39"/>
      <c r="B40" s="39"/>
      <c r="C40" s="39"/>
      <c r="D40" s="41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8"/>
      <c r="AJ40" s="38"/>
      <c r="AK40" s="38"/>
      <c r="AL40" s="38"/>
      <c r="AM40" s="38"/>
      <c r="AN40" s="38"/>
      <c r="AO40" s="38"/>
      <c r="AP40" s="38"/>
      <c r="AQ40" s="38"/>
      <c r="AR40" s="38"/>
      <c r="AS40" s="38"/>
      <c r="AT40" s="38"/>
      <c r="AU40" s="38"/>
      <c r="AV40" s="38"/>
      <c r="AW40" s="38"/>
      <c r="AX40" s="38"/>
      <c r="AY40" s="38"/>
      <c r="AZ40" s="38"/>
      <c r="BA40" s="38"/>
      <c r="BB40" s="38"/>
      <c r="BC40" s="38"/>
      <c r="BD40" s="38"/>
      <c r="BE40" s="38"/>
      <c r="BF40" s="38"/>
      <c r="BG40" s="38"/>
      <c r="BH40" s="38"/>
      <c r="BI40" s="38"/>
      <c r="BJ40" s="38"/>
      <c r="BK40" s="38"/>
      <c r="BL40" s="38"/>
      <c r="BM40" s="38"/>
      <c r="BN40" s="38"/>
      <c r="BO40" s="38"/>
      <c r="BP40" s="38"/>
      <c r="BQ40" s="38"/>
      <c r="BR40" s="38"/>
      <c r="BS40" s="38"/>
      <c r="BT40" s="38"/>
      <c r="BU40" s="38"/>
      <c r="BV40" s="38"/>
      <c r="BW40" s="38"/>
      <c r="BX40" s="38"/>
      <c r="BY40" s="38"/>
      <c r="BZ40" s="38"/>
      <c r="CA40" s="38"/>
      <c r="CB40" s="38"/>
      <c r="CC40" s="38"/>
      <c r="CD40" s="38"/>
      <c r="CE40" s="38"/>
      <c r="CF40" s="38"/>
      <c r="CG40" s="38"/>
      <c r="CH40" s="38"/>
      <c r="CI40" s="38"/>
      <c r="CJ40" s="38"/>
      <c r="CK40" s="38"/>
      <c r="CL40" s="38"/>
      <c r="CM40" s="38"/>
    </row>
    <row r="41" spans="1:91" s="1" customFormat="1" ht="13.5" customHeight="1">
      <c r="A41" s="39"/>
      <c r="B41" s="39"/>
      <c r="C41" s="39"/>
      <c r="D41" s="41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38"/>
      <c r="T41" s="38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  <c r="AF41" s="38"/>
      <c r="AG41" s="38"/>
      <c r="AH41" s="38"/>
      <c r="AI41" s="38"/>
      <c r="AJ41" s="38"/>
      <c r="AK41" s="38"/>
      <c r="AL41" s="38"/>
      <c r="AM41" s="38"/>
      <c r="AN41" s="38"/>
      <c r="AO41" s="38"/>
      <c r="AP41" s="38"/>
      <c r="AQ41" s="38"/>
      <c r="AR41" s="38"/>
      <c r="AS41" s="38"/>
      <c r="AT41" s="38"/>
      <c r="AU41" s="38"/>
      <c r="AV41" s="38"/>
      <c r="AW41" s="38"/>
      <c r="AX41" s="38"/>
      <c r="AY41" s="38"/>
      <c r="AZ41" s="38"/>
      <c r="BA41" s="38"/>
      <c r="BB41" s="38"/>
      <c r="BC41" s="38"/>
      <c r="BD41" s="38"/>
      <c r="BE41" s="38"/>
      <c r="BF41" s="38"/>
      <c r="BG41" s="38"/>
      <c r="BH41" s="38"/>
      <c r="BI41" s="38"/>
      <c r="BJ41" s="38"/>
      <c r="BK41" s="38"/>
      <c r="BL41" s="38"/>
      <c r="BM41" s="38"/>
      <c r="BN41" s="38"/>
      <c r="BO41" s="38"/>
      <c r="BP41" s="38"/>
      <c r="BQ41" s="38"/>
      <c r="BR41" s="38"/>
      <c r="BS41" s="38"/>
      <c r="BT41" s="38"/>
      <c r="BU41" s="38"/>
      <c r="BV41" s="38"/>
      <c r="BW41" s="38"/>
      <c r="BX41" s="38"/>
      <c r="BY41" s="38"/>
      <c r="BZ41" s="38"/>
      <c r="CA41" s="38"/>
      <c r="CB41" s="38"/>
      <c r="CC41" s="38"/>
      <c r="CD41" s="38"/>
      <c r="CE41" s="38"/>
      <c r="CF41" s="38"/>
      <c r="CG41" s="38"/>
      <c r="CH41" s="38"/>
      <c r="CI41" s="38"/>
      <c r="CJ41" s="38"/>
      <c r="CK41" s="38"/>
      <c r="CL41" s="38"/>
      <c r="CM41" s="38"/>
    </row>
    <row r="42" spans="1:91" s="1" customFormat="1" ht="13.5" customHeight="1">
      <c r="A42" s="59"/>
      <c r="B42" s="59"/>
      <c r="C42" s="59"/>
      <c r="D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38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I42" s="38"/>
      <c r="AJ42" s="38"/>
      <c r="AK42" s="38"/>
      <c r="AL42" s="38"/>
      <c r="AM42" s="38"/>
      <c r="AN42" s="38"/>
      <c r="AO42" s="38"/>
      <c r="AP42" s="38"/>
      <c r="AQ42" s="38"/>
      <c r="AR42" s="38"/>
      <c r="AS42" s="38"/>
      <c r="AT42" s="38"/>
      <c r="AU42" s="38"/>
      <c r="AV42" s="38"/>
      <c r="AW42" s="38"/>
      <c r="AX42" s="38"/>
      <c r="AY42" s="38"/>
      <c r="AZ42" s="38"/>
      <c r="BA42" s="38"/>
      <c r="BB42" s="38"/>
      <c r="BC42" s="38"/>
      <c r="BD42" s="38"/>
      <c r="BE42" s="38"/>
      <c r="BF42" s="38"/>
      <c r="BG42" s="38"/>
      <c r="BH42" s="38"/>
      <c r="BI42" s="38"/>
      <c r="BJ42" s="38"/>
      <c r="BK42" s="38"/>
      <c r="BL42" s="38"/>
      <c r="BM42" s="38"/>
      <c r="BN42" s="38"/>
      <c r="BO42" s="38"/>
      <c r="BP42" s="38"/>
      <c r="BQ42" s="38"/>
      <c r="BR42" s="38"/>
      <c r="BS42" s="38"/>
      <c r="BT42" s="38"/>
      <c r="BU42" s="38"/>
      <c r="BV42" s="38"/>
      <c r="BW42" s="38"/>
      <c r="BX42" s="38"/>
      <c r="BY42" s="38"/>
      <c r="BZ42" s="38"/>
      <c r="CA42" s="38"/>
      <c r="CB42" s="38"/>
      <c r="CC42" s="38"/>
      <c r="CD42" s="38"/>
      <c r="CE42" s="38"/>
      <c r="CF42" s="38"/>
      <c r="CG42" s="38"/>
      <c r="CH42" s="38"/>
      <c r="CI42" s="38"/>
      <c r="CJ42" s="38"/>
      <c r="CK42" s="38"/>
      <c r="CL42" s="38"/>
      <c r="CM42" s="38"/>
    </row>
    <row r="43" spans="1:91" s="1" customFormat="1" ht="13.5" customHeight="1">
      <c r="A43" s="59"/>
      <c r="B43" s="59"/>
      <c r="C43" s="59"/>
      <c r="D43" s="52"/>
      <c r="G43" s="52"/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2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8"/>
      <c r="AJ43" s="38"/>
      <c r="AK43" s="38"/>
      <c r="AL43" s="38"/>
      <c r="AM43" s="38"/>
      <c r="AN43" s="38"/>
      <c r="AO43" s="38"/>
      <c r="AP43" s="38"/>
      <c r="AQ43" s="38"/>
      <c r="AR43" s="38"/>
      <c r="AS43" s="38"/>
      <c r="AT43" s="38"/>
      <c r="AU43" s="38"/>
      <c r="AV43" s="38"/>
      <c r="AW43" s="38"/>
      <c r="AX43" s="38"/>
      <c r="AY43" s="38"/>
      <c r="AZ43" s="38"/>
      <c r="BA43" s="38"/>
      <c r="BB43" s="38"/>
      <c r="BC43" s="38"/>
      <c r="BD43" s="38"/>
      <c r="BE43" s="38"/>
      <c r="BF43" s="38"/>
      <c r="BG43" s="38"/>
      <c r="BH43" s="38"/>
      <c r="BI43" s="38"/>
      <c r="BJ43" s="38"/>
      <c r="BK43" s="38"/>
      <c r="BL43" s="38"/>
      <c r="BM43" s="38"/>
      <c r="BN43" s="38"/>
      <c r="BO43" s="38"/>
      <c r="BP43" s="38"/>
      <c r="BQ43" s="38"/>
      <c r="BR43" s="38"/>
      <c r="BS43" s="38"/>
      <c r="BT43" s="38"/>
      <c r="BU43" s="38"/>
      <c r="BV43" s="38"/>
      <c r="BW43" s="38"/>
      <c r="BX43" s="38"/>
      <c r="BY43" s="38"/>
      <c r="BZ43" s="38"/>
      <c r="CA43" s="38"/>
      <c r="CB43" s="38"/>
      <c r="CC43" s="38"/>
      <c r="CD43" s="38"/>
      <c r="CE43" s="38"/>
      <c r="CF43" s="38"/>
      <c r="CG43" s="38"/>
      <c r="CH43" s="38"/>
      <c r="CI43" s="38"/>
      <c r="CJ43" s="38"/>
      <c r="CK43" s="38"/>
      <c r="CL43" s="38"/>
      <c r="CM43" s="38"/>
    </row>
    <row r="44" spans="1:91" s="1" customFormat="1" ht="15" customHeight="1">
      <c r="A44" s="199" t="s">
        <v>80</v>
      </c>
      <c r="B44" s="199"/>
      <c r="C44" s="199"/>
      <c r="D44" s="41" t="s">
        <v>12</v>
      </c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S44" s="38"/>
      <c r="T44" s="37" t="s">
        <v>81</v>
      </c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8"/>
      <c r="AJ44" s="38"/>
      <c r="AK44" s="38"/>
      <c r="AL44" s="38"/>
      <c r="AM44" s="38"/>
      <c r="AN44" s="38"/>
      <c r="AO44" s="38"/>
      <c r="AP44" s="38"/>
      <c r="AQ44" s="38"/>
      <c r="AR44" s="38"/>
      <c r="AS44" s="38"/>
      <c r="AT44" s="38"/>
      <c r="AU44" s="38"/>
      <c r="AV44" s="38"/>
      <c r="AW44" s="38"/>
      <c r="AX44" s="38"/>
      <c r="AY44" s="38"/>
      <c r="AZ44" s="38"/>
      <c r="BA44" s="38"/>
      <c r="BB44" s="38"/>
      <c r="BC44" s="38"/>
      <c r="BD44" s="38"/>
      <c r="BE44" s="38"/>
      <c r="BF44" s="38"/>
      <c r="BG44" s="38"/>
      <c r="BH44" s="38"/>
      <c r="BI44" s="38"/>
      <c r="BJ44" s="38"/>
      <c r="BK44" s="38"/>
      <c r="BL44" s="38"/>
      <c r="BM44" s="38"/>
      <c r="BN44" s="38"/>
      <c r="BO44" s="38"/>
      <c r="BP44" s="38"/>
      <c r="BQ44" s="38"/>
      <c r="BR44" s="38"/>
      <c r="BS44" s="38"/>
      <c r="BT44" s="38"/>
      <c r="BU44" s="38"/>
      <c r="BV44" s="38"/>
      <c r="BW44" s="38"/>
      <c r="BX44" s="38"/>
      <c r="BY44" s="38"/>
      <c r="BZ44" s="38"/>
      <c r="CA44" s="38"/>
      <c r="CB44" s="38"/>
      <c r="CC44" s="38"/>
      <c r="CD44" s="38"/>
      <c r="CE44" s="38"/>
      <c r="CF44" s="38"/>
      <c r="CG44" s="38"/>
      <c r="CH44" s="38"/>
      <c r="CI44" s="38"/>
      <c r="CJ44" s="38"/>
      <c r="CK44" s="38"/>
      <c r="CL44" s="38"/>
      <c r="CM44" s="38"/>
    </row>
    <row r="45" spans="1:91" s="1" customFormat="1" ht="15" customHeight="1">
      <c r="A45" s="62"/>
      <c r="B45" s="62"/>
      <c r="C45" s="6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52"/>
      <c r="S45" s="38"/>
      <c r="T45" s="37" t="s">
        <v>82</v>
      </c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8"/>
      <c r="AJ45" s="38"/>
      <c r="AK45" s="38"/>
      <c r="AL45" s="38"/>
      <c r="AM45" s="38"/>
      <c r="AN45" s="38"/>
      <c r="AO45" s="38"/>
      <c r="AP45" s="38"/>
      <c r="AQ45" s="38"/>
      <c r="AR45" s="38"/>
      <c r="AS45" s="38"/>
      <c r="AT45" s="38"/>
      <c r="AU45" s="38"/>
      <c r="AV45" s="38"/>
      <c r="AW45" s="38"/>
      <c r="AX45" s="38"/>
      <c r="AY45" s="38"/>
      <c r="AZ45" s="38"/>
      <c r="BA45" s="38"/>
      <c r="BB45" s="38"/>
      <c r="BC45" s="38"/>
      <c r="BD45" s="38"/>
      <c r="BE45" s="38"/>
      <c r="BF45" s="38"/>
      <c r="BG45" s="38"/>
      <c r="BH45" s="38"/>
      <c r="BI45" s="38"/>
      <c r="BJ45" s="38"/>
      <c r="BK45" s="38"/>
      <c r="BL45" s="38"/>
      <c r="BM45" s="38"/>
      <c r="BN45" s="38"/>
      <c r="BO45" s="38"/>
      <c r="BP45" s="38"/>
      <c r="BQ45" s="38"/>
      <c r="BR45" s="38"/>
      <c r="BS45" s="38"/>
      <c r="BT45" s="38"/>
      <c r="BU45" s="38"/>
      <c r="BV45" s="38"/>
      <c r="BW45" s="38"/>
      <c r="BX45" s="38"/>
      <c r="BY45" s="38"/>
      <c r="BZ45" s="38"/>
      <c r="CA45" s="38"/>
      <c r="CB45" s="38"/>
      <c r="CC45" s="38"/>
      <c r="CD45" s="38"/>
      <c r="CE45" s="38"/>
      <c r="CF45" s="38"/>
      <c r="CG45" s="38"/>
      <c r="CH45" s="38"/>
      <c r="CI45" s="38"/>
      <c r="CJ45" s="38"/>
      <c r="CK45" s="38"/>
      <c r="CL45" s="38"/>
      <c r="CM45" s="38"/>
    </row>
    <row r="46" spans="1:91" s="1" customFormat="1" ht="15" customHeight="1">
      <c r="A46" s="200" t="s">
        <v>83</v>
      </c>
      <c r="B46" s="200"/>
      <c r="C46" s="200"/>
      <c r="D46" s="63" t="str">
        <f>IF(T39=1,"",IF(T39=2,T44,IF(T39=3,T45,IF(T39=4,T46,IF(T39=5,T47,IF(T39=6,T48))))))</f>
        <v>CONFORME au plan de définition</v>
      </c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2"/>
      <c r="S46" s="38"/>
      <c r="T46" s="47" t="s">
        <v>71</v>
      </c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I46" s="38"/>
      <c r="AJ46" s="38"/>
      <c r="AK46" s="38"/>
      <c r="AL46" s="38"/>
      <c r="AM46" s="38"/>
      <c r="AN46" s="38"/>
      <c r="AO46" s="38"/>
      <c r="AP46" s="38"/>
      <c r="AQ46" s="38"/>
      <c r="AR46" s="38"/>
      <c r="AS46" s="38"/>
      <c r="AT46" s="38"/>
      <c r="AU46" s="38"/>
      <c r="AV46" s="38"/>
      <c r="AW46" s="38"/>
      <c r="AX46" s="38"/>
      <c r="AY46" s="38"/>
      <c r="AZ46" s="38"/>
      <c r="BA46" s="38"/>
      <c r="BB46" s="38"/>
      <c r="BC46" s="38"/>
      <c r="BD46" s="38"/>
      <c r="BE46" s="38"/>
      <c r="BF46" s="38"/>
      <c r="BG46" s="38"/>
      <c r="BH46" s="38"/>
      <c r="BI46" s="38"/>
      <c r="BJ46" s="38"/>
      <c r="BK46" s="38"/>
      <c r="BL46" s="38"/>
      <c r="BM46" s="38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BY46" s="38"/>
      <c r="BZ46" s="38"/>
      <c r="CA46" s="38"/>
      <c r="CB46" s="38"/>
      <c r="CC46" s="38"/>
      <c r="CD46" s="38"/>
      <c r="CE46" s="38"/>
      <c r="CF46" s="38"/>
      <c r="CG46" s="38"/>
      <c r="CH46" s="38"/>
      <c r="CI46" s="38"/>
      <c r="CJ46" s="38"/>
      <c r="CK46" s="38"/>
      <c r="CL46" s="38"/>
      <c r="CM46" s="38"/>
    </row>
    <row r="47" spans="1:91" s="1" customFormat="1" ht="15" customHeight="1">
      <c r="R47" s="3"/>
      <c r="S47" s="38"/>
      <c r="T47" s="47" t="s">
        <v>72</v>
      </c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38"/>
      <c r="AI47" s="38"/>
      <c r="AJ47" s="38"/>
      <c r="AK47" s="38"/>
      <c r="AL47" s="38"/>
      <c r="AM47" s="38"/>
      <c r="AN47" s="38"/>
      <c r="AO47" s="38"/>
      <c r="AP47" s="38"/>
      <c r="AQ47" s="38"/>
      <c r="AR47" s="38"/>
      <c r="AS47" s="38"/>
      <c r="AT47" s="38"/>
      <c r="AU47" s="38"/>
      <c r="AV47" s="38"/>
      <c r="AW47" s="38"/>
      <c r="AX47" s="38"/>
      <c r="AY47" s="38"/>
      <c r="AZ47" s="38"/>
      <c r="BA47" s="38"/>
      <c r="BB47" s="38"/>
      <c r="BC47" s="38"/>
      <c r="BD47" s="38"/>
      <c r="BE47" s="38"/>
      <c r="BF47" s="38"/>
      <c r="BG47" s="38"/>
      <c r="BH47" s="38"/>
      <c r="BI47" s="38"/>
      <c r="BJ47" s="38"/>
      <c r="BK47" s="38"/>
      <c r="BL47" s="38"/>
      <c r="BM47" s="38"/>
      <c r="BN47" s="38"/>
      <c r="BO47" s="38"/>
      <c r="BP47" s="38"/>
      <c r="BQ47" s="38"/>
      <c r="BR47" s="38"/>
      <c r="BS47" s="38"/>
      <c r="BT47" s="38"/>
      <c r="BU47" s="38"/>
      <c r="BV47" s="38"/>
      <c r="BW47" s="38"/>
      <c r="BX47" s="38"/>
      <c r="BY47" s="38"/>
      <c r="BZ47" s="38"/>
      <c r="CA47" s="38"/>
      <c r="CB47" s="38"/>
      <c r="CC47" s="38"/>
      <c r="CD47" s="38"/>
      <c r="CE47" s="38"/>
      <c r="CF47" s="38"/>
      <c r="CG47" s="38"/>
      <c r="CH47" s="38"/>
      <c r="CI47" s="38"/>
      <c r="CJ47" s="38"/>
      <c r="CK47" s="38"/>
      <c r="CL47" s="38"/>
      <c r="CM47" s="38"/>
    </row>
    <row r="48" spans="1:91" s="1" customFormat="1" ht="15" customHeight="1">
      <c r="A48" s="2"/>
      <c r="B48" s="2"/>
      <c r="C48" s="2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8"/>
      <c r="T48" s="48" t="s">
        <v>70</v>
      </c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38"/>
      <c r="AP48" s="38"/>
      <c r="AQ48" s="38"/>
      <c r="AR48" s="38"/>
      <c r="AS48" s="38"/>
      <c r="AT48" s="38"/>
      <c r="AU48" s="38"/>
      <c r="AV48" s="38"/>
      <c r="AW48" s="38"/>
      <c r="AX48" s="38"/>
      <c r="AY48" s="38"/>
      <c r="AZ48" s="38"/>
      <c r="BA48" s="38"/>
      <c r="BB48" s="38"/>
      <c r="BC48" s="38"/>
      <c r="BD48" s="38"/>
      <c r="BE48" s="38"/>
      <c r="BF48" s="38"/>
      <c r="BG48" s="38"/>
      <c r="BH48" s="38"/>
      <c r="BI48" s="38"/>
      <c r="BJ48" s="38"/>
      <c r="BK48" s="38"/>
      <c r="BL48" s="38"/>
      <c r="BM48" s="38"/>
      <c r="BN48" s="38"/>
      <c r="BO48" s="38"/>
      <c r="BP48" s="38"/>
      <c r="BQ48" s="38"/>
      <c r="BR48" s="38"/>
      <c r="BS48" s="38"/>
      <c r="BT48" s="38"/>
      <c r="BU48" s="38"/>
      <c r="BV48" s="38"/>
      <c r="BW48" s="38"/>
      <c r="BX48" s="38"/>
      <c r="BY48" s="38"/>
      <c r="BZ48" s="38"/>
      <c r="CA48" s="38"/>
      <c r="CB48" s="38"/>
      <c r="CC48" s="38"/>
      <c r="CD48" s="38"/>
      <c r="CE48" s="38"/>
      <c r="CF48" s="38"/>
      <c r="CG48" s="38"/>
      <c r="CH48" s="38"/>
      <c r="CI48" s="38"/>
      <c r="CJ48" s="38"/>
      <c r="CK48" s="38"/>
      <c r="CL48" s="38"/>
      <c r="CM48" s="38"/>
    </row>
    <row r="49" spans="1:91" s="1" customFormat="1" ht="15" customHeight="1">
      <c r="A49" s="4"/>
      <c r="B49" s="4"/>
      <c r="C49" s="4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8"/>
      <c r="AJ49" s="38"/>
      <c r="AK49" s="38"/>
      <c r="AL49" s="38"/>
      <c r="AM49" s="38"/>
      <c r="AN49" s="38"/>
      <c r="AO49" s="38"/>
      <c r="AP49" s="38"/>
      <c r="AQ49" s="38"/>
      <c r="AR49" s="38"/>
      <c r="AS49" s="38"/>
      <c r="AT49" s="38"/>
      <c r="AU49" s="38"/>
      <c r="AV49" s="38"/>
      <c r="AW49" s="38"/>
      <c r="AX49" s="38"/>
      <c r="AY49" s="38"/>
      <c r="AZ49" s="38"/>
      <c r="BA49" s="38"/>
      <c r="BB49" s="38"/>
      <c r="BC49" s="38"/>
      <c r="BD49" s="38"/>
      <c r="BE49" s="38"/>
      <c r="BF49" s="38"/>
      <c r="BG49" s="38"/>
      <c r="BH49" s="38"/>
      <c r="BI49" s="38"/>
      <c r="BJ49" s="38"/>
      <c r="BK49" s="38"/>
      <c r="BL49" s="38"/>
      <c r="BM49" s="38"/>
      <c r="BN49" s="38"/>
      <c r="BO49" s="38"/>
      <c r="BP49" s="38"/>
      <c r="BQ49" s="38"/>
      <c r="BR49" s="38"/>
      <c r="BS49" s="38"/>
      <c r="BT49" s="38"/>
      <c r="BU49" s="38"/>
      <c r="BV49" s="38"/>
      <c r="BW49" s="38"/>
      <c r="BX49" s="38"/>
      <c r="BY49" s="38"/>
      <c r="BZ49" s="38"/>
      <c r="CA49" s="38"/>
      <c r="CB49" s="38"/>
      <c r="CC49" s="38"/>
      <c r="CD49" s="38"/>
      <c r="CE49" s="38"/>
      <c r="CF49" s="38"/>
      <c r="CG49" s="38"/>
      <c r="CH49" s="38"/>
      <c r="CI49" s="38"/>
      <c r="CJ49" s="38"/>
      <c r="CK49" s="38"/>
      <c r="CL49" s="38"/>
      <c r="CM49" s="38"/>
    </row>
    <row r="50" spans="1:91" s="1" customFormat="1" ht="15" customHeight="1">
      <c r="A50" s="52"/>
      <c r="B50" s="52"/>
      <c r="C50" s="52"/>
      <c r="D50" s="52"/>
      <c r="E50" s="52"/>
      <c r="F50" s="52"/>
      <c r="G50" s="52"/>
      <c r="H50" s="52"/>
      <c r="I50" s="52"/>
      <c r="J50" s="52"/>
      <c r="P50" s="2"/>
      <c r="Q50" s="2"/>
      <c r="R50" s="2"/>
      <c r="S50" s="38"/>
      <c r="T50" s="4"/>
      <c r="U50" s="4"/>
      <c r="V50" s="4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38"/>
      <c r="AJ50" s="38"/>
      <c r="AK50" s="38"/>
      <c r="AL50" s="38"/>
      <c r="AM50" s="38"/>
      <c r="AN50" s="38"/>
      <c r="AO50" s="38"/>
      <c r="AP50" s="38"/>
      <c r="AQ50" s="38"/>
      <c r="AR50" s="38"/>
      <c r="AS50" s="38"/>
      <c r="AT50" s="38"/>
      <c r="AU50" s="38"/>
      <c r="AV50" s="38"/>
      <c r="AW50" s="38"/>
      <c r="AX50" s="38"/>
      <c r="AY50" s="38"/>
      <c r="AZ50" s="38"/>
      <c r="BA50" s="38"/>
      <c r="BB50" s="38"/>
      <c r="BC50" s="38"/>
      <c r="BD50" s="38"/>
      <c r="BE50" s="38"/>
      <c r="BF50" s="38"/>
      <c r="BG50" s="38"/>
      <c r="BH50" s="38"/>
      <c r="BI50" s="38"/>
      <c r="BJ50" s="38"/>
      <c r="BK50" s="38"/>
      <c r="BL50" s="38"/>
      <c r="BM50" s="38"/>
      <c r="BN50" s="38"/>
      <c r="BO50" s="38"/>
      <c r="BP50" s="38"/>
      <c r="BQ50" s="38"/>
      <c r="BR50" s="38"/>
      <c r="BS50" s="38"/>
      <c r="BT50" s="38"/>
      <c r="BU50" s="38"/>
      <c r="BV50" s="38"/>
      <c r="BW50" s="38"/>
      <c r="BX50" s="38"/>
      <c r="BY50" s="38"/>
      <c r="BZ50" s="38"/>
      <c r="CA50" s="38"/>
      <c r="CB50" s="38"/>
      <c r="CC50" s="38"/>
      <c r="CD50" s="38"/>
      <c r="CE50" s="38"/>
      <c r="CF50" s="38"/>
      <c r="CG50" s="38"/>
      <c r="CH50" s="38"/>
      <c r="CI50" s="38"/>
      <c r="CJ50" s="38"/>
      <c r="CK50" s="38"/>
      <c r="CL50" s="38"/>
      <c r="CM50" s="38"/>
    </row>
    <row r="51" spans="1:91" s="1" customFormat="1" ht="15" customHeight="1">
      <c r="A51" s="202" t="s">
        <v>58</v>
      </c>
      <c r="B51" s="202"/>
      <c r="C51" s="202"/>
      <c r="D51" s="41" t="s">
        <v>108</v>
      </c>
      <c r="E51" s="54" t="s">
        <v>57</v>
      </c>
      <c r="G51" s="54"/>
      <c r="H51" s="54"/>
      <c r="I51" s="54"/>
      <c r="J51" s="38" t="s">
        <v>59</v>
      </c>
      <c r="K51" s="38"/>
      <c r="L51" s="38"/>
      <c r="M51" s="38"/>
      <c r="N51" s="198" t="str">
        <f>IF(U53=1,"",IF(U53=2,T53,IF(U53=3,T54)))</f>
        <v>J. LANOUX</v>
      </c>
      <c r="O51" s="198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38"/>
      <c r="AI51" s="38"/>
      <c r="AJ51" s="38"/>
      <c r="AK51" s="38"/>
      <c r="AL51" s="38"/>
      <c r="AM51" s="38"/>
      <c r="AN51" s="38"/>
      <c r="AO51" s="38"/>
      <c r="AP51" s="38"/>
      <c r="AQ51" s="38"/>
      <c r="AR51" s="38"/>
      <c r="AS51" s="38"/>
      <c r="AT51" s="38"/>
      <c r="AU51" s="38"/>
      <c r="AV51" s="38"/>
      <c r="AW51" s="38"/>
      <c r="AX51" s="38"/>
      <c r="AY51" s="38"/>
      <c r="AZ51" s="38"/>
      <c r="BA51" s="38"/>
      <c r="BB51" s="38"/>
      <c r="BC51" s="38"/>
      <c r="BD51" s="38"/>
      <c r="BE51" s="38"/>
      <c r="BF51" s="38"/>
      <c r="BG51" s="38"/>
      <c r="BH51" s="38"/>
      <c r="BI51" s="38"/>
      <c r="BJ51" s="38"/>
      <c r="BK51" s="38"/>
      <c r="BL51" s="38"/>
      <c r="BM51" s="38"/>
      <c r="BN51" s="38"/>
      <c r="BO51" s="38"/>
      <c r="BP51" s="38"/>
      <c r="BQ51" s="38"/>
      <c r="BR51" s="38"/>
      <c r="BS51" s="38"/>
      <c r="BT51" s="38"/>
      <c r="BU51" s="38"/>
      <c r="BV51" s="38"/>
      <c r="BW51" s="38"/>
      <c r="BX51" s="38"/>
      <c r="BY51" s="38"/>
      <c r="BZ51" s="38"/>
      <c r="CA51" s="38"/>
      <c r="CB51" s="38"/>
      <c r="CC51" s="38"/>
      <c r="CD51" s="38"/>
      <c r="CE51" s="38"/>
      <c r="CF51" s="38"/>
      <c r="CG51" s="38"/>
      <c r="CH51" s="38"/>
      <c r="CI51" s="38"/>
      <c r="CJ51" s="38"/>
      <c r="CK51" s="38"/>
      <c r="CL51" s="38"/>
      <c r="CM51" s="38"/>
    </row>
    <row r="52" spans="1:91" s="1" customFormat="1" ht="15" customHeight="1">
      <c r="A52" s="52"/>
      <c r="B52" s="52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38"/>
      <c r="N52" s="38"/>
      <c r="O52" s="38"/>
      <c r="Q52" s="38"/>
      <c r="R52" s="38"/>
      <c r="S52" s="38"/>
      <c r="U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38"/>
      <c r="AM52" s="38"/>
      <c r="AN52" s="38"/>
      <c r="AO52" s="38"/>
      <c r="AP52" s="38"/>
      <c r="AQ52" s="38"/>
      <c r="AR52" s="38"/>
      <c r="AS52" s="38"/>
      <c r="AT52" s="38"/>
      <c r="AU52" s="38"/>
      <c r="AV52" s="38"/>
      <c r="AW52" s="38"/>
      <c r="AX52" s="38"/>
      <c r="AY52" s="38"/>
      <c r="AZ52" s="38"/>
      <c r="BA52" s="38"/>
      <c r="BB52" s="38"/>
      <c r="BC52" s="38"/>
      <c r="BD52" s="38"/>
      <c r="BE52" s="38"/>
      <c r="BF52" s="38"/>
      <c r="BG52" s="38"/>
      <c r="BH52" s="38"/>
      <c r="BI52" s="38"/>
      <c r="BJ52" s="38"/>
      <c r="BK52" s="38"/>
      <c r="BL52" s="38"/>
      <c r="BM52" s="38"/>
      <c r="BN52" s="38"/>
      <c r="BO52" s="38"/>
      <c r="BP52" s="38"/>
      <c r="BQ52" s="38"/>
      <c r="BR52" s="38"/>
      <c r="BS52" s="38"/>
      <c r="BT52" s="38"/>
      <c r="BU52" s="38"/>
      <c r="BV52" s="38"/>
      <c r="BW52" s="38"/>
      <c r="BX52" s="38"/>
      <c r="BY52" s="38"/>
      <c r="BZ52" s="38"/>
      <c r="CA52" s="38"/>
      <c r="CB52" s="38"/>
      <c r="CC52" s="38"/>
      <c r="CD52" s="38"/>
      <c r="CE52" s="38"/>
      <c r="CF52" s="38"/>
      <c r="CG52" s="38"/>
      <c r="CH52" s="38"/>
      <c r="CI52" s="38"/>
      <c r="CJ52" s="38"/>
      <c r="CK52" s="38"/>
      <c r="CL52" s="38"/>
      <c r="CM52" s="38"/>
    </row>
    <row r="53" spans="1:91" s="1" customFormat="1" ht="15" customHeight="1">
      <c r="A53" s="52"/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38"/>
      <c r="N53" s="38"/>
      <c r="O53" s="38"/>
      <c r="P53" s="38"/>
      <c r="Q53" s="38"/>
      <c r="R53" s="38"/>
      <c r="S53" s="38"/>
      <c r="T53" s="38" t="s">
        <v>60</v>
      </c>
      <c r="U53" s="38">
        <v>2</v>
      </c>
      <c r="V53" s="42" t="s">
        <v>73</v>
      </c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AQ53" s="38"/>
      <c r="AR53" s="38"/>
      <c r="AS53" s="38"/>
      <c r="AT53" s="38"/>
      <c r="AU53" s="38"/>
      <c r="AV53" s="38"/>
      <c r="AW53" s="38"/>
      <c r="AX53" s="38"/>
      <c r="AY53" s="38"/>
      <c r="AZ53" s="38"/>
      <c r="BA53" s="38"/>
      <c r="BB53" s="38"/>
      <c r="BC53" s="38"/>
      <c r="BD53" s="38"/>
      <c r="BE53" s="38"/>
      <c r="BF53" s="38"/>
      <c r="BG53" s="38"/>
      <c r="BH53" s="38"/>
      <c r="BI53" s="38"/>
      <c r="BJ53" s="38"/>
      <c r="BK53" s="38"/>
      <c r="BL53" s="38"/>
      <c r="BM53" s="38"/>
      <c r="BN53" s="38"/>
      <c r="BO53" s="38"/>
      <c r="BP53" s="38"/>
      <c r="BQ53" s="38"/>
      <c r="BR53" s="38"/>
      <c r="BS53" s="38"/>
      <c r="BT53" s="38"/>
      <c r="BU53" s="38"/>
      <c r="BV53" s="38"/>
      <c r="BW53" s="38"/>
      <c r="BX53" s="38"/>
      <c r="BY53" s="38"/>
      <c r="BZ53" s="38"/>
      <c r="CA53" s="38"/>
      <c r="CB53" s="38"/>
      <c r="CC53" s="38"/>
      <c r="CD53" s="38"/>
      <c r="CE53" s="38"/>
      <c r="CF53" s="38"/>
      <c r="CG53" s="38"/>
      <c r="CH53" s="38"/>
      <c r="CI53" s="38"/>
      <c r="CJ53" s="38"/>
      <c r="CK53" s="38"/>
      <c r="CL53" s="38"/>
      <c r="CM53" s="38"/>
    </row>
    <row r="54" spans="1:91" s="1" customFormat="1" ht="15" customHeight="1">
      <c r="A54" s="64"/>
      <c r="B54" s="64"/>
      <c r="C54" s="64"/>
      <c r="D54" s="64"/>
      <c r="E54" s="64"/>
      <c r="F54" s="64"/>
      <c r="G54" s="64"/>
      <c r="H54" s="64"/>
      <c r="I54" s="64"/>
      <c r="J54" s="64"/>
      <c r="K54" s="64"/>
      <c r="L54" s="64"/>
      <c r="M54" s="64"/>
      <c r="N54" s="64"/>
      <c r="O54" s="64"/>
      <c r="P54" s="38"/>
      <c r="Q54" s="38"/>
      <c r="R54" s="38"/>
      <c r="S54" s="38"/>
      <c r="T54" s="38" t="s">
        <v>65</v>
      </c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38"/>
      <c r="AJ54" s="38"/>
      <c r="AK54" s="38"/>
      <c r="AL54" s="38"/>
      <c r="AM54" s="38"/>
      <c r="AN54" s="38"/>
      <c r="AO54" s="38"/>
      <c r="AP54" s="38"/>
      <c r="AQ54" s="38"/>
      <c r="AR54" s="38"/>
      <c r="AS54" s="38"/>
      <c r="AT54" s="38"/>
      <c r="AU54" s="38"/>
      <c r="AV54" s="38"/>
      <c r="AW54" s="38"/>
      <c r="AX54" s="38"/>
      <c r="AY54" s="38"/>
      <c r="AZ54" s="38"/>
      <c r="BA54" s="38"/>
      <c r="BB54" s="38"/>
      <c r="BC54" s="38"/>
      <c r="BD54" s="38"/>
      <c r="BE54" s="38"/>
      <c r="BF54" s="38"/>
      <c r="BG54" s="38"/>
      <c r="BH54" s="38"/>
      <c r="BI54" s="38"/>
      <c r="BJ54" s="38"/>
      <c r="BK54" s="38"/>
      <c r="BL54" s="38"/>
      <c r="BM54" s="38"/>
      <c r="BN54" s="38"/>
      <c r="BO54" s="38"/>
      <c r="BP54" s="38"/>
      <c r="BQ54" s="38"/>
      <c r="BR54" s="38"/>
      <c r="BS54" s="38"/>
      <c r="BT54" s="38"/>
      <c r="BU54" s="38"/>
      <c r="BV54" s="38"/>
      <c r="BW54" s="38"/>
      <c r="BX54" s="38"/>
      <c r="BY54" s="38"/>
      <c r="BZ54" s="38"/>
      <c r="CA54" s="38"/>
      <c r="CB54" s="38"/>
      <c r="CC54" s="38"/>
      <c r="CD54" s="38"/>
      <c r="CE54" s="38"/>
      <c r="CF54" s="38"/>
      <c r="CG54" s="38"/>
      <c r="CH54" s="38"/>
      <c r="CI54" s="38"/>
      <c r="CJ54" s="38"/>
      <c r="CK54" s="38"/>
      <c r="CL54" s="38"/>
      <c r="CM54" s="38"/>
    </row>
    <row r="55" spans="1:91" s="1" customFormat="1" ht="15" customHeight="1">
      <c r="A55" s="64"/>
      <c r="B55" s="64"/>
      <c r="C55" s="64"/>
      <c r="D55" s="64"/>
      <c r="E55" s="64"/>
      <c r="F55" s="64"/>
      <c r="G55" s="64"/>
      <c r="H55" s="64"/>
      <c r="I55" s="64"/>
      <c r="J55" s="64"/>
      <c r="K55" s="64"/>
      <c r="L55" s="64"/>
      <c r="M55" s="64"/>
      <c r="N55" s="64"/>
      <c r="O55" s="64"/>
      <c r="P55" s="64"/>
      <c r="Q55" s="64"/>
      <c r="R55" s="64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38"/>
      <c r="AP55" s="38"/>
      <c r="AQ55" s="38"/>
      <c r="AR55" s="38"/>
      <c r="AS55" s="38"/>
      <c r="AT55" s="38"/>
      <c r="AU55" s="38"/>
      <c r="AV55" s="38"/>
      <c r="AW55" s="38"/>
      <c r="AX55" s="38"/>
      <c r="AY55" s="38"/>
      <c r="AZ55" s="38"/>
      <c r="BA55" s="38"/>
      <c r="BB55" s="38"/>
      <c r="BC55" s="38"/>
      <c r="BD55" s="38"/>
      <c r="BE55" s="38"/>
      <c r="BF55" s="38"/>
      <c r="BG55" s="38"/>
      <c r="BH55" s="38"/>
      <c r="BI55" s="38"/>
      <c r="BJ55" s="38"/>
      <c r="BK55" s="38"/>
      <c r="BL55" s="38"/>
      <c r="BM55" s="38"/>
      <c r="BN55" s="38"/>
      <c r="BO55" s="38"/>
      <c r="BP55" s="38"/>
      <c r="BQ55" s="38"/>
      <c r="BR55" s="38"/>
      <c r="BS55" s="38"/>
      <c r="BT55" s="38"/>
      <c r="BU55" s="38"/>
      <c r="BV55" s="38"/>
      <c r="BW55" s="38"/>
      <c r="BX55" s="38"/>
      <c r="BY55" s="38"/>
      <c r="BZ55" s="38"/>
      <c r="CA55" s="38"/>
      <c r="CB55" s="38"/>
      <c r="CC55" s="38"/>
      <c r="CD55" s="38"/>
      <c r="CE55" s="38"/>
      <c r="CF55" s="38"/>
      <c r="CG55" s="38"/>
      <c r="CH55" s="38"/>
      <c r="CI55" s="38"/>
      <c r="CJ55" s="38"/>
      <c r="CK55" s="38"/>
      <c r="CL55" s="38"/>
      <c r="CM55" s="38"/>
    </row>
    <row r="56" spans="1:91" s="1" customFormat="1" ht="15" customHeight="1">
      <c r="A56" s="194" t="s">
        <v>15</v>
      </c>
      <c r="B56" s="194"/>
      <c r="C56" s="194"/>
      <c r="D56" s="194"/>
      <c r="E56" s="194"/>
      <c r="F56" s="194"/>
      <c r="G56" s="194"/>
      <c r="H56" s="194"/>
      <c r="I56" s="194"/>
      <c r="J56" s="194"/>
      <c r="K56" s="194"/>
      <c r="L56" s="194"/>
      <c r="M56" s="194"/>
      <c r="N56" s="194"/>
      <c r="O56" s="194"/>
      <c r="P56" s="64"/>
      <c r="Q56" s="64"/>
      <c r="R56" s="64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  <c r="AQ56" s="38"/>
      <c r="AR56" s="38"/>
      <c r="AS56" s="38"/>
      <c r="AT56" s="38"/>
      <c r="AU56" s="38"/>
      <c r="AV56" s="38"/>
      <c r="AW56" s="38"/>
      <c r="AX56" s="38"/>
      <c r="AY56" s="38"/>
      <c r="AZ56" s="38"/>
      <c r="BA56" s="38"/>
      <c r="BB56" s="38"/>
      <c r="BC56" s="38"/>
      <c r="BD56" s="38"/>
      <c r="BE56" s="38"/>
      <c r="BF56" s="38"/>
      <c r="BG56" s="38"/>
      <c r="BH56" s="38"/>
      <c r="BI56" s="38"/>
      <c r="BJ56" s="38"/>
      <c r="BK56" s="38"/>
      <c r="BL56" s="38"/>
      <c r="BM56" s="38"/>
      <c r="BN56" s="38"/>
      <c r="BO56" s="38"/>
      <c r="BP56" s="38"/>
      <c r="BQ56" s="38"/>
      <c r="BR56" s="38"/>
      <c r="BS56" s="38"/>
      <c r="BT56" s="38"/>
      <c r="BU56" s="38"/>
      <c r="BV56" s="38"/>
      <c r="BW56" s="38"/>
      <c r="BX56" s="38"/>
      <c r="BY56" s="38"/>
      <c r="BZ56" s="38"/>
      <c r="CA56" s="38"/>
      <c r="CB56" s="38"/>
      <c r="CC56" s="38"/>
      <c r="CD56" s="38"/>
      <c r="CE56" s="38"/>
      <c r="CF56" s="38"/>
      <c r="CG56" s="38"/>
      <c r="CH56" s="38"/>
      <c r="CI56" s="38"/>
      <c r="CJ56" s="38"/>
      <c r="CK56" s="38"/>
      <c r="CL56" s="38"/>
      <c r="CM56" s="38"/>
    </row>
    <row r="57" spans="1:91" s="1" customFormat="1" ht="15" customHeight="1">
      <c r="A57" s="194"/>
      <c r="B57" s="194"/>
      <c r="C57" s="194"/>
      <c r="D57" s="194"/>
      <c r="E57" s="194"/>
      <c r="F57" s="194"/>
      <c r="G57" s="194"/>
      <c r="H57" s="194"/>
      <c r="I57" s="194"/>
      <c r="J57" s="194"/>
      <c r="K57" s="194"/>
      <c r="L57" s="194"/>
      <c r="M57" s="194"/>
      <c r="N57" s="194"/>
      <c r="O57" s="194"/>
      <c r="P57" s="87"/>
      <c r="Q57" s="64"/>
      <c r="R57" s="64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  <c r="AQ57" s="38"/>
      <c r="AR57" s="38"/>
      <c r="AS57" s="38"/>
      <c r="AT57" s="38"/>
      <c r="AU57" s="38"/>
      <c r="AV57" s="38"/>
      <c r="AW57" s="38"/>
      <c r="AX57" s="38"/>
      <c r="AY57" s="38"/>
      <c r="AZ57" s="38"/>
      <c r="BA57" s="38"/>
      <c r="BB57" s="38"/>
      <c r="BC57" s="38"/>
      <c r="BD57" s="38"/>
      <c r="BE57" s="38"/>
      <c r="BF57" s="38"/>
      <c r="BG57" s="38"/>
      <c r="BH57" s="38"/>
      <c r="BI57" s="38"/>
      <c r="BJ57" s="38"/>
      <c r="BK57" s="38"/>
      <c r="BL57" s="38"/>
      <c r="BM57" s="38"/>
      <c r="BN57" s="38"/>
      <c r="BO57" s="38"/>
      <c r="BP57" s="38"/>
      <c r="BQ57" s="38"/>
      <c r="BR57" s="38"/>
      <c r="BS57" s="38"/>
      <c r="BT57" s="38"/>
      <c r="BU57" s="38"/>
      <c r="BV57" s="38"/>
      <c r="BW57" s="38"/>
      <c r="BX57" s="38"/>
      <c r="BY57" s="38"/>
      <c r="BZ57" s="38"/>
      <c r="CA57" s="38"/>
      <c r="CB57" s="38"/>
      <c r="CC57" s="38"/>
      <c r="CD57" s="38"/>
      <c r="CE57" s="38"/>
      <c r="CF57" s="38"/>
      <c r="CG57" s="38"/>
      <c r="CH57" s="38"/>
      <c r="CI57" s="38"/>
      <c r="CJ57" s="38"/>
      <c r="CK57" s="38"/>
      <c r="CL57" s="38"/>
      <c r="CM57" s="38"/>
    </row>
    <row r="58" spans="1:91" s="1" customFormat="1" ht="15" customHeight="1">
      <c r="A58" s="194"/>
      <c r="B58" s="194"/>
      <c r="C58" s="194"/>
      <c r="D58" s="194"/>
      <c r="E58" s="194"/>
      <c r="F58" s="194"/>
      <c r="G58" s="194"/>
      <c r="H58" s="194"/>
      <c r="I58" s="194"/>
      <c r="J58" s="194"/>
      <c r="K58" s="194"/>
      <c r="L58" s="194"/>
      <c r="M58" s="194"/>
      <c r="N58" s="194"/>
      <c r="O58" s="194"/>
      <c r="P58" s="87"/>
      <c r="Q58" s="64"/>
      <c r="R58" s="64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AQ58" s="38"/>
      <c r="AR58" s="38"/>
      <c r="AS58" s="38"/>
      <c r="AT58" s="38"/>
      <c r="AU58" s="38"/>
      <c r="AV58" s="38"/>
      <c r="AW58" s="38"/>
      <c r="AX58" s="38"/>
      <c r="AY58" s="38"/>
      <c r="AZ58" s="38"/>
      <c r="BA58" s="38"/>
      <c r="BB58" s="38"/>
      <c r="BC58" s="38"/>
      <c r="BD58" s="38"/>
      <c r="BE58" s="38"/>
      <c r="BF58" s="38"/>
      <c r="BG58" s="38"/>
      <c r="BH58" s="38"/>
      <c r="BI58" s="38"/>
      <c r="BJ58" s="38"/>
      <c r="BK58" s="38"/>
      <c r="BL58" s="38"/>
      <c r="BM58" s="38"/>
      <c r="BN58" s="38"/>
      <c r="BO58" s="38"/>
      <c r="BP58" s="38"/>
      <c r="BQ58" s="38"/>
      <c r="BR58" s="38"/>
      <c r="BS58" s="38"/>
      <c r="BT58" s="38"/>
      <c r="BU58" s="38"/>
      <c r="BV58" s="38"/>
      <c r="BW58" s="38"/>
      <c r="BX58" s="38"/>
      <c r="BY58" s="38"/>
      <c r="BZ58" s="38"/>
      <c r="CA58" s="38"/>
      <c r="CB58" s="38"/>
      <c r="CC58" s="38"/>
      <c r="CD58" s="38"/>
      <c r="CE58" s="38"/>
      <c r="CF58" s="38"/>
      <c r="CG58" s="38"/>
      <c r="CH58" s="38"/>
      <c r="CI58" s="38"/>
      <c r="CJ58" s="38"/>
      <c r="CK58" s="38"/>
      <c r="CL58" s="38"/>
      <c r="CM58" s="38"/>
    </row>
    <row r="59" spans="1:91" s="1" customFormat="1" ht="15" customHeight="1">
      <c r="A59" s="65"/>
      <c r="B59" s="65"/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87"/>
      <c r="Q59" s="7"/>
      <c r="R59" s="7"/>
      <c r="S59" s="38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8"/>
      <c r="AP59" s="38"/>
      <c r="AQ59" s="38"/>
      <c r="AR59" s="38"/>
      <c r="AS59" s="38"/>
      <c r="AT59" s="38"/>
      <c r="AU59" s="38"/>
      <c r="AV59" s="38"/>
      <c r="AW59" s="38"/>
      <c r="AX59" s="38"/>
      <c r="AY59" s="38"/>
      <c r="AZ59" s="38"/>
      <c r="BA59" s="38"/>
      <c r="BB59" s="38"/>
      <c r="BC59" s="38"/>
      <c r="BD59" s="38"/>
      <c r="BE59" s="38"/>
      <c r="BF59" s="38"/>
      <c r="BG59" s="38"/>
      <c r="BH59" s="38"/>
      <c r="BI59" s="38"/>
      <c r="BJ59" s="38"/>
      <c r="BK59" s="38"/>
      <c r="BL59" s="38"/>
      <c r="BM59" s="38"/>
      <c r="BN59" s="38"/>
      <c r="BO59" s="38"/>
      <c r="BP59" s="38"/>
      <c r="BQ59" s="38"/>
      <c r="BR59" s="38"/>
      <c r="BS59" s="38"/>
      <c r="BT59" s="38"/>
      <c r="BU59" s="38"/>
      <c r="BV59" s="38"/>
      <c r="BW59" s="38"/>
      <c r="BX59" s="38"/>
      <c r="BY59" s="38"/>
      <c r="BZ59" s="38"/>
      <c r="CA59" s="38"/>
      <c r="CB59" s="38"/>
      <c r="CC59" s="38"/>
      <c r="CD59" s="38"/>
      <c r="CE59" s="38"/>
      <c r="CF59" s="38"/>
      <c r="CG59" s="38"/>
      <c r="CH59" s="38"/>
      <c r="CI59" s="38"/>
      <c r="CJ59" s="38"/>
      <c r="CK59" s="38"/>
      <c r="CL59" s="38"/>
      <c r="CM59" s="38"/>
    </row>
    <row r="60" spans="1:91" s="1" customFormat="1" ht="23.1" customHeight="1">
      <c r="A60" s="192" t="s">
        <v>28</v>
      </c>
      <c r="B60" s="192"/>
      <c r="C60" s="192"/>
      <c r="D60" s="192"/>
      <c r="E60" s="192"/>
      <c r="F60" s="192"/>
      <c r="G60" s="192"/>
      <c r="H60" s="192"/>
      <c r="I60" s="192"/>
      <c r="J60" s="192"/>
      <c r="K60" s="192"/>
      <c r="L60" s="192"/>
      <c r="M60" s="192"/>
      <c r="N60" s="192"/>
      <c r="O60" s="192"/>
      <c r="P60" s="65"/>
      <c r="Q60" s="7"/>
      <c r="R60" s="7"/>
      <c r="S60" s="38"/>
      <c r="T60" s="38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  <c r="AF60" s="38"/>
      <c r="AG60" s="38"/>
      <c r="AH60" s="38"/>
      <c r="AI60" s="38"/>
      <c r="AJ60" s="38"/>
      <c r="AK60" s="38"/>
      <c r="AL60" s="38"/>
      <c r="AM60" s="38"/>
      <c r="AN60" s="38"/>
      <c r="AO60" s="38"/>
      <c r="AP60" s="38"/>
      <c r="AQ60" s="38"/>
      <c r="AR60" s="38"/>
      <c r="AS60" s="38"/>
      <c r="AT60" s="38"/>
      <c r="AU60" s="38"/>
      <c r="AV60" s="38"/>
      <c r="AW60" s="38"/>
      <c r="AX60" s="38"/>
      <c r="AY60" s="38"/>
      <c r="AZ60" s="38"/>
      <c r="BA60" s="38"/>
      <c r="BB60" s="38"/>
      <c r="BC60" s="38"/>
      <c r="BD60" s="38"/>
      <c r="BE60" s="38"/>
      <c r="BF60" s="38"/>
      <c r="BG60" s="38"/>
      <c r="BH60" s="38"/>
      <c r="BI60" s="38"/>
      <c r="BJ60" s="38"/>
      <c r="BK60" s="38"/>
      <c r="BL60" s="38"/>
      <c r="BM60" s="38"/>
      <c r="BN60" s="38"/>
      <c r="BO60" s="38"/>
      <c r="BP60" s="38"/>
      <c r="BQ60" s="38"/>
      <c r="BR60" s="38"/>
      <c r="BS60" s="38"/>
      <c r="BT60" s="38"/>
      <c r="BU60" s="38"/>
      <c r="BV60" s="38"/>
      <c r="BW60" s="38"/>
      <c r="BX60" s="38"/>
      <c r="BY60" s="38"/>
      <c r="BZ60" s="38"/>
      <c r="CA60" s="38"/>
      <c r="CB60" s="38"/>
      <c r="CC60" s="38"/>
      <c r="CD60" s="38"/>
      <c r="CE60" s="38"/>
      <c r="CF60" s="38"/>
      <c r="CG60" s="38"/>
      <c r="CH60" s="38"/>
      <c r="CI60" s="38"/>
      <c r="CJ60" s="38"/>
      <c r="CK60" s="38"/>
      <c r="CL60" s="38"/>
      <c r="CM60" s="38"/>
    </row>
    <row r="61" spans="1:91" s="1" customFormat="1" ht="18" customHeight="1">
      <c r="A61" s="195" t="str">
        <f>A13</f>
        <v xml:space="preserve">N° </v>
      </c>
      <c r="B61" s="195"/>
      <c r="C61" s="195"/>
      <c r="D61" s="195"/>
      <c r="E61" s="195"/>
      <c r="F61" s="195"/>
      <c r="G61" s="195"/>
      <c r="H61" s="195"/>
      <c r="I61" s="195"/>
      <c r="J61" s="195"/>
      <c r="K61" s="195"/>
      <c r="L61" s="195"/>
      <c r="M61" s="195"/>
      <c r="N61" s="195"/>
      <c r="O61" s="195"/>
      <c r="P61" s="15"/>
      <c r="Q61" s="15"/>
      <c r="R61" s="15"/>
      <c r="S61" s="38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8"/>
      <c r="BC61" s="38"/>
      <c r="BD61" s="38"/>
      <c r="BE61" s="38"/>
      <c r="BF61" s="38"/>
      <c r="BG61" s="38"/>
      <c r="BH61" s="38"/>
      <c r="BI61" s="38"/>
      <c r="BJ61" s="38"/>
      <c r="BK61" s="38"/>
      <c r="BL61" s="38"/>
      <c r="BM61" s="38"/>
      <c r="BN61" s="38"/>
      <c r="BO61" s="38"/>
      <c r="BP61" s="38"/>
      <c r="BQ61" s="38"/>
      <c r="BR61" s="38"/>
      <c r="BS61" s="38"/>
      <c r="BT61" s="38"/>
      <c r="BU61" s="38"/>
      <c r="BV61" s="38"/>
      <c r="BW61" s="38"/>
      <c r="BX61" s="38"/>
      <c r="BY61" s="38"/>
      <c r="BZ61" s="38"/>
      <c r="CA61" s="38"/>
      <c r="CB61" s="38"/>
      <c r="CC61" s="38"/>
      <c r="CD61" s="38"/>
      <c r="CE61" s="38"/>
      <c r="CF61" s="38"/>
      <c r="CG61" s="38"/>
      <c r="CH61" s="38"/>
      <c r="CI61" s="38"/>
      <c r="CJ61" s="38"/>
      <c r="CK61" s="38"/>
      <c r="CL61" s="38"/>
      <c r="CM61" s="38"/>
    </row>
    <row r="62" spans="1:91" s="1" customFormat="1" ht="15" customHeight="1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14"/>
      <c r="Q62" s="14"/>
      <c r="R62" s="14"/>
      <c r="S62" s="38"/>
      <c r="T62" s="38"/>
      <c r="U62" s="38"/>
      <c r="V62" s="38"/>
      <c r="W62" s="38"/>
      <c r="X62" s="38"/>
      <c r="Y62" s="38"/>
      <c r="Z62" s="38"/>
      <c r="AA62" s="38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  <c r="AO62" s="31"/>
      <c r="AP62" s="31"/>
      <c r="AQ62" s="38"/>
      <c r="AR62" s="38"/>
      <c r="AS62" s="38"/>
      <c r="AT62" s="38"/>
      <c r="AU62" s="38"/>
      <c r="AV62" s="38"/>
      <c r="AW62" s="38"/>
      <c r="AX62" s="38"/>
      <c r="AY62" s="38"/>
      <c r="AZ62" s="38"/>
      <c r="BA62" s="38"/>
      <c r="BB62" s="38"/>
      <c r="BC62" s="38"/>
      <c r="BD62" s="38"/>
      <c r="BE62" s="38"/>
      <c r="BF62" s="38"/>
      <c r="BG62" s="38"/>
      <c r="BH62" s="38"/>
      <c r="BI62" s="38"/>
      <c r="BJ62" s="38"/>
      <c r="BK62" s="38"/>
      <c r="BL62" s="38"/>
      <c r="BM62" s="38"/>
      <c r="BN62" s="38"/>
      <c r="BO62" s="38"/>
      <c r="BP62" s="38"/>
      <c r="BQ62" s="38"/>
      <c r="BR62" s="38"/>
      <c r="BS62" s="38"/>
      <c r="BT62" s="38"/>
      <c r="BU62" s="38"/>
      <c r="BV62" s="38"/>
      <c r="BW62" s="38"/>
      <c r="BX62" s="38"/>
      <c r="BY62" s="38"/>
      <c r="BZ62" s="38"/>
      <c r="CA62" s="38"/>
      <c r="CB62" s="38"/>
      <c r="CC62" s="38"/>
      <c r="CD62" s="38"/>
      <c r="CE62" s="38"/>
      <c r="CF62" s="38"/>
      <c r="CG62" s="38"/>
      <c r="CH62" s="38"/>
      <c r="CI62" s="38"/>
      <c r="CJ62" s="38"/>
      <c r="CK62" s="38"/>
      <c r="CL62" s="38"/>
      <c r="CM62" s="38"/>
    </row>
    <row r="63" spans="1:91" s="1" customFormat="1" ht="15" customHeight="1">
      <c r="A63" s="38"/>
      <c r="B63" s="38"/>
      <c r="C63" s="38"/>
      <c r="D63" s="38"/>
      <c r="E63" s="38"/>
      <c r="F63" s="38"/>
      <c r="G63" s="38"/>
      <c r="H63" s="38"/>
      <c r="I63" s="38"/>
      <c r="J63" s="38"/>
      <c r="P63" s="8"/>
      <c r="Q63" s="8"/>
      <c r="R63" s="8"/>
      <c r="S63" s="38"/>
      <c r="T63" s="38"/>
      <c r="U63" s="38"/>
      <c r="V63" s="38"/>
      <c r="W63" s="38"/>
      <c r="X63" s="38"/>
      <c r="Y63" s="38"/>
      <c r="Z63" s="38"/>
      <c r="AA63" s="38"/>
      <c r="AB63" s="29"/>
      <c r="AC63" s="18"/>
      <c r="AD63" s="18"/>
      <c r="AE63" s="23"/>
      <c r="AF63" s="23"/>
      <c r="AG63" s="23"/>
      <c r="AH63" s="23"/>
      <c r="AI63" s="18"/>
      <c r="AJ63" s="24"/>
      <c r="AK63" s="18"/>
      <c r="AL63" s="25"/>
      <c r="AM63" s="26"/>
      <c r="AN63" s="26"/>
      <c r="AO63" s="26"/>
      <c r="AP63" s="26"/>
      <c r="AQ63" s="38"/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  <c r="BC63" s="38"/>
      <c r="BD63" s="38"/>
      <c r="BE63" s="38"/>
      <c r="BF63" s="38"/>
      <c r="BG63" s="38"/>
      <c r="BH63" s="38"/>
      <c r="BI63" s="38"/>
      <c r="BJ63" s="38"/>
      <c r="BK63" s="38"/>
      <c r="BL63" s="38"/>
      <c r="BM63" s="38"/>
      <c r="BN63" s="38"/>
      <c r="BO63" s="38"/>
      <c r="BP63" s="38"/>
      <c r="BQ63" s="38"/>
      <c r="BR63" s="38"/>
      <c r="BS63" s="38"/>
      <c r="BT63" s="38"/>
      <c r="BU63" s="38"/>
      <c r="BV63" s="38"/>
      <c r="BW63" s="38"/>
      <c r="BX63" s="38"/>
      <c r="BY63" s="38"/>
      <c r="BZ63" s="38"/>
      <c r="CA63" s="38"/>
      <c r="CB63" s="38"/>
      <c r="CC63" s="38"/>
      <c r="CD63" s="38"/>
      <c r="CE63" s="38"/>
      <c r="CF63" s="38"/>
      <c r="CG63" s="38"/>
      <c r="CH63" s="38"/>
      <c r="CI63" s="38"/>
      <c r="CJ63" s="38"/>
      <c r="CK63" s="38"/>
      <c r="CL63" s="38"/>
      <c r="CM63" s="38"/>
    </row>
    <row r="64" spans="1:91" s="1" customFormat="1" ht="15" customHeight="1">
      <c r="A64" s="203" t="s">
        <v>9</v>
      </c>
      <c r="B64" s="203"/>
      <c r="C64" s="203"/>
      <c r="D64" s="203"/>
      <c r="E64" s="204">
        <f>N33</f>
        <v>0</v>
      </c>
      <c r="F64" s="204"/>
      <c r="G64" s="92"/>
      <c r="H64" s="92"/>
      <c r="I64" s="93"/>
      <c r="J64" s="93"/>
      <c r="K64" s="203" t="s">
        <v>17</v>
      </c>
      <c r="L64" s="203"/>
      <c r="M64" s="203"/>
      <c r="N64" s="205" t="str">
        <f>IF(U64=1,"",IF(U64=2,T64,IF(U64=3,T65,IF(U64=4,T66))))</f>
        <v>T. BODY</v>
      </c>
      <c r="O64" s="205"/>
      <c r="Q64" s="38"/>
      <c r="R64" s="38"/>
      <c r="S64" s="38"/>
      <c r="T64" s="38" t="s">
        <v>63</v>
      </c>
      <c r="U64" s="38">
        <v>3</v>
      </c>
      <c r="V64" s="38"/>
      <c r="W64" s="38"/>
      <c r="X64" s="38"/>
      <c r="Y64" s="38"/>
      <c r="Z64" s="38"/>
      <c r="AA64" s="38"/>
      <c r="AB64" s="25"/>
      <c r="AC64" s="27"/>
      <c r="AD64" s="18"/>
      <c r="AE64" s="23"/>
      <c r="AF64" s="23"/>
      <c r="AG64" s="23"/>
      <c r="AH64" s="23"/>
      <c r="AI64" s="18"/>
      <c r="AJ64" s="24"/>
      <c r="AK64" s="18"/>
      <c r="AL64" s="25"/>
      <c r="AM64" s="26"/>
      <c r="AN64" s="26"/>
      <c r="AO64" s="26"/>
      <c r="AP64" s="26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  <c r="BC64" s="38"/>
      <c r="BD64" s="38"/>
      <c r="BE64" s="38"/>
      <c r="BF64" s="38"/>
      <c r="BG64" s="38"/>
      <c r="BH64" s="38"/>
      <c r="BI64" s="38"/>
      <c r="BJ64" s="38"/>
      <c r="BK64" s="38"/>
      <c r="BL64" s="38"/>
      <c r="BM64" s="38"/>
      <c r="BN64" s="38"/>
      <c r="BO64" s="38"/>
      <c r="BP64" s="38"/>
      <c r="BQ64" s="38"/>
      <c r="BR64" s="38"/>
      <c r="BS64" s="38"/>
      <c r="BT64" s="38"/>
      <c r="BU64" s="38"/>
      <c r="BV64" s="38"/>
      <c r="BW64" s="38"/>
      <c r="BX64" s="38"/>
      <c r="BY64" s="38"/>
      <c r="BZ64" s="38"/>
      <c r="CA64" s="38"/>
      <c r="CB64" s="38"/>
      <c r="CC64" s="38"/>
      <c r="CD64" s="38"/>
      <c r="CE64" s="38"/>
      <c r="CF64" s="38"/>
      <c r="CG64" s="38"/>
      <c r="CH64" s="38"/>
      <c r="CI64" s="38"/>
      <c r="CJ64" s="38"/>
      <c r="CK64" s="38"/>
      <c r="CL64" s="38"/>
      <c r="CM64" s="38"/>
    </row>
    <row r="65" spans="1:91" s="1" customFormat="1" ht="15" customHeight="1">
      <c r="A65" s="88"/>
      <c r="B65" s="88"/>
      <c r="C65" s="88"/>
      <c r="D65" s="88"/>
      <c r="E65" s="95"/>
      <c r="F65" s="96"/>
      <c r="G65" s="92"/>
      <c r="H65" s="92"/>
      <c r="I65" s="93"/>
      <c r="J65" s="93"/>
      <c r="K65" s="97"/>
      <c r="L65" s="98"/>
      <c r="M65" s="98"/>
      <c r="N65" s="98"/>
      <c r="O65" s="97"/>
      <c r="Q65" s="38"/>
      <c r="R65" s="38"/>
      <c r="S65" s="38"/>
      <c r="T65" s="38" t="s">
        <v>64</v>
      </c>
      <c r="U65" s="38"/>
      <c r="V65" s="38"/>
      <c r="W65" s="38"/>
      <c r="X65" s="38"/>
      <c r="Y65" s="38"/>
      <c r="Z65" s="38"/>
      <c r="AA65" s="38"/>
      <c r="AB65" s="28"/>
      <c r="AC65" s="18"/>
      <c r="AD65" s="18"/>
      <c r="AE65" s="23"/>
      <c r="AF65" s="23"/>
      <c r="AG65" s="23"/>
      <c r="AH65" s="23"/>
      <c r="AI65" s="18"/>
      <c r="AJ65" s="24"/>
      <c r="AK65" s="18"/>
      <c r="AL65" s="25"/>
      <c r="AM65" s="26"/>
      <c r="AN65" s="26"/>
      <c r="AO65" s="26"/>
      <c r="AP65" s="26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  <c r="BC65" s="38"/>
      <c r="BD65" s="38"/>
      <c r="BE65" s="38"/>
      <c r="BF65" s="38"/>
      <c r="BG65" s="38"/>
      <c r="BH65" s="38"/>
      <c r="BI65" s="38"/>
      <c r="BJ65" s="38"/>
      <c r="BK65" s="38"/>
      <c r="BL65" s="38"/>
      <c r="BM65" s="38"/>
      <c r="BN65" s="38"/>
      <c r="BO65" s="38"/>
      <c r="BP65" s="38"/>
      <c r="BQ65" s="38"/>
      <c r="BR65" s="38"/>
      <c r="BS65" s="38"/>
      <c r="BT65" s="38"/>
      <c r="BU65" s="38"/>
      <c r="BV65" s="38"/>
      <c r="BW65" s="38"/>
      <c r="BX65" s="38"/>
      <c r="BY65" s="38"/>
      <c r="BZ65" s="38"/>
      <c r="CA65" s="38"/>
      <c r="CB65" s="38"/>
      <c r="CC65" s="38"/>
      <c r="CD65" s="38"/>
      <c r="CE65" s="38"/>
      <c r="CF65" s="38"/>
      <c r="CG65" s="38"/>
      <c r="CH65" s="38"/>
      <c r="CI65" s="38"/>
      <c r="CJ65" s="38"/>
      <c r="CK65" s="38"/>
      <c r="CL65" s="38"/>
      <c r="CM65" s="38"/>
    </row>
    <row r="66" spans="1:91" s="1" customFormat="1" ht="15" customHeight="1">
      <c r="A66" s="88"/>
      <c r="B66" s="88"/>
      <c r="C66" s="88"/>
      <c r="D66" s="88"/>
      <c r="E66" s="92"/>
      <c r="F66" s="92"/>
      <c r="G66" s="92"/>
      <c r="H66" s="92"/>
      <c r="I66" s="93"/>
      <c r="J66" s="93"/>
      <c r="K66" s="98"/>
      <c r="L66" s="98"/>
      <c r="M66" s="98"/>
      <c r="N66" s="97"/>
      <c r="O66" s="97"/>
      <c r="P66" s="38"/>
      <c r="Q66" s="38"/>
      <c r="R66" s="38"/>
      <c r="S66" s="38"/>
      <c r="T66" s="38" t="s">
        <v>60</v>
      </c>
      <c r="U66" s="38"/>
      <c r="V66" s="38"/>
      <c r="W66" s="38"/>
      <c r="X66" s="38"/>
      <c r="Y66" s="38"/>
      <c r="Z66" s="38"/>
      <c r="AA66" s="38"/>
      <c r="AB66" s="25"/>
      <c r="AC66" s="18"/>
      <c r="AD66" s="18"/>
      <c r="AE66" s="23"/>
      <c r="AF66" s="23"/>
      <c r="AG66" s="23"/>
      <c r="AH66" s="23"/>
      <c r="AI66" s="18"/>
      <c r="AJ66" s="24"/>
      <c r="AK66" s="18"/>
      <c r="AL66" s="25"/>
      <c r="AM66" s="26"/>
      <c r="AN66" s="26"/>
      <c r="AO66" s="26"/>
      <c r="AP66" s="26"/>
      <c r="AQ66" s="38"/>
      <c r="AR66" s="38"/>
      <c r="AS66" s="38"/>
      <c r="AT66" s="38"/>
      <c r="AU66" s="38"/>
      <c r="AV66" s="38"/>
      <c r="AW66" s="38"/>
      <c r="AX66" s="38"/>
      <c r="AY66" s="38"/>
      <c r="AZ66" s="38"/>
      <c r="BA66" s="38"/>
      <c r="BB66" s="38"/>
      <c r="BC66" s="38"/>
      <c r="BD66" s="38"/>
      <c r="BE66" s="38"/>
      <c r="BF66" s="38"/>
      <c r="BG66" s="38"/>
      <c r="BH66" s="38"/>
      <c r="BI66" s="38"/>
      <c r="BJ66" s="38"/>
      <c r="BK66" s="38"/>
      <c r="BL66" s="38"/>
      <c r="BM66" s="38"/>
      <c r="BN66" s="38"/>
      <c r="BO66" s="38"/>
      <c r="BP66" s="38"/>
      <c r="BQ66" s="38"/>
      <c r="BR66" s="38"/>
      <c r="BS66" s="38"/>
      <c r="BT66" s="38"/>
      <c r="BU66" s="38"/>
      <c r="BV66" s="38"/>
      <c r="BW66" s="38"/>
      <c r="BX66" s="38"/>
      <c r="BY66" s="38"/>
      <c r="BZ66" s="38"/>
      <c r="CA66" s="38"/>
      <c r="CB66" s="38"/>
      <c r="CC66" s="38"/>
      <c r="CD66" s="38"/>
      <c r="CE66" s="38"/>
      <c r="CF66" s="38"/>
      <c r="CG66" s="38"/>
      <c r="CH66" s="38"/>
      <c r="CI66" s="38"/>
      <c r="CJ66" s="38"/>
      <c r="CK66" s="38"/>
      <c r="CL66" s="38"/>
      <c r="CM66" s="38"/>
    </row>
    <row r="67" spans="1:91" s="1" customFormat="1" ht="15" customHeight="1">
      <c r="A67" s="88" t="s">
        <v>13</v>
      </c>
      <c r="B67" s="88"/>
      <c r="C67" s="88"/>
      <c r="D67" s="88"/>
      <c r="E67" s="88"/>
      <c r="F67" s="88"/>
      <c r="G67" s="88"/>
      <c r="H67" s="88"/>
      <c r="I67" s="88"/>
      <c r="J67" s="88"/>
      <c r="K67" s="88"/>
      <c r="L67" s="88"/>
      <c r="M67" s="88"/>
      <c r="N67" s="88"/>
      <c r="O67" s="88"/>
      <c r="P67" s="38"/>
      <c r="Q67" s="38"/>
      <c r="R67" s="38"/>
      <c r="S67" s="38"/>
      <c r="T67" s="38"/>
      <c r="U67" s="38"/>
      <c r="V67" s="38"/>
      <c r="W67" s="38"/>
      <c r="X67" s="38"/>
      <c r="Y67" s="38"/>
      <c r="Z67" s="38"/>
      <c r="AA67" s="38"/>
      <c r="AB67" s="30"/>
      <c r="AC67" s="18"/>
      <c r="AD67" s="18"/>
      <c r="AE67" s="23"/>
      <c r="AF67" s="23"/>
      <c r="AG67" s="23"/>
      <c r="AH67" s="23"/>
      <c r="AI67" s="18"/>
      <c r="AJ67" s="24"/>
      <c r="AK67" s="18"/>
      <c r="AL67" s="25"/>
      <c r="AM67" s="26"/>
      <c r="AN67" s="26"/>
      <c r="AO67" s="26"/>
      <c r="AP67" s="26"/>
      <c r="AQ67" s="38"/>
      <c r="AR67" s="38"/>
      <c r="AS67" s="38"/>
      <c r="AT67" s="38"/>
      <c r="AU67" s="38"/>
      <c r="AV67" s="38"/>
      <c r="AW67" s="38"/>
      <c r="AX67" s="38"/>
      <c r="AY67" s="38"/>
      <c r="AZ67" s="38"/>
      <c r="BA67" s="38"/>
      <c r="BB67" s="38"/>
      <c r="BC67" s="38"/>
      <c r="BD67" s="38"/>
      <c r="BE67" s="38"/>
      <c r="BF67" s="38"/>
      <c r="BG67" s="38"/>
      <c r="BH67" s="38"/>
      <c r="BI67" s="38"/>
      <c r="BJ67" s="38"/>
      <c r="BK67" s="38"/>
      <c r="BL67" s="38"/>
      <c r="BM67" s="38"/>
      <c r="BN67" s="38"/>
      <c r="BO67" s="38"/>
      <c r="BP67" s="38"/>
      <c r="BQ67" s="38"/>
      <c r="BR67" s="38"/>
      <c r="BS67" s="38"/>
      <c r="BT67" s="38"/>
      <c r="BU67" s="38"/>
      <c r="BV67" s="38"/>
      <c r="BW67" s="38"/>
      <c r="BX67" s="38"/>
      <c r="BY67" s="38"/>
      <c r="BZ67" s="38"/>
      <c r="CA67" s="38"/>
      <c r="CB67" s="38"/>
      <c r="CC67" s="38"/>
      <c r="CD67" s="38"/>
      <c r="CE67" s="38"/>
      <c r="CF67" s="38"/>
      <c r="CG67" s="38"/>
      <c r="CH67" s="38"/>
      <c r="CI67" s="38"/>
      <c r="CJ67" s="38"/>
      <c r="CK67" s="38"/>
      <c r="CL67" s="38"/>
      <c r="CM67" s="38"/>
    </row>
    <row r="68" spans="1:91" s="1" customFormat="1" ht="15" customHeight="1">
      <c r="A68" s="9" t="s">
        <v>29</v>
      </c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2"/>
      <c r="Q68" s="3"/>
      <c r="R68" s="38"/>
      <c r="S68" s="38"/>
      <c r="T68" s="38"/>
      <c r="U68" s="38"/>
      <c r="V68" s="38"/>
      <c r="W68" s="38"/>
      <c r="X68" s="38"/>
      <c r="Y68" s="38"/>
      <c r="Z68" s="38"/>
      <c r="AA68" s="38"/>
      <c r="AB68" s="30"/>
      <c r="AC68" s="18"/>
      <c r="AD68" s="18"/>
      <c r="AE68" s="23"/>
      <c r="AF68" s="23"/>
      <c r="AG68" s="23"/>
      <c r="AH68" s="23"/>
      <c r="AI68" s="18"/>
      <c r="AJ68" s="24"/>
      <c r="AK68" s="18"/>
      <c r="AL68" s="25"/>
      <c r="AM68" s="26"/>
      <c r="AN68" s="26"/>
      <c r="AO68" s="26"/>
      <c r="AP68" s="26"/>
      <c r="AQ68" s="38"/>
      <c r="AR68" s="38"/>
      <c r="AS68" s="38"/>
      <c r="AT68" s="38"/>
      <c r="AU68" s="38"/>
      <c r="AV68" s="38"/>
      <c r="AW68" s="38"/>
      <c r="AX68" s="38"/>
      <c r="AY68" s="38"/>
      <c r="AZ68" s="38"/>
      <c r="BA68" s="38"/>
      <c r="BB68" s="38"/>
      <c r="BC68" s="38"/>
      <c r="BD68" s="38"/>
      <c r="BE68" s="38"/>
      <c r="BF68" s="38"/>
      <c r="BG68" s="38"/>
      <c r="BH68" s="38"/>
      <c r="BI68" s="38"/>
      <c r="BJ68" s="38"/>
      <c r="BK68" s="38"/>
      <c r="BL68" s="38"/>
      <c r="BM68" s="38"/>
      <c r="BN68" s="38"/>
      <c r="BO68" s="38"/>
      <c r="BP68" s="38"/>
      <c r="BQ68" s="38"/>
      <c r="BR68" s="38"/>
      <c r="BS68" s="38"/>
      <c r="BT68" s="38"/>
      <c r="BU68" s="38"/>
      <c r="BV68" s="38"/>
      <c r="BW68" s="38"/>
      <c r="BX68" s="38"/>
      <c r="BY68" s="38"/>
      <c r="BZ68" s="38"/>
      <c r="CA68" s="38"/>
      <c r="CB68" s="38"/>
      <c r="CC68" s="38"/>
      <c r="CD68" s="38"/>
      <c r="CE68" s="38"/>
      <c r="CF68" s="38"/>
      <c r="CG68" s="38"/>
      <c r="CH68" s="38"/>
      <c r="CI68" s="38"/>
      <c r="CJ68" s="38"/>
      <c r="CK68" s="38"/>
      <c r="CL68" s="38"/>
      <c r="CM68" s="38"/>
    </row>
    <row r="69" spans="1:91" s="1" customFormat="1" ht="15" customHeight="1">
      <c r="A69" s="9" t="s">
        <v>30</v>
      </c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38"/>
      <c r="T69" s="38"/>
      <c r="U69" s="38"/>
      <c r="V69" s="38"/>
      <c r="W69" s="38"/>
      <c r="X69" s="38"/>
      <c r="Y69" s="38"/>
      <c r="Z69" s="38"/>
      <c r="AA69" s="21"/>
      <c r="AB69" s="80"/>
      <c r="AC69" s="81"/>
      <c r="AD69" s="18"/>
      <c r="AE69" s="23"/>
      <c r="AF69" s="23"/>
      <c r="AG69" s="23"/>
      <c r="AH69" s="23"/>
      <c r="AI69" s="21"/>
      <c r="AJ69" s="24"/>
      <c r="AK69" s="18"/>
      <c r="AL69" s="25"/>
      <c r="AM69" s="26"/>
      <c r="AN69" s="26"/>
      <c r="AO69" s="26"/>
      <c r="AP69" s="26"/>
      <c r="AQ69" s="38"/>
      <c r="AR69" s="21"/>
      <c r="AS69" s="38"/>
      <c r="AT69" s="38"/>
      <c r="AU69" s="38"/>
      <c r="AV69" s="38"/>
      <c r="AW69" s="38"/>
      <c r="AX69" s="38"/>
      <c r="AY69" s="38"/>
      <c r="AZ69" s="38"/>
      <c r="BA69" s="38"/>
      <c r="BB69" s="38"/>
      <c r="BC69" s="38"/>
      <c r="BD69" s="38"/>
      <c r="BE69" s="38"/>
      <c r="BF69" s="38"/>
      <c r="BG69" s="38"/>
      <c r="BH69" s="38"/>
      <c r="BI69" s="38"/>
      <c r="BJ69" s="38"/>
      <c r="BK69" s="38"/>
      <c r="BL69" s="38"/>
      <c r="BM69" s="38"/>
      <c r="BN69" s="38"/>
      <c r="BO69" s="38"/>
      <c r="BP69" s="38"/>
      <c r="BQ69" s="38"/>
      <c r="BR69" s="38"/>
      <c r="BS69" s="38"/>
      <c r="BT69" s="38"/>
      <c r="BU69" s="38"/>
      <c r="BV69" s="38"/>
      <c r="BW69" s="38"/>
      <c r="BX69" s="38"/>
      <c r="BY69" s="38"/>
      <c r="BZ69" s="38"/>
      <c r="CA69" s="38"/>
      <c r="CB69" s="38"/>
      <c r="CC69" s="38"/>
      <c r="CD69" s="38"/>
      <c r="CE69" s="38"/>
      <c r="CF69" s="38"/>
      <c r="CG69" s="38"/>
      <c r="CH69" s="38"/>
      <c r="CI69" s="38"/>
      <c r="CJ69" s="38"/>
      <c r="CK69" s="38"/>
      <c r="CL69" s="38"/>
      <c r="CM69" s="38"/>
    </row>
    <row r="70" spans="1:91" s="1" customFormat="1" ht="15" customHeight="1">
      <c r="A70" s="9" t="s">
        <v>31</v>
      </c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38"/>
      <c r="T70" s="38"/>
      <c r="U70" s="38"/>
      <c r="V70" s="38"/>
      <c r="W70" s="38"/>
      <c r="X70" s="38"/>
      <c r="Y70" s="38"/>
      <c r="Z70" s="38"/>
      <c r="AA70" s="38"/>
      <c r="AB70" s="31"/>
      <c r="AC70" s="31"/>
      <c r="AD70" s="31"/>
      <c r="AE70" s="31"/>
      <c r="AF70" s="31"/>
      <c r="AG70" s="31"/>
      <c r="AH70" s="31"/>
      <c r="AI70" s="31"/>
      <c r="AJ70" s="31"/>
      <c r="AK70" s="31"/>
      <c r="AL70" s="31"/>
      <c r="AM70" s="31"/>
      <c r="AN70" s="31"/>
      <c r="AO70" s="31"/>
      <c r="AP70" s="31"/>
      <c r="AQ70" s="38"/>
      <c r="AR70" s="38"/>
      <c r="AS70" s="38"/>
      <c r="AT70" s="38"/>
      <c r="AU70" s="38"/>
      <c r="AV70" s="38"/>
      <c r="AW70" s="38"/>
      <c r="AX70" s="38"/>
      <c r="AY70" s="38"/>
      <c r="AZ70" s="38"/>
      <c r="BA70" s="38"/>
      <c r="BB70" s="38"/>
      <c r="BC70" s="38"/>
      <c r="BD70" s="38"/>
      <c r="BE70" s="38"/>
      <c r="BF70" s="38"/>
      <c r="BG70" s="38"/>
      <c r="BH70" s="38"/>
      <c r="BI70" s="38"/>
      <c r="BJ70" s="38"/>
      <c r="BK70" s="38"/>
      <c r="BL70" s="38"/>
      <c r="BM70" s="38"/>
      <c r="BN70" s="38"/>
      <c r="BO70" s="38"/>
      <c r="BP70" s="38"/>
      <c r="BQ70" s="38"/>
      <c r="BR70" s="38"/>
      <c r="BS70" s="38"/>
      <c r="BT70" s="38"/>
      <c r="BU70" s="38"/>
      <c r="BV70" s="38"/>
      <c r="BW70" s="38"/>
      <c r="BX70" s="38"/>
      <c r="BY70" s="38"/>
      <c r="BZ70" s="38"/>
      <c r="CA70" s="38"/>
      <c r="CB70" s="38"/>
      <c r="CC70" s="38"/>
      <c r="CD70" s="38"/>
      <c r="CE70" s="38"/>
      <c r="CF70" s="38"/>
      <c r="CG70" s="38"/>
      <c r="CH70" s="38"/>
      <c r="CI70" s="38"/>
      <c r="CJ70" s="38"/>
      <c r="CK70" s="38"/>
      <c r="CL70" s="38"/>
      <c r="CM70" s="38"/>
    </row>
    <row r="71" spans="1:91" s="1" customFormat="1" ht="15" customHeight="1">
      <c r="A71" s="97"/>
      <c r="B71" s="97"/>
      <c r="C71" s="97"/>
      <c r="D71" s="97"/>
      <c r="E71" s="97"/>
      <c r="F71" s="97"/>
      <c r="G71" s="97"/>
      <c r="H71" s="97"/>
      <c r="I71" s="97"/>
      <c r="J71" s="97"/>
      <c r="K71" s="93"/>
      <c r="L71" s="93"/>
      <c r="M71" s="93"/>
      <c r="N71" s="93"/>
      <c r="O71" s="93"/>
      <c r="P71" s="9"/>
      <c r="Q71" s="9"/>
      <c r="R71" s="9"/>
      <c r="S71" s="38"/>
      <c r="T71" s="38"/>
      <c r="U71" s="38"/>
      <c r="V71" s="38"/>
      <c r="W71" s="38"/>
      <c r="X71" s="38"/>
      <c r="Y71" s="38"/>
      <c r="Z71" s="38"/>
      <c r="AA71" s="38"/>
      <c r="AB71" s="18"/>
      <c r="AI71" s="59"/>
      <c r="AJ71" s="81"/>
      <c r="AK71" s="18"/>
      <c r="AL71" s="23"/>
      <c r="AM71" s="18"/>
      <c r="AN71" s="18"/>
      <c r="AO71" s="18"/>
      <c r="AP71" s="18"/>
      <c r="AQ71" s="38"/>
      <c r="AR71" s="66"/>
      <c r="AS71" s="18"/>
      <c r="AT71" s="18"/>
      <c r="AU71" s="23"/>
      <c r="AV71" s="18"/>
      <c r="AY71" s="38"/>
      <c r="AZ71" s="38"/>
      <c r="BA71" s="38"/>
      <c r="BB71" s="38"/>
      <c r="BC71" s="38"/>
      <c r="BD71" s="38"/>
      <c r="BE71" s="38"/>
      <c r="BF71" s="38"/>
      <c r="BG71" s="38"/>
      <c r="BH71" s="38"/>
      <c r="BI71" s="38"/>
      <c r="BJ71" s="38"/>
      <c r="BK71" s="38"/>
      <c r="BL71" s="38"/>
      <c r="BM71" s="38"/>
      <c r="BN71" s="38"/>
      <c r="BO71" s="38"/>
      <c r="BP71" s="38"/>
      <c r="BQ71" s="38"/>
      <c r="BR71" s="38"/>
      <c r="BS71" s="38"/>
      <c r="BT71" s="38"/>
      <c r="BU71" s="38"/>
      <c r="BV71" s="38"/>
      <c r="BW71" s="38"/>
      <c r="BX71" s="38"/>
      <c r="BY71" s="38"/>
      <c r="BZ71" s="38"/>
      <c r="CA71" s="38"/>
      <c r="CB71" s="38"/>
      <c r="CC71" s="38"/>
      <c r="CD71" s="38"/>
      <c r="CE71" s="38"/>
      <c r="CF71" s="38"/>
      <c r="CG71" s="38"/>
      <c r="CH71" s="38"/>
      <c r="CI71" s="38"/>
      <c r="CJ71" s="38"/>
      <c r="CK71" s="38"/>
      <c r="CL71" s="38"/>
      <c r="CM71" s="38"/>
    </row>
    <row r="72" spans="1:91" s="1" customFormat="1" ht="15" customHeight="1">
      <c r="A72" s="206"/>
      <c r="B72" s="206"/>
      <c r="C72" s="206"/>
      <c r="D72" s="97"/>
      <c r="E72" s="93"/>
      <c r="F72" s="93"/>
      <c r="G72" s="93"/>
      <c r="H72" s="93"/>
      <c r="I72" s="93"/>
      <c r="J72" s="93"/>
      <c r="K72" s="93"/>
      <c r="L72" s="93"/>
      <c r="M72" s="93"/>
      <c r="N72" s="93"/>
      <c r="O72" s="93"/>
      <c r="P72" s="54"/>
      <c r="Q72" s="54"/>
      <c r="R72" s="54"/>
      <c r="S72" s="42" t="s">
        <v>89</v>
      </c>
      <c r="T72" s="32"/>
      <c r="U72" s="38"/>
      <c r="V72" s="38"/>
      <c r="W72" s="38"/>
      <c r="X72" s="38"/>
      <c r="Y72" s="38"/>
      <c r="Z72" s="38"/>
      <c r="AA72" s="38"/>
      <c r="AB72" s="18"/>
      <c r="AI72" s="38"/>
      <c r="AJ72" s="81"/>
      <c r="AK72" s="18"/>
      <c r="AL72" s="23"/>
      <c r="AM72" s="18"/>
      <c r="AN72" s="18"/>
      <c r="AO72" s="18"/>
      <c r="AP72" s="18"/>
      <c r="AQ72" s="38"/>
      <c r="AR72" s="66"/>
      <c r="AS72" s="18"/>
      <c r="AT72" s="18"/>
      <c r="AU72" s="23"/>
      <c r="AV72" s="18"/>
      <c r="AY72" s="38"/>
      <c r="AZ72" s="38"/>
      <c r="BA72" s="38"/>
      <c r="BB72" s="38"/>
      <c r="BC72" s="38"/>
      <c r="BD72" s="38"/>
      <c r="BE72" s="38"/>
      <c r="BF72" s="38"/>
      <c r="BG72" s="38"/>
      <c r="BH72" s="38"/>
      <c r="BI72" s="38"/>
      <c r="BJ72" s="38"/>
      <c r="BK72" s="38"/>
      <c r="BL72" s="38"/>
      <c r="BM72" s="38"/>
      <c r="BN72" s="38"/>
      <c r="BO72" s="38"/>
      <c r="BP72" s="38"/>
      <c r="BQ72" s="38"/>
      <c r="BR72" s="38"/>
      <c r="BS72" s="38"/>
      <c r="BT72" s="38"/>
      <c r="BU72" s="38"/>
      <c r="BV72" s="38"/>
      <c r="BW72" s="38"/>
      <c r="BX72" s="38"/>
      <c r="BY72" s="38"/>
      <c r="BZ72" s="38"/>
      <c r="CA72" s="38"/>
      <c r="CB72" s="38"/>
      <c r="CC72" s="38"/>
      <c r="CD72" s="38"/>
      <c r="CE72" s="38"/>
      <c r="CF72" s="38"/>
      <c r="CG72" s="38"/>
      <c r="CH72" s="38"/>
      <c r="CI72" s="38"/>
      <c r="CJ72" s="38"/>
      <c r="CK72" s="38"/>
      <c r="CL72" s="38"/>
      <c r="CM72" s="38"/>
    </row>
    <row r="73" spans="1:91" s="1" customFormat="1" ht="15" customHeight="1">
      <c r="A73" s="89" t="s">
        <v>56</v>
      </c>
      <c r="B73" s="89"/>
      <c r="C73" s="89"/>
      <c r="D73" s="89"/>
      <c r="E73" s="89"/>
      <c r="F73" s="89"/>
      <c r="G73" s="89"/>
      <c r="H73" s="89"/>
      <c r="I73" s="89"/>
      <c r="J73" s="89"/>
      <c r="K73" s="89"/>
      <c r="L73" s="89"/>
      <c r="M73" s="89"/>
      <c r="N73" s="89"/>
      <c r="O73" s="89"/>
      <c r="P73" s="54"/>
      <c r="Q73" s="54"/>
      <c r="R73" s="54"/>
      <c r="S73" s="38"/>
      <c r="T73" s="38"/>
      <c r="U73" s="38"/>
      <c r="V73" s="38"/>
      <c r="W73" s="38"/>
      <c r="X73" s="38"/>
      <c r="Y73" s="38"/>
      <c r="Z73" s="38"/>
      <c r="AA73" s="38"/>
      <c r="AB73" s="82"/>
      <c r="AI73" s="38"/>
      <c r="AJ73" s="82"/>
      <c r="AK73" s="18"/>
      <c r="AL73" s="23"/>
      <c r="AM73" s="18"/>
      <c r="AN73" s="18"/>
      <c r="AO73" s="18"/>
      <c r="AP73" s="18"/>
      <c r="AQ73" s="38"/>
      <c r="AR73" s="59"/>
      <c r="AS73" s="82"/>
      <c r="AT73" s="18"/>
      <c r="AU73" s="23"/>
      <c r="AV73" s="18"/>
      <c r="AY73" s="38"/>
      <c r="AZ73" s="38"/>
      <c r="BA73" s="38"/>
      <c r="BB73" s="38"/>
      <c r="BC73" s="38"/>
      <c r="BD73" s="38"/>
      <c r="BE73" s="38"/>
      <c r="BF73" s="38"/>
      <c r="BG73" s="38"/>
      <c r="BH73" s="38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8"/>
      <c r="BZ73" s="38"/>
      <c r="CA73" s="38"/>
      <c r="CB73" s="38"/>
      <c r="CC73" s="38"/>
      <c r="CD73" s="38"/>
      <c r="CE73" s="38"/>
      <c r="CF73" s="38"/>
      <c r="CG73" s="38"/>
      <c r="CH73" s="38"/>
      <c r="CI73" s="38"/>
      <c r="CJ73" s="38"/>
      <c r="CK73" s="38"/>
      <c r="CL73" s="38"/>
      <c r="CM73" s="38"/>
    </row>
    <row r="74" spans="1:91" s="1" customFormat="1" ht="15" customHeight="1">
      <c r="A74" s="99" t="s">
        <v>32</v>
      </c>
      <c r="B74" s="93"/>
      <c r="C74" s="93"/>
      <c r="D74" s="97" t="s">
        <v>94</v>
      </c>
      <c r="E74" s="93"/>
      <c r="F74" s="93"/>
      <c r="G74" s="93"/>
      <c r="H74" s="93"/>
      <c r="I74" s="93"/>
      <c r="J74" s="93"/>
      <c r="K74" s="93"/>
      <c r="L74" s="93"/>
      <c r="M74" s="93"/>
      <c r="N74" s="93"/>
      <c r="O74" s="93"/>
      <c r="P74" s="3"/>
      <c r="Q74" s="3"/>
      <c r="R74" s="3"/>
      <c r="S74" s="38"/>
      <c r="T74" s="21"/>
      <c r="U74" s="38"/>
      <c r="V74" s="38"/>
      <c r="W74" s="38"/>
      <c r="X74" s="38"/>
      <c r="Y74" s="38"/>
      <c r="Z74" s="38"/>
      <c r="AA74" s="38"/>
      <c r="AB74" s="18"/>
      <c r="AI74" s="59"/>
      <c r="AJ74" s="81"/>
      <c r="AK74" s="18"/>
      <c r="AL74" s="23"/>
      <c r="AM74" s="18"/>
      <c r="AN74" s="18"/>
      <c r="AO74" s="18"/>
      <c r="AP74" s="18"/>
      <c r="AQ74" s="38"/>
      <c r="AR74" s="59"/>
      <c r="AS74" s="18"/>
      <c r="AT74" s="18"/>
      <c r="AU74" s="23"/>
      <c r="AV74" s="18"/>
      <c r="AY74" s="38"/>
      <c r="AZ74" s="38"/>
      <c r="BA74" s="38"/>
      <c r="BB74" s="38"/>
      <c r="BC74" s="38"/>
      <c r="BD74" s="38"/>
      <c r="BE74" s="38"/>
      <c r="BF74" s="38"/>
      <c r="BG74" s="38"/>
      <c r="BH74" s="38"/>
      <c r="BI74" s="38"/>
      <c r="BJ74" s="38"/>
      <c r="BK74" s="38"/>
      <c r="BL74" s="38"/>
      <c r="BM74" s="38"/>
      <c r="BN74" s="38"/>
      <c r="BO74" s="38"/>
      <c r="BP74" s="38"/>
      <c r="BQ74" s="38"/>
      <c r="BR74" s="38"/>
      <c r="BS74" s="38"/>
      <c r="BT74" s="38"/>
      <c r="BU74" s="38"/>
      <c r="BV74" s="38"/>
      <c r="BW74" s="38"/>
      <c r="BX74" s="38"/>
      <c r="BY74" s="38"/>
      <c r="BZ74" s="38"/>
      <c r="CA74" s="38"/>
      <c r="CB74" s="38"/>
      <c r="CC74" s="38"/>
      <c r="CD74" s="38"/>
      <c r="CE74" s="38"/>
      <c r="CF74" s="38"/>
      <c r="CG74" s="38"/>
      <c r="CH74" s="38"/>
      <c r="CI74" s="38"/>
      <c r="CJ74" s="38"/>
      <c r="CK74" s="38"/>
      <c r="CL74" s="38"/>
      <c r="CM74" s="38"/>
    </row>
    <row r="75" spans="1:91" s="1" customFormat="1" ht="15" customHeight="1">
      <c r="A75" s="207" t="s">
        <v>10</v>
      </c>
      <c r="B75" s="206"/>
      <c r="C75" s="206"/>
      <c r="D75" s="97" t="s">
        <v>95</v>
      </c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54"/>
      <c r="Q75" s="54"/>
      <c r="R75" s="54"/>
      <c r="S75" s="97" t="str">
        <f>'[2]raccordements à jour '!$B$9</f>
        <v>Machine de mesure tridimensionnelle MITUTOYO EURO-C APEX 7106 (MMT01)</v>
      </c>
      <c r="T75" s="38"/>
      <c r="U75" s="38"/>
      <c r="V75" s="38"/>
      <c r="W75" s="38"/>
      <c r="X75" s="39"/>
      <c r="Y75" s="38"/>
      <c r="Z75" s="38"/>
      <c r="AA75" s="38"/>
      <c r="AB75" s="18"/>
      <c r="AI75" s="38"/>
      <c r="AJ75" s="81"/>
      <c r="AK75" s="18"/>
      <c r="AL75" s="23"/>
      <c r="AM75" s="18"/>
      <c r="AN75" s="18"/>
      <c r="AO75" s="18"/>
      <c r="AP75" s="18"/>
      <c r="AQ75" s="38"/>
      <c r="AR75" s="59"/>
      <c r="AS75" s="18"/>
      <c r="AT75" s="18"/>
      <c r="AU75" s="23"/>
      <c r="AV75" s="18"/>
      <c r="AY75" s="38"/>
      <c r="AZ75" s="38"/>
      <c r="BA75" s="38"/>
      <c r="BB75" s="38"/>
      <c r="BC75" s="38"/>
      <c r="BD75" s="38"/>
      <c r="BE75" s="38"/>
      <c r="BF75" s="38"/>
      <c r="BG75" s="38"/>
      <c r="BH75" s="38"/>
      <c r="BI75" s="38"/>
      <c r="BJ75" s="38"/>
      <c r="BK75" s="38"/>
      <c r="BL75" s="38"/>
      <c r="BM75" s="38"/>
      <c r="BN75" s="38"/>
      <c r="BO75" s="38"/>
      <c r="BP75" s="38"/>
      <c r="BQ75" s="38"/>
      <c r="BR75" s="38"/>
      <c r="BS75" s="38"/>
      <c r="BT75" s="38"/>
      <c r="BU75" s="38"/>
      <c r="BV75" s="38"/>
      <c r="BW75" s="38"/>
      <c r="BX75" s="38"/>
      <c r="BY75" s="38"/>
      <c r="BZ75" s="38"/>
      <c r="CA75" s="38"/>
      <c r="CB75" s="38"/>
      <c r="CC75" s="38"/>
      <c r="CD75" s="38"/>
      <c r="CE75" s="38"/>
      <c r="CF75" s="38"/>
      <c r="CG75" s="38"/>
      <c r="CH75" s="38"/>
      <c r="CI75" s="38"/>
      <c r="CJ75" s="38"/>
      <c r="CK75" s="38"/>
      <c r="CL75" s="38"/>
      <c r="CM75" s="38"/>
    </row>
    <row r="76" spans="1:91" s="1" customFormat="1" ht="15" customHeight="1">
      <c r="A76" s="207" t="s">
        <v>11</v>
      </c>
      <c r="B76" s="206"/>
      <c r="C76" s="206"/>
      <c r="D76" s="208">
        <v>45748</v>
      </c>
      <c r="E76" s="208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54"/>
      <c r="Q76" s="54"/>
      <c r="R76" s="54"/>
      <c r="S76" s="97" t="str">
        <f>'[2]raccordements à jour '!$B$10</f>
        <v>CE N° 23042101-OMA</v>
      </c>
      <c r="T76" s="38"/>
      <c r="U76" s="38"/>
      <c r="V76" s="38"/>
      <c r="W76" s="39"/>
      <c r="X76" s="39"/>
      <c r="Y76" s="38"/>
      <c r="Z76" s="38"/>
      <c r="AA76" s="38"/>
      <c r="AB76" s="82"/>
      <c r="AC76" s="82"/>
      <c r="AI76" s="38"/>
      <c r="AJ76" s="82"/>
      <c r="AK76" s="18"/>
      <c r="AL76" s="23"/>
      <c r="AM76" s="18"/>
      <c r="AN76" s="18"/>
      <c r="AO76" s="18"/>
      <c r="AP76" s="18"/>
      <c r="AQ76" s="38"/>
      <c r="AR76" s="59"/>
      <c r="AS76" s="82"/>
      <c r="AT76" s="18"/>
      <c r="AU76" s="23"/>
      <c r="AV76" s="18"/>
      <c r="AY76" s="38"/>
      <c r="AZ76" s="38"/>
      <c r="BA76" s="38"/>
      <c r="BB76" s="38"/>
      <c r="BC76" s="38"/>
      <c r="BD76" s="38"/>
      <c r="BE76" s="38"/>
      <c r="BF76" s="38"/>
      <c r="BG76" s="38"/>
      <c r="BH76" s="38"/>
      <c r="BI76" s="38"/>
      <c r="BJ76" s="38"/>
      <c r="BK76" s="38"/>
      <c r="BL76" s="38"/>
      <c r="BM76" s="38"/>
      <c r="BN76" s="38"/>
      <c r="BO76" s="38"/>
      <c r="BP76" s="38"/>
      <c r="BQ76" s="38"/>
      <c r="BR76" s="38"/>
      <c r="BS76" s="38"/>
      <c r="BT76" s="38"/>
      <c r="BU76" s="38"/>
      <c r="BV76" s="38"/>
      <c r="BW76" s="38"/>
      <c r="BX76" s="38"/>
      <c r="BY76" s="38"/>
      <c r="BZ76" s="38"/>
      <c r="CA76" s="38"/>
      <c r="CB76" s="38"/>
      <c r="CC76" s="38"/>
      <c r="CD76" s="38"/>
      <c r="CE76" s="38"/>
      <c r="CF76" s="38"/>
      <c r="CG76" s="38"/>
      <c r="CH76" s="38"/>
      <c r="CI76" s="38"/>
      <c r="CJ76" s="38"/>
      <c r="CK76" s="38"/>
      <c r="CL76" s="38"/>
      <c r="CM76" s="38"/>
    </row>
    <row r="77" spans="1:91" s="1" customFormat="1" ht="15" customHeight="1">
      <c r="A77" s="100"/>
      <c r="B77" s="89"/>
      <c r="C77" s="89"/>
      <c r="D77" s="89"/>
      <c r="E77" s="89"/>
      <c r="F77" s="89"/>
      <c r="G77" s="89"/>
      <c r="H77" s="89"/>
      <c r="I77" s="89"/>
      <c r="J77" s="89"/>
      <c r="K77" s="89"/>
      <c r="L77" s="89"/>
      <c r="M77" s="89"/>
      <c r="N77" s="89"/>
      <c r="O77" s="89"/>
      <c r="P77" s="62"/>
      <c r="Q77" s="62"/>
      <c r="R77" s="62"/>
      <c r="S77" s="162">
        <f>'[2]raccordements à jour '!$B$11</f>
        <v>45748</v>
      </c>
      <c r="T77" s="38"/>
      <c r="U77" s="38"/>
      <c r="V77" s="38"/>
      <c r="W77" s="38"/>
      <c r="X77" s="39"/>
      <c r="Y77" s="38"/>
      <c r="Z77" s="38"/>
      <c r="AA77" s="38"/>
      <c r="AB77" s="18"/>
      <c r="AI77" s="59"/>
      <c r="AJ77" s="82"/>
      <c r="AK77" s="18"/>
      <c r="AL77" s="23"/>
      <c r="AM77" s="18"/>
      <c r="AN77" s="18"/>
      <c r="AO77" s="18"/>
      <c r="AP77" s="18"/>
      <c r="AQ77" s="38"/>
      <c r="AR77" s="66"/>
      <c r="AS77" s="18"/>
      <c r="AT77" s="18"/>
      <c r="AU77" s="23"/>
      <c r="AV77" s="18"/>
      <c r="AY77" s="38"/>
      <c r="AZ77" s="38"/>
      <c r="BA77" s="38"/>
      <c r="BB77" s="38"/>
      <c r="BC77" s="38"/>
      <c r="BD77" s="38"/>
      <c r="BE77" s="38"/>
      <c r="BF77" s="38"/>
      <c r="BG77" s="38"/>
      <c r="BH77" s="38"/>
      <c r="BI77" s="38"/>
      <c r="BJ77" s="38"/>
      <c r="BK77" s="38"/>
      <c r="BL77" s="38"/>
      <c r="BM77" s="38"/>
      <c r="BN77" s="38"/>
      <c r="BO77" s="38"/>
      <c r="BP77" s="38"/>
      <c r="BQ77" s="38"/>
      <c r="BR77" s="38"/>
      <c r="BS77" s="38"/>
      <c r="BT77" s="38"/>
      <c r="BU77" s="38"/>
      <c r="BV77" s="38"/>
      <c r="BW77" s="38"/>
      <c r="BX77" s="38"/>
      <c r="BY77" s="38"/>
      <c r="BZ77" s="38"/>
      <c r="CA77" s="38"/>
      <c r="CB77" s="38"/>
      <c r="CC77" s="38"/>
      <c r="CD77" s="38"/>
      <c r="CE77" s="38"/>
      <c r="CF77" s="38"/>
      <c r="CG77" s="38"/>
      <c r="CH77" s="38"/>
      <c r="CI77" s="38"/>
      <c r="CJ77" s="38"/>
      <c r="CK77" s="38"/>
      <c r="CL77" s="38"/>
      <c r="CM77" s="38"/>
    </row>
    <row r="78" spans="1:91" s="1" customFormat="1" ht="15" customHeight="1">
      <c r="A78" s="101" t="str">
        <f>IF($W$82=1,"","Moyen :")</f>
        <v>Moyen :</v>
      </c>
      <c r="B78" s="89"/>
      <c r="C78" s="89"/>
      <c r="D78" s="94"/>
      <c r="E78" s="93"/>
      <c r="F78" s="93"/>
      <c r="G78" s="93"/>
      <c r="H78" s="93"/>
      <c r="I78" s="93"/>
      <c r="J78" s="93"/>
      <c r="K78" s="93"/>
      <c r="L78" s="93"/>
      <c r="M78" s="93"/>
      <c r="N78" s="93"/>
      <c r="O78" s="93"/>
      <c r="P78" s="3"/>
      <c r="Q78" s="3"/>
      <c r="R78" s="3"/>
      <c r="S78" s="166"/>
      <c r="T78" s="166"/>
      <c r="U78" s="38"/>
      <c r="V78" s="38"/>
      <c r="W78" s="38"/>
      <c r="X78" s="38"/>
      <c r="Y78" s="38"/>
      <c r="Z78" s="38"/>
      <c r="AA78" s="38"/>
      <c r="AB78" s="18"/>
      <c r="AI78" s="38"/>
      <c r="AJ78" s="82"/>
      <c r="AK78" s="18"/>
      <c r="AL78" s="23"/>
      <c r="AM78" s="18"/>
      <c r="AN78" s="18"/>
      <c r="AO78" s="18"/>
      <c r="AP78" s="18"/>
      <c r="AQ78" s="38"/>
      <c r="AR78" s="66"/>
      <c r="AS78" s="18"/>
      <c r="AT78" s="18"/>
      <c r="AU78" s="23"/>
      <c r="AV78" s="18"/>
      <c r="AY78" s="38"/>
      <c r="AZ78" s="38"/>
      <c r="BA78" s="38"/>
      <c r="BB78" s="38"/>
      <c r="BC78" s="38"/>
      <c r="BD78" s="38"/>
      <c r="BE78" s="38"/>
      <c r="BF78" s="38"/>
      <c r="BG78" s="38"/>
      <c r="BH78" s="38"/>
      <c r="BI78" s="38"/>
      <c r="BJ78" s="38"/>
      <c r="BK78" s="38"/>
      <c r="BL78" s="38"/>
      <c r="BM78" s="38"/>
      <c r="BN78" s="38"/>
      <c r="BO78" s="38"/>
      <c r="BP78" s="38"/>
      <c r="BQ78" s="38"/>
      <c r="BR78" s="38"/>
      <c r="BS78" s="38"/>
      <c r="BT78" s="38"/>
      <c r="BU78" s="38"/>
      <c r="BV78" s="38"/>
      <c r="BW78" s="38"/>
      <c r="BX78" s="38"/>
      <c r="BY78" s="38"/>
      <c r="BZ78" s="38"/>
      <c r="CA78" s="38"/>
      <c r="CB78" s="38"/>
      <c r="CC78" s="38"/>
      <c r="CD78" s="38"/>
      <c r="CE78" s="38"/>
      <c r="CF78" s="38"/>
      <c r="CG78" s="38"/>
      <c r="CH78" s="38"/>
      <c r="CI78" s="38"/>
      <c r="CJ78" s="38"/>
      <c r="CK78" s="38"/>
      <c r="CL78" s="38"/>
      <c r="CM78" s="38"/>
    </row>
    <row r="79" spans="1:91" s="1" customFormat="1" ht="15" customHeight="1">
      <c r="A79" s="101" t="str">
        <f>IF($W$82=1,"","Raccordement :")</f>
        <v>Raccordement :</v>
      </c>
      <c r="B79" s="102"/>
      <c r="C79" s="102"/>
      <c r="D79" s="94"/>
      <c r="E79" s="97"/>
      <c r="F79" s="93"/>
      <c r="G79" s="93"/>
      <c r="H79" s="93"/>
      <c r="I79" s="93"/>
      <c r="J79" s="93"/>
      <c r="K79" s="93"/>
      <c r="L79" s="93"/>
      <c r="M79" s="93"/>
      <c r="N79" s="93"/>
      <c r="O79" s="93"/>
      <c r="P79" s="54"/>
      <c r="Q79" s="54"/>
      <c r="R79" s="54"/>
      <c r="S79" s="165" t="str">
        <f>'[2]raccordements à jour '!$B$19</f>
        <v>CE COFRAC N° CET0223417_01_A</v>
      </c>
      <c r="T79" s="165"/>
      <c r="U79" s="39"/>
      <c r="V79" s="97" t="str">
        <f>'[2]raccordements à jour '!$B$43</f>
        <v>Cale étalon 400 mm (CE1)</v>
      </c>
      <c r="W79" s="39"/>
      <c r="X79" s="59"/>
      <c r="Y79" s="21"/>
      <c r="Z79" s="38"/>
      <c r="AA79" s="38"/>
      <c r="AB79" s="82"/>
      <c r="AC79" s="82"/>
      <c r="AI79" s="38"/>
      <c r="AJ79" s="82"/>
      <c r="AK79" s="18"/>
      <c r="AL79" s="23"/>
      <c r="AM79" s="18"/>
      <c r="AN79" s="18"/>
      <c r="AO79" s="18"/>
      <c r="AP79" s="18"/>
      <c r="AQ79" s="38"/>
      <c r="AR79" s="59"/>
      <c r="AS79" s="82"/>
      <c r="AT79" s="18"/>
      <c r="AU79" s="23"/>
      <c r="AV79" s="18"/>
      <c r="AY79" s="38"/>
      <c r="AZ79" s="38"/>
      <c r="BA79" s="38"/>
      <c r="BB79" s="38"/>
      <c r="BC79" s="38"/>
      <c r="BD79" s="38"/>
      <c r="BE79" s="38"/>
      <c r="BF79" s="38"/>
      <c r="BG79" s="38"/>
      <c r="BH79" s="38"/>
      <c r="BI79" s="38"/>
      <c r="BJ79" s="38"/>
      <c r="BK79" s="38"/>
      <c r="BL79" s="38"/>
      <c r="BM79" s="38"/>
      <c r="BN79" s="38"/>
      <c r="BO79" s="38"/>
      <c r="BP79" s="38"/>
      <c r="BQ79" s="38"/>
      <c r="BR79" s="38"/>
      <c r="BS79" s="38"/>
      <c r="BT79" s="38"/>
      <c r="BU79" s="38"/>
      <c r="BV79" s="38"/>
      <c r="BW79" s="38"/>
      <c r="BX79" s="38"/>
      <c r="BY79" s="38"/>
      <c r="BZ79" s="38"/>
      <c r="CA79" s="38"/>
      <c r="CB79" s="38"/>
      <c r="CC79" s="38"/>
      <c r="CD79" s="38"/>
      <c r="CE79" s="38"/>
      <c r="CF79" s="38"/>
      <c r="CG79" s="38"/>
      <c r="CH79" s="38"/>
      <c r="CI79" s="38"/>
      <c r="CJ79" s="38"/>
      <c r="CK79" s="38"/>
      <c r="CL79" s="38"/>
      <c r="CM79" s="38"/>
    </row>
    <row r="80" spans="1:91" s="1" customFormat="1" ht="15" customHeight="1">
      <c r="A80" s="101" t="str">
        <f>IF($W$82=1,"","Validité:")</f>
        <v>Validité:</v>
      </c>
      <c r="B80" s="102"/>
      <c r="C80" s="102"/>
      <c r="D80" s="208"/>
      <c r="E80" s="208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54"/>
      <c r="Q80" s="54"/>
      <c r="R80" s="54"/>
      <c r="S80" s="97">
        <f>'[2]raccordements à jour '!$B$20</f>
        <v>45809</v>
      </c>
      <c r="T80" s="97"/>
      <c r="U80" s="39"/>
      <c r="V80" s="97" t="str">
        <f>'[2]raccordements à jour '!$B$44</f>
        <v>CE COFRAC n° 030627_008</v>
      </c>
      <c r="W80" s="39"/>
      <c r="X80" s="59"/>
      <c r="Z80" s="38"/>
      <c r="AA80" s="38"/>
      <c r="AI80" s="59"/>
      <c r="AJ80" s="81"/>
      <c r="AK80" s="18"/>
      <c r="AL80" s="23"/>
      <c r="AM80" s="18"/>
      <c r="AN80" s="18"/>
      <c r="AO80" s="18"/>
      <c r="AP80" s="18"/>
      <c r="AQ80" s="38"/>
      <c r="AR80" s="66"/>
      <c r="AS80" s="18"/>
      <c r="AT80" s="18"/>
      <c r="AU80" s="23"/>
      <c r="AV80" s="18"/>
      <c r="AY80" s="38"/>
      <c r="AZ80" s="38"/>
      <c r="BA80" s="38"/>
      <c r="BB80" s="38"/>
      <c r="BC80" s="38"/>
      <c r="BD80" s="38"/>
      <c r="BE80" s="38"/>
      <c r="BF80" s="38"/>
      <c r="BG80" s="38"/>
      <c r="BH80" s="38"/>
      <c r="BI80" s="38"/>
      <c r="BJ80" s="38"/>
      <c r="BK80" s="38"/>
      <c r="BL80" s="38"/>
      <c r="BM80" s="38"/>
      <c r="BN80" s="38"/>
      <c r="BO80" s="38"/>
      <c r="BP80" s="38"/>
      <c r="BQ80" s="38"/>
      <c r="BR80" s="38"/>
      <c r="BS80" s="38"/>
      <c r="BT80" s="38"/>
      <c r="BU80" s="38"/>
      <c r="BV80" s="38"/>
      <c r="BW80" s="38"/>
      <c r="BX80" s="38"/>
      <c r="BY80" s="38"/>
      <c r="BZ80" s="38"/>
      <c r="CA80" s="38"/>
      <c r="CB80" s="38"/>
      <c r="CC80" s="38"/>
      <c r="CD80" s="38"/>
      <c r="CE80" s="38"/>
      <c r="CF80" s="38"/>
      <c r="CG80" s="38"/>
      <c r="CH80" s="38"/>
      <c r="CI80" s="38"/>
      <c r="CJ80" s="38"/>
      <c r="CK80" s="38"/>
      <c r="CL80" s="38"/>
      <c r="CM80" s="38"/>
    </row>
    <row r="81" spans="1:91" s="1" customFormat="1" ht="15" customHeight="1">
      <c r="A81" s="99"/>
      <c r="B81" s="93"/>
      <c r="C81" s="93"/>
      <c r="D81" s="97" t="str">
        <f>IF($A$79="Moyen :",$AI$131,IF($A$79="Etalon :",$AR$131,""))</f>
        <v/>
      </c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62"/>
      <c r="Q81" s="62"/>
      <c r="R81" s="62"/>
      <c r="S81" s="163">
        <f>'[2]raccordements à jour '!$B$21</f>
        <v>0</v>
      </c>
      <c r="T81" s="97"/>
      <c r="U81" s="39"/>
      <c r="V81" s="163">
        <f>'[2]raccordements à jour '!$B$45</f>
        <v>46174</v>
      </c>
      <c r="W81" s="39"/>
      <c r="X81" s="59"/>
      <c r="Y81" s="38"/>
      <c r="Z81" s="38"/>
      <c r="AA81" s="38"/>
      <c r="AI81" s="38"/>
      <c r="AJ81" s="81"/>
      <c r="AK81" s="18"/>
      <c r="AL81" s="23"/>
      <c r="AM81" s="18"/>
      <c r="AN81" s="18"/>
      <c r="AO81" s="18"/>
      <c r="AP81" s="18"/>
      <c r="AQ81" s="38"/>
      <c r="AR81" s="66"/>
      <c r="AS81" s="18"/>
      <c r="AT81" s="18"/>
      <c r="AU81" s="23"/>
      <c r="AV81" s="18"/>
      <c r="AY81" s="38"/>
      <c r="AZ81" s="38"/>
      <c r="BA81" s="38"/>
      <c r="BB81" s="38"/>
      <c r="BC81" s="38"/>
      <c r="BD81" s="38"/>
      <c r="BE81" s="38"/>
      <c r="BF81" s="38"/>
      <c r="BG81" s="38"/>
      <c r="BH81" s="38"/>
      <c r="BI81" s="38"/>
      <c r="BJ81" s="38"/>
      <c r="BK81" s="38"/>
      <c r="BL81" s="38"/>
      <c r="BM81" s="38"/>
      <c r="BN81" s="38"/>
      <c r="BO81" s="38"/>
      <c r="BP81" s="38"/>
      <c r="BQ81" s="38"/>
      <c r="BR81" s="38"/>
      <c r="BS81" s="38"/>
      <c r="BT81" s="38"/>
      <c r="BU81" s="38"/>
      <c r="BV81" s="38"/>
      <c r="BW81" s="38"/>
      <c r="BX81" s="38"/>
      <c r="BY81" s="38"/>
      <c r="BZ81" s="38"/>
      <c r="CA81" s="38"/>
      <c r="CB81" s="38"/>
      <c r="CC81" s="38"/>
      <c r="CD81" s="38"/>
      <c r="CE81" s="38"/>
      <c r="CF81" s="38"/>
      <c r="CG81" s="38"/>
      <c r="CH81" s="38"/>
      <c r="CI81" s="38"/>
      <c r="CJ81" s="38"/>
      <c r="CK81" s="38"/>
      <c r="CL81" s="38"/>
      <c r="CM81" s="38"/>
    </row>
    <row r="82" spans="1:91" s="1" customFormat="1" ht="15" customHeight="1">
      <c r="A82" s="101"/>
      <c r="B82" s="101"/>
      <c r="C82" s="101"/>
      <c r="D82" s="97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62"/>
      <c r="Q82" s="62"/>
      <c r="R82" s="62"/>
      <c r="S82" s="97" t="str">
        <f>'[2]raccordements à jour '!$B$40</f>
        <v>Bague lisse 16 mm (BLE10)</v>
      </c>
      <c r="T82" s="97"/>
      <c r="U82" s="39"/>
      <c r="V82" s="97" t="str">
        <f>'[2]raccordements à jour '!$B$46</f>
        <v>Cale étalon 200 mm (CE3)</v>
      </c>
      <c r="W82" s="39"/>
      <c r="X82" s="59"/>
      <c r="Y82" s="38"/>
      <c r="Z82" s="66"/>
      <c r="AA82" s="38"/>
      <c r="AI82" s="38"/>
      <c r="AJ82" s="82"/>
      <c r="AK82" s="18"/>
      <c r="AL82" s="23"/>
      <c r="AM82" s="18"/>
      <c r="AN82" s="18"/>
      <c r="AO82" s="18"/>
      <c r="AP82" s="18"/>
      <c r="AQ82" s="38"/>
      <c r="AR82" s="59"/>
      <c r="AS82" s="82"/>
      <c r="AT82" s="18"/>
      <c r="AU82" s="23"/>
      <c r="AV82" s="18"/>
      <c r="AY82" s="38"/>
      <c r="AZ82" s="38"/>
      <c r="BA82" s="38"/>
      <c r="BB82" s="38"/>
      <c r="BC82" s="38"/>
      <c r="BD82" s="38"/>
      <c r="BE82" s="38"/>
      <c r="BF82" s="38"/>
      <c r="BG82" s="38"/>
      <c r="BH82" s="38"/>
      <c r="BI82" s="38"/>
      <c r="BJ82" s="38"/>
      <c r="BK82" s="38"/>
      <c r="BL82" s="38"/>
      <c r="BM82" s="38"/>
      <c r="BN82" s="38"/>
      <c r="BO82" s="38"/>
      <c r="BP82" s="38"/>
      <c r="BQ82" s="38"/>
      <c r="BR82" s="38"/>
      <c r="BS82" s="38"/>
      <c r="BT82" s="38"/>
      <c r="BU82" s="38"/>
      <c r="BV82" s="38"/>
      <c r="BW82" s="38"/>
      <c r="BX82" s="38"/>
      <c r="BY82" s="38"/>
      <c r="BZ82" s="38"/>
      <c r="CA82" s="38"/>
      <c r="CB82" s="38"/>
      <c r="CC82" s="38"/>
      <c r="CD82" s="38"/>
      <c r="CE82" s="38"/>
      <c r="CF82" s="38"/>
      <c r="CG82" s="38"/>
      <c r="CH82" s="38"/>
      <c r="CI82" s="38"/>
      <c r="CJ82" s="38"/>
      <c r="CK82" s="38"/>
      <c r="CL82" s="38"/>
      <c r="CM82" s="38"/>
    </row>
    <row r="83" spans="1:91" s="1" customFormat="1" ht="15" customHeight="1">
      <c r="A83" s="90" t="s">
        <v>84</v>
      </c>
      <c r="B83" s="97"/>
      <c r="C83" s="97"/>
      <c r="D83" s="97"/>
      <c r="E83" s="97"/>
      <c r="F83" s="97"/>
      <c r="G83" s="97"/>
      <c r="H83" s="97"/>
      <c r="I83" s="97"/>
      <c r="J83" s="205" t="s">
        <v>77</v>
      </c>
      <c r="K83" s="205"/>
      <c r="L83" s="205"/>
      <c r="M83" s="205"/>
      <c r="N83" s="97"/>
      <c r="O83" s="97"/>
      <c r="P83" s="62"/>
      <c r="Q83" s="62"/>
      <c r="R83" s="62"/>
      <c r="S83" s="97" t="str">
        <f>'[2]raccordements à jour '!$B$41</f>
        <v>CE COFRAC n° 030627_006</v>
      </c>
      <c r="T83" s="97"/>
      <c r="U83" s="39"/>
      <c r="V83" s="97" t="str">
        <f>'[2]raccordements à jour '!$B$47</f>
        <v>CE COFRAC n° 030627_007</v>
      </c>
      <c r="W83" s="39"/>
      <c r="X83" s="59"/>
      <c r="Y83" s="38"/>
      <c r="Z83" s="59"/>
      <c r="AA83" s="38"/>
      <c r="AI83" s="59"/>
      <c r="AJ83" s="81"/>
      <c r="AK83" s="18"/>
      <c r="AL83" s="23"/>
      <c r="AM83" s="18"/>
      <c r="AN83" s="18"/>
      <c r="AO83" s="18"/>
      <c r="AP83" s="18"/>
      <c r="AQ83" s="38"/>
      <c r="AR83" s="66"/>
      <c r="AS83" s="18"/>
      <c r="AT83" s="18"/>
      <c r="AU83" s="23"/>
      <c r="AV83" s="18"/>
      <c r="AY83" s="38"/>
      <c r="AZ83" s="38"/>
      <c r="BA83" s="38"/>
      <c r="BB83" s="38"/>
      <c r="BC83" s="38"/>
      <c r="BD83" s="38"/>
      <c r="BE83" s="38"/>
      <c r="BF83" s="38"/>
      <c r="BG83" s="38"/>
      <c r="BH83" s="38"/>
      <c r="BI83" s="38"/>
      <c r="BJ83" s="38"/>
      <c r="BK83" s="38"/>
      <c r="BL83" s="38"/>
      <c r="BM83" s="38"/>
      <c r="BN83" s="38"/>
      <c r="BO83" s="38"/>
      <c r="BP83" s="38"/>
      <c r="BQ83" s="38"/>
      <c r="BR83" s="38"/>
      <c r="BS83" s="38"/>
      <c r="BT83" s="38"/>
      <c r="BU83" s="38"/>
      <c r="BV83" s="38"/>
      <c r="BW83" s="38"/>
      <c r="BX83" s="38"/>
      <c r="BY83" s="38"/>
      <c r="BZ83" s="38"/>
      <c r="CA83" s="38"/>
      <c r="CB83" s="38"/>
      <c r="CC83" s="38"/>
      <c r="CD83" s="38"/>
      <c r="CE83" s="38"/>
      <c r="CF83" s="38"/>
      <c r="CG83" s="38"/>
      <c r="CH83" s="38"/>
      <c r="CI83" s="38"/>
      <c r="CJ83" s="38"/>
      <c r="CK83" s="38"/>
      <c r="CL83" s="38"/>
      <c r="CM83" s="38"/>
    </row>
    <row r="84" spans="1:91" s="1" customFormat="1" ht="15" customHeight="1">
      <c r="A84" s="90"/>
      <c r="B84" s="97"/>
      <c r="C84" s="97"/>
      <c r="D84" s="97"/>
      <c r="E84" s="97"/>
      <c r="F84" s="97"/>
      <c r="G84" s="97"/>
      <c r="H84" s="97"/>
      <c r="I84" s="97"/>
      <c r="J84" s="103"/>
      <c r="K84" s="103"/>
      <c r="L84" s="103"/>
      <c r="M84" s="103"/>
      <c r="N84" s="97"/>
      <c r="O84" s="97"/>
      <c r="Q84" s="3"/>
      <c r="R84" s="3"/>
      <c r="S84" s="163">
        <f>'[2]raccordements à jour '!$B$42</f>
        <v>46174</v>
      </c>
      <c r="T84" s="97"/>
      <c r="U84" s="39"/>
      <c r="V84" s="163">
        <f>'[2]raccordements à jour '!$B$48</f>
        <v>46174</v>
      </c>
      <c r="W84" s="39"/>
      <c r="X84" s="59"/>
      <c r="Y84" s="38"/>
      <c r="Z84" s="66"/>
      <c r="AA84" s="38"/>
      <c r="AI84" s="38"/>
      <c r="AJ84" s="81"/>
      <c r="AK84" s="18"/>
      <c r="AL84" s="23"/>
      <c r="AM84" s="18"/>
      <c r="AN84" s="18"/>
      <c r="AO84" s="18"/>
      <c r="AP84" s="18"/>
      <c r="AQ84" s="38"/>
      <c r="AR84" s="59"/>
      <c r="AS84" s="18"/>
      <c r="AT84" s="18"/>
      <c r="AU84" s="23"/>
      <c r="AV84" s="18"/>
      <c r="AY84" s="38"/>
      <c r="AZ84" s="38"/>
      <c r="BA84" s="38"/>
      <c r="BB84" s="38"/>
      <c r="BC84" s="38"/>
      <c r="BD84" s="38"/>
      <c r="BE84" s="38"/>
      <c r="BF84" s="38"/>
      <c r="BG84" s="38"/>
      <c r="BH84" s="38"/>
      <c r="BI84" s="38"/>
      <c r="BJ84" s="38"/>
      <c r="BK84" s="38"/>
      <c r="BL84" s="38"/>
      <c r="BM84" s="38"/>
      <c r="BN84" s="38"/>
      <c r="BO84" s="38"/>
      <c r="BP84" s="38"/>
      <c r="BQ84" s="38"/>
      <c r="BR84" s="38"/>
      <c r="BS84" s="38"/>
      <c r="BT84" s="38"/>
      <c r="BU84" s="38"/>
      <c r="BV84" s="38"/>
      <c r="BW84" s="38"/>
      <c r="BX84" s="38"/>
      <c r="BY84" s="38"/>
      <c r="BZ84" s="38"/>
      <c r="CA84" s="38"/>
      <c r="CB84" s="38"/>
      <c r="CC84" s="38"/>
      <c r="CD84" s="38"/>
      <c r="CE84" s="38"/>
      <c r="CF84" s="38"/>
      <c r="CG84" s="38"/>
      <c r="CH84" s="38"/>
      <c r="CI84" s="38"/>
      <c r="CJ84" s="38"/>
      <c r="CK84" s="38"/>
      <c r="CL84" s="38"/>
      <c r="CM84" s="38"/>
    </row>
    <row r="85" spans="1:91" s="1" customFormat="1" ht="15" customHeight="1">
      <c r="A85" s="101"/>
      <c r="B85" s="89"/>
      <c r="C85" s="89"/>
      <c r="D85" s="97"/>
      <c r="E85" s="89"/>
      <c r="F85" s="89"/>
      <c r="G85" s="89"/>
      <c r="H85" s="89"/>
      <c r="I85" s="89"/>
      <c r="J85" s="89"/>
      <c r="K85" s="89"/>
      <c r="L85" s="89"/>
      <c r="M85" s="89"/>
      <c r="N85" s="89"/>
      <c r="O85" s="89"/>
      <c r="Q85" s="54"/>
      <c r="R85" s="54"/>
      <c r="T85" s="97"/>
      <c r="U85" s="39"/>
      <c r="V85" s="60"/>
      <c r="W85" s="39"/>
      <c r="X85" s="59"/>
      <c r="Y85" s="38"/>
      <c r="Z85" s="66"/>
      <c r="AA85" s="38"/>
      <c r="AI85" s="38"/>
      <c r="AJ85" s="82"/>
      <c r="AK85" s="18"/>
      <c r="AL85" s="23"/>
      <c r="AM85" s="18"/>
      <c r="AN85" s="18"/>
      <c r="AO85" s="18"/>
      <c r="AP85" s="18"/>
      <c r="AQ85" s="38"/>
      <c r="AR85" s="38"/>
      <c r="AS85" s="82"/>
      <c r="AT85" s="18"/>
      <c r="AU85" s="23"/>
      <c r="AV85" s="18"/>
      <c r="AY85" s="38"/>
      <c r="AZ85" s="38"/>
      <c r="BA85" s="38"/>
      <c r="BB85" s="38"/>
      <c r="BC85" s="38"/>
      <c r="BD85" s="38"/>
      <c r="BE85" s="38"/>
      <c r="BF85" s="38"/>
      <c r="BG85" s="38"/>
      <c r="BH85" s="38"/>
      <c r="BI85" s="38"/>
      <c r="BJ85" s="38"/>
      <c r="BK85" s="38"/>
      <c r="BL85" s="38"/>
      <c r="BM85" s="38"/>
      <c r="BN85" s="38"/>
      <c r="BO85" s="38"/>
      <c r="BP85" s="38"/>
      <c r="BQ85" s="38"/>
      <c r="BR85" s="38"/>
      <c r="BS85" s="38"/>
      <c r="BT85" s="38"/>
      <c r="BU85" s="38"/>
      <c r="BV85" s="38"/>
      <c r="BW85" s="38"/>
      <c r="BX85" s="38"/>
      <c r="BY85" s="38"/>
      <c r="BZ85" s="38"/>
      <c r="CA85" s="38"/>
      <c r="CB85" s="38"/>
      <c r="CC85" s="38"/>
      <c r="CD85" s="38"/>
      <c r="CE85" s="38"/>
      <c r="CF85" s="38"/>
      <c r="CG85" s="38"/>
      <c r="CH85" s="38"/>
      <c r="CI85" s="38"/>
      <c r="CJ85" s="38"/>
      <c r="CK85" s="38"/>
      <c r="CL85" s="38"/>
      <c r="CM85" s="38"/>
    </row>
    <row r="86" spans="1:91" s="1" customFormat="1" ht="15" customHeight="1">
      <c r="A86" s="91" t="s">
        <v>14</v>
      </c>
      <c r="B86" s="91"/>
      <c r="C86" s="91"/>
      <c r="D86" s="91"/>
      <c r="E86" s="91"/>
      <c r="F86" s="91"/>
      <c r="G86" s="91"/>
      <c r="H86" s="91"/>
      <c r="I86" s="91"/>
      <c r="J86" s="91"/>
      <c r="K86" s="91"/>
      <c r="L86" s="91"/>
      <c r="M86" s="91"/>
      <c r="N86" s="91"/>
      <c r="O86" s="91"/>
      <c r="P86" s="3"/>
      <c r="Q86" s="54"/>
      <c r="R86" s="54"/>
      <c r="T86" s="97"/>
      <c r="U86" s="39"/>
      <c r="V86" s="60"/>
      <c r="W86" s="39"/>
      <c r="X86" s="59"/>
      <c r="Y86" s="38"/>
      <c r="Z86" s="66"/>
      <c r="AA86" s="38"/>
      <c r="AI86" s="59"/>
      <c r="AJ86" s="81"/>
      <c r="AK86" s="18"/>
      <c r="AL86" s="23"/>
      <c r="AM86" s="18"/>
      <c r="AN86" s="18"/>
      <c r="AO86" s="18"/>
      <c r="AP86" s="18"/>
      <c r="AQ86" s="38"/>
      <c r="AR86" s="59"/>
      <c r="AS86" s="18"/>
      <c r="AT86" s="18"/>
      <c r="AU86" s="23"/>
      <c r="AV86" s="18"/>
      <c r="AY86" s="38"/>
      <c r="AZ86" s="38"/>
      <c r="BA86" s="38"/>
      <c r="BB86" s="38"/>
      <c r="BC86" s="38"/>
      <c r="BD86" s="38"/>
      <c r="BE86" s="38"/>
      <c r="BF86" s="38"/>
      <c r="BG86" s="38"/>
      <c r="BH86" s="38"/>
      <c r="BI86" s="38"/>
      <c r="BJ86" s="38"/>
      <c r="BK86" s="38"/>
      <c r="BL86" s="38"/>
      <c r="BM86" s="38"/>
      <c r="BN86" s="38"/>
      <c r="BO86" s="38"/>
      <c r="BP86" s="38"/>
      <c r="BQ86" s="38"/>
      <c r="BR86" s="38"/>
      <c r="BS86" s="38"/>
      <c r="BT86" s="38"/>
      <c r="BU86" s="38"/>
      <c r="BV86" s="38"/>
      <c r="BW86" s="38"/>
      <c r="BX86" s="38"/>
      <c r="BY86" s="38"/>
      <c r="BZ86" s="38"/>
      <c r="CA86" s="38"/>
      <c r="CB86" s="38"/>
      <c r="CC86" s="38"/>
      <c r="CD86" s="38"/>
      <c r="CE86" s="38"/>
      <c r="CF86" s="38"/>
      <c r="CG86" s="38"/>
      <c r="CH86" s="38"/>
      <c r="CI86" s="38"/>
      <c r="CJ86" s="38"/>
      <c r="CK86" s="38"/>
      <c r="CL86" s="38"/>
      <c r="CM86" s="38"/>
    </row>
    <row r="87" spans="1:91" s="1" customFormat="1" ht="15" customHeight="1">
      <c r="A87" s="75" t="s">
        <v>33</v>
      </c>
      <c r="B87" s="75"/>
      <c r="C87" s="75"/>
      <c r="D87" s="75"/>
      <c r="E87" s="75"/>
      <c r="F87" s="75"/>
      <c r="G87" s="75"/>
      <c r="H87" s="75"/>
      <c r="I87" s="75"/>
      <c r="J87" s="75"/>
      <c r="K87" s="75"/>
      <c r="L87" s="75"/>
      <c r="M87" s="75"/>
      <c r="N87" s="75"/>
      <c r="O87" s="75"/>
      <c r="P87" s="34"/>
      <c r="Q87" s="62"/>
      <c r="R87" s="62"/>
      <c r="T87" s="97"/>
      <c r="U87" s="39"/>
      <c r="V87" s="76"/>
      <c r="W87" s="39"/>
      <c r="X87" s="59"/>
      <c r="Y87" s="38"/>
      <c r="Z87" s="59"/>
      <c r="AA87" s="38"/>
      <c r="AI87" s="38"/>
      <c r="AJ87" s="81"/>
      <c r="AK87" s="18"/>
      <c r="AL87" s="23"/>
      <c r="AM87" s="18"/>
      <c r="AN87" s="18"/>
      <c r="AO87" s="18"/>
      <c r="AP87" s="18"/>
      <c r="AQ87" s="38"/>
      <c r="AR87" s="38"/>
      <c r="AS87" s="18"/>
      <c r="AT87" s="18"/>
      <c r="AU87" s="23"/>
      <c r="AV87" s="18"/>
      <c r="AY87" s="38"/>
      <c r="AZ87" s="38"/>
      <c r="BA87" s="38"/>
      <c r="BB87" s="38"/>
      <c r="BC87" s="38"/>
      <c r="BD87" s="38"/>
      <c r="BE87" s="38"/>
      <c r="BF87" s="38"/>
      <c r="BG87" s="38"/>
      <c r="BH87" s="38"/>
      <c r="BI87" s="38"/>
      <c r="BJ87" s="38"/>
      <c r="BK87" s="38"/>
      <c r="BL87" s="38"/>
      <c r="BM87" s="38"/>
      <c r="BN87" s="38"/>
      <c r="BO87" s="38"/>
      <c r="BP87" s="38"/>
      <c r="BQ87" s="38"/>
      <c r="BR87" s="38"/>
      <c r="BS87" s="38"/>
      <c r="BT87" s="38"/>
      <c r="BU87" s="38"/>
      <c r="BV87" s="38"/>
      <c r="BW87" s="38"/>
      <c r="BX87" s="38"/>
      <c r="BY87" s="38"/>
      <c r="BZ87" s="38"/>
      <c r="CA87" s="38"/>
      <c r="CB87" s="38"/>
      <c r="CC87" s="38"/>
      <c r="CD87" s="38"/>
      <c r="CE87" s="38"/>
      <c r="CF87" s="38"/>
      <c r="CG87" s="38"/>
      <c r="CH87" s="38"/>
      <c r="CI87" s="38"/>
      <c r="CJ87" s="38"/>
      <c r="CK87" s="38"/>
      <c r="CL87" s="38"/>
      <c r="CM87" s="38"/>
    </row>
    <row r="88" spans="1:91" s="1" customFormat="1" ht="15" customHeight="1">
      <c r="A88" s="75" t="s">
        <v>34</v>
      </c>
      <c r="B88" s="75"/>
      <c r="C88" s="75"/>
      <c r="D88" s="75"/>
      <c r="E88" s="75"/>
      <c r="F88" s="75"/>
      <c r="G88" s="75"/>
      <c r="H88" s="75"/>
      <c r="I88" s="75"/>
      <c r="J88" s="75"/>
      <c r="K88" s="75"/>
      <c r="L88" s="75"/>
      <c r="M88" s="75"/>
      <c r="N88" s="75"/>
      <c r="O88" s="75"/>
      <c r="P88" s="75"/>
      <c r="T88" s="97"/>
      <c r="U88" s="38"/>
      <c r="V88" s="38"/>
      <c r="W88" s="38"/>
      <c r="X88" s="59"/>
      <c r="Y88" s="38"/>
      <c r="Z88" s="59"/>
      <c r="AA88" s="38"/>
      <c r="AI88" s="59"/>
      <c r="AJ88" s="81"/>
      <c r="AK88" s="18"/>
      <c r="AL88" s="23"/>
      <c r="AM88" s="18"/>
      <c r="AN88" s="18"/>
      <c r="AO88" s="18"/>
      <c r="AP88" s="18"/>
      <c r="AQ88" s="38"/>
      <c r="AR88" s="59"/>
      <c r="AS88" s="81"/>
      <c r="AT88" s="18"/>
      <c r="AU88" s="23"/>
      <c r="AV88" s="18"/>
      <c r="AY88" s="38"/>
      <c r="AZ88" s="38"/>
      <c r="BA88" s="38"/>
      <c r="BB88" s="38"/>
      <c r="BC88" s="38"/>
      <c r="BD88" s="38"/>
      <c r="BE88" s="38"/>
      <c r="BF88" s="38"/>
      <c r="BG88" s="38"/>
      <c r="BH88" s="38"/>
      <c r="BI88" s="38"/>
      <c r="BJ88" s="38"/>
      <c r="BK88" s="38"/>
      <c r="BL88" s="38"/>
      <c r="BM88" s="38"/>
      <c r="BN88" s="38"/>
      <c r="BO88" s="38"/>
      <c r="BP88" s="38"/>
      <c r="BQ88" s="38"/>
      <c r="BR88" s="38"/>
      <c r="BS88" s="38"/>
      <c r="BT88" s="38"/>
      <c r="BU88" s="38"/>
      <c r="BV88" s="38"/>
      <c r="BW88" s="38"/>
      <c r="BX88" s="38"/>
      <c r="BY88" s="38"/>
      <c r="BZ88" s="38"/>
      <c r="CA88" s="38"/>
      <c r="CB88" s="38"/>
      <c r="CC88" s="38"/>
      <c r="CD88" s="38"/>
      <c r="CE88" s="38"/>
      <c r="CF88" s="38"/>
      <c r="CG88" s="38"/>
      <c r="CH88" s="38"/>
      <c r="CI88" s="38"/>
      <c r="CJ88" s="38"/>
      <c r="CK88" s="38"/>
      <c r="CL88" s="38"/>
      <c r="CM88" s="38"/>
    </row>
    <row r="89" spans="1:91" s="1" customFormat="1" ht="15" customHeight="1">
      <c r="A89" s="75" t="s">
        <v>35</v>
      </c>
      <c r="B89" s="75"/>
      <c r="C89" s="75"/>
      <c r="D89" s="75"/>
      <c r="E89" s="75"/>
      <c r="F89" s="75"/>
      <c r="G89" s="75"/>
      <c r="H89" s="75"/>
      <c r="I89" s="75"/>
      <c r="J89" s="75"/>
      <c r="K89" s="75"/>
      <c r="L89" s="75"/>
      <c r="M89" s="75"/>
      <c r="N89" s="75"/>
      <c r="O89" s="75"/>
      <c r="P89" s="75"/>
      <c r="T89" s="97"/>
      <c r="U89" s="38"/>
      <c r="V89" s="38"/>
      <c r="W89" s="38"/>
      <c r="X89" s="59"/>
      <c r="Y89" s="38"/>
      <c r="Z89" s="59"/>
      <c r="AA89" s="38"/>
      <c r="AI89" s="38"/>
      <c r="AJ89" s="81"/>
      <c r="AK89" s="18"/>
      <c r="AL89" s="23"/>
      <c r="AM89" s="18"/>
      <c r="AN89" s="18"/>
      <c r="AO89" s="18"/>
      <c r="AP89" s="18"/>
      <c r="AQ89" s="38"/>
      <c r="AR89" s="38"/>
      <c r="AS89" s="81"/>
      <c r="AT89" s="18"/>
      <c r="AU89" s="23"/>
      <c r="AV89" s="18"/>
      <c r="AY89" s="38"/>
      <c r="AZ89" s="38"/>
      <c r="BA89" s="38"/>
      <c r="BB89" s="38"/>
      <c r="BC89" s="38"/>
      <c r="BD89" s="38"/>
      <c r="BE89" s="38"/>
      <c r="BF89" s="38"/>
      <c r="BG89" s="38"/>
      <c r="BH89" s="38"/>
      <c r="BI89" s="38"/>
      <c r="BJ89" s="38"/>
      <c r="BK89" s="38"/>
      <c r="BL89" s="38"/>
      <c r="BM89" s="38"/>
      <c r="BN89" s="38"/>
      <c r="BO89" s="38"/>
      <c r="BP89" s="38"/>
      <c r="BQ89" s="38"/>
      <c r="BR89" s="38"/>
      <c r="BS89" s="38"/>
      <c r="BT89" s="38"/>
      <c r="BU89" s="38"/>
      <c r="BV89" s="38"/>
      <c r="BW89" s="38"/>
      <c r="BX89" s="38"/>
      <c r="BY89" s="38"/>
      <c r="BZ89" s="38"/>
      <c r="CA89" s="38"/>
      <c r="CB89" s="38"/>
      <c r="CC89" s="38"/>
      <c r="CD89" s="38"/>
      <c r="CE89" s="38"/>
      <c r="CF89" s="38"/>
      <c r="CG89" s="38"/>
      <c r="CH89" s="38"/>
      <c r="CI89" s="38"/>
      <c r="CJ89" s="38"/>
      <c r="CK89" s="38"/>
      <c r="CL89" s="38"/>
      <c r="CM89" s="38"/>
    </row>
    <row r="90" spans="1:91" s="1" customFormat="1" ht="15" customHeight="1">
      <c r="A90" s="75" t="s">
        <v>36</v>
      </c>
      <c r="B90" s="75"/>
      <c r="C90" s="75"/>
      <c r="D90" s="75"/>
      <c r="E90" s="75"/>
      <c r="F90" s="75"/>
      <c r="G90" s="75"/>
      <c r="H90" s="75"/>
      <c r="I90" s="75"/>
      <c r="J90" s="75"/>
      <c r="K90" s="75"/>
      <c r="L90" s="75"/>
      <c r="M90" s="75"/>
      <c r="N90" s="75"/>
      <c r="O90" s="75"/>
      <c r="P90" s="75"/>
      <c r="Q90" s="3"/>
      <c r="R90" s="3"/>
      <c r="T90" s="97"/>
      <c r="U90" s="38"/>
      <c r="V90" s="38"/>
      <c r="W90" s="39"/>
      <c r="X90" s="59"/>
      <c r="Y90" s="38"/>
      <c r="Z90" s="59"/>
      <c r="AA90" s="38"/>
      <c r="AI90" s="38"/>
      <c r="AJ90" s="82"/>
      <c r="AK90" s="18"/>
      <c r="AL90" s="23"/>
      <c r="AM90" s="18"/>
      <c r="AN90" s="18"/>
      <c r="AO90" s="18"/>
      <c r="AP90" s="18"/>
      <c r="AQ90" s="38"/>
      <c r="AR90" s="38"/>
      <c r="AS90" s="82"/>
      <c r="AT90" s="18"/>
      <c r="AU90" s="23"/>
      <c r="AV90" s="18"/>
      <c r="AY90" s="38"/>
      <c r="AZ90" s="38"/>
      <c r="BA90" s="38"/>
      <c r="BB90" s="38"/>
      <c r="BC90" s="38"/>
      <c r="BD90" s="38"/>
      <c r="BE90" s="38"/>
      <c r="BF90" s="38"/>
      <c r="BG90" s="38"/>
      <c r="BH90" s="38"/>
      <c r="BI90" s="38"/>
      <c r="BJ90" s="38"/>
      <c r="BK90" s="38"/>
      <c r="BL90" s="38"/>
      <c r="BM90" s="38"/>
      <c r="BN90" s="38"/>
      <c r="BO90" s="38"/>
      <c r="BP90" s="38"/>
      <c r="BQ90" s="38"/>
      <c r="BR90" s="38"/>
      <c r="BS90" s="38"/>
      <c r="BT90" s="38"/>
      <c r="BU90" s="38"/>
      <c r="BV90" s="38"/>
      <c r="BW90" s="38"/>
      <c r="BX90" s="38"/>
      <c r="BY90" s="38"/>
      <c r="BZ90" s="38"/>
      <c r="CA90" s="38"/>
      <c r="CB90" s="38"/>
      <c r="CC90" s="38"/>
      <c r="CD90" s="38"/>
      <c r="CE90" s="38"/>
      <c r="CF90" s="38"/>
      <c r="CG90" s="38"/>
      <c r="CH90" s="38"/>
      <c r="CI90" s="38"/>
      <c r="CJ90" s="38"/>
      <c r="CK90" s="38"/>
      <c r="CL90" s="38"/>
      <c r="CM90" s="38"/>
    </row>
    <row r="91" spans="1:91" s="1" customFormat="1" ht="15" customHeight="1">
      <c r="A91" s="75" t="s">
        <v>37</v>
      </c>
      <c r="B91" s="75"/>
      <c r="C91" s="75"/>
      <c r="D91" s="75"/>
      <c r="E91" s="75"/>
      <c r="F91" s="75"/>
      <c r="G91" s="75"/>
      <c r="H91" s="75"/>
      <c r="I91" s="75"/>
      <c r="J91" s="75"/>
      <c r="K91" s="75"/>
      <c r="L91" s="75"/>
      <c r="M91" s="75"/>
      <c r="N91" s="75"/>
      <c r="O91" s="75"/>
      <c r="P91" s="75"/>
      <c r="Q91" s="67"/>
      <c r="R91" s="34"/>
      <c r="T91" s="20" t="s">
        <v>75</v>
      </c>
      <c r="X91" s="59"/>
      <c r="Y91" s="38"/>
      <c r="Z91" s="59"/>
      <c r="AA91" s="38"/>
      <c r="AI91" s="59"/>
      <c r="AJ91" s="81"/>
      <c r="AK91" s="18"/>
      <c r="AL91" s="23"/>
      <c r="AM91" s="18"/>
      <c r="AN91" s="18"/>
      <c r="AO91" s="18"/>
      <c r="AP91" s="18"/>
      <c r="AQ91" s="38"/>
      <c r="AR91" s="59"/>
      <c r="AS91" s="81"/>
      <c r="AT91" s="18"/>
      <c r="AU91" s="23"/>
      <c r="AV91" s="18"/>
      <c r="AY91" s="38"/>
      <c r="AZ91" s="38"/>
      <c r="BA91" s="38"/>
      <c r="BB91" s="38"/>
      <c r="BC91" s="38"/>
      <c r="BD91" s="38"/>
      <c r="BE91" s="38"/>
      <c r="BF91" s="38"/>
      <c r="BG91" s="38"/>
      <c r="BH91" s="38"/>
      <c r="BI91" s="38"/>
      <c r="BJ91" s="38"/>
      <c r="BK91" s="38"/>
      <c r="BL91" s="38"/>
      <c r="BM91" s="38"/>
      <c r="BN91" s="38"/>
      <c r="BO91" s="38"/>
      <c r="BP91" s="38"/>
      <c r="BQ91" s="38"/>
      <c r="BR91" s="38"/>
      <c r="BS91" s="38"/>
      <c r="BT91" s="38"/>
      <c r="BU91" s="38"/>
      <c r="BV91" s="38"/>
      <c r="BW91" s="38"/>
      <c r="BX91" s="38"/>
      <c r="BY91" s="38"/>
      <c r="BZ91" s="38"/>
      <c r="CA91" s="38"/>
      <c r="CB91" s="38"/>
      <c r="CC91" s="38"/>
      <c r="CD91" s="38"/>
      <c r="CE91" s="38"/>
      <c r="CF91" s="38"/>
      <c r="CG91" s="38"/>
      <c r="CH91" s="38"/>
      <c r="CI91" s="38"/>
      <c r="CJ91" s="38"/>
      <c r="CK91" s="38"/>
      <c r="CL91" s="38"/>
      <c r="CM91" s="38"/>
    </row>
    <row r="92" spans="1:91" s="1" customFormat="1" ht="15" customHeight="1">
      <c r="A92" s="75" t="s">
        <v>44</v>
      </c>
      <c r="B92" s="75"/>
      <c r="C92" s="75"/>
      <c r="D92" s="75"/>
      <c r="E92" s="75"/>
      <c r="F92" s="75"/>
      <c r="G92" s="75"/>
      <c r="H92" s="75"/>
      <c r="I92" s="75"/>
      <c r="J92" s="75"/>
      <c r="K92" s="75"/>
      <c r="L92" s="75"/>
      <c r="M92" s="75"/>
      <c r="N92" s="75"/>
      <c r="O92" s="75"/>
      <c r="P92" s="75"/>
      <c r="Q92" s="9"/>
      <c r="R92" s="10"/>
      <c r="X92" s="59"/>
      <c r="Y92" s="38"/>
      <c r="Z92" s="59"/>
      <c r="AA92" s="38"/>
      <c r="AI92" s="38"/>
      <c r="AJ92" s="81"/>
      <c r="AK92" s="18"/>
      <c r="AL92" s="23"/>
      <c r="AM92" s="18"/>
      <c r="AN92" s="18"/>
      <c r="AO92" s="18"/>
      <c r="AP92" s="18"/>
      <c r="AQ92" s="38"/>
      <c r="AR92" s="38"/>
      <c r="AS92" s="81"/>
      <c r="AT92" s="18"/>
      <c r="AU92" s="23"/>
      <c r="AV92" s="18"/>
      <c r="AY92" s="38"/>
      <c r="AZ92" s="38"/>
      <c r="BA92" s="38"/>
      <c r="BB92" s="38"/>
      <c r="BC92" s="38"/>
      <c r="BD92" s="38"/>
      <c r="BE92" s="38"/>
      <c r="BF92" s="38"/>
      <c r="BG92" s="38"/>
      <c r="BH92" s="38"/>
      <c r="BI92" s="38"/>
      <c r="BJ92" s="38"/>
      <c r="BK92" s="38"/>
      <c r="BL92" s="38"/>
      <c r="BM92" s="38"/>
      <c r="BN92" s="38"/>
      <c r="BO92" s="38"/>
      <c r="BP92" s="38"/>
      <c r="BQ92" s="38"/>
      <c r="BR92" s="38"/>
      <c r="BS92" s="38"/>
      <c r="BT92" s="38"/>
      <c r="BU92" s="38"/>
      <c r="BV92" s="38"/>
      <c r="BW92" s="38"/>
      <c r="BX92" s="38"/>
      <c r="BY92" s="38"/>
      <c r="BZ92" s="38"/>
      <c r="CA92" s="38"/>
      <c r="CB92" s="38"/>
      <c r="CC92" s="38"/>
      <c r="CD92" s="38"/>
      <c r="CE92" s="38"/>
      <c r="CF92" s="38"/>
      <c r="CG92" s="38"/>
      <c r="CH92" s="38"/>
      <c r="CI92" s="38"/>
      <c r="CJ92" s="38"/>
      <c r="CK92" s="38"/>
      <c r="CL92" s="38"/>
      <c r="CM92" s="38"/>
    </row>
    <row r="93" spans="1:91" s="1" customFormat="1" ht="15" customHeight="1">
      <c r="A93" s="75" t="s">
        <v>45</v>
      </c>
      <c r="B93" s="75"/>
      <c r="C93" s="75"/>
      <c r="D93" s="75"/>
      <c r="E93" s="75"/>
      <c r="F93" s="75"/>
      <c r="G93" s="75"/>
      <c r="H93" s="75"/>
      <c r="I93" s="75"/>
      <c r="J93" s="75"/>
      <c r="K93" s="75"/>
      <c r="L93" s="75"/>
      <c r="M93" s="75"/>
      <c r="N93" s="75"/>
      <c r="O93" s="75"/>
      <c r="P93" s="75"/>
      <c r="Q93" s="9"/>
      <c r="R93" s="10"/>
      <c r="S93" s="38"/>
      <c r="T93" s="38" t="s">
        <v>53</v>
      </c>
      <c r="W93" s="5">
        <v>3</v>
      </c>
      <c r="X93" s="59"/>
      <c r="Y93" s="38"/>
      <c r="Z93" s="59"/>
      <c r="AA93" s="38"/>
      <c r="AI93" s="38"/>
      <c r="AJ93" s="82"/>
      <c r="AK93" s="18"/>
      <c r="AL93" s="23"/>
      <c r="AM93" s="18"/>
      <c r="AN93" s="18"/>
      <c r="AO93" s="18"/>
      <c r="AP93" s="18"/>
      <c r="AQ93" s="38"/>
      <c r="AR93" s="38"/>
      <c r="AS93" s="82"/>
      <c r="AT93" s="18"/>
      <c r="AU93" s="23"/>
      <c r="AV93" s="18"/>
      <c r="AY93" s="38"/>
      <c r="AZ93" s="38"/>
      <c r="BA93" s="38"/>
      <c r="BB93" s="38"/>
      <c r="BC93" s="38"/>
      <c r="BD93" s="38"/>
      <c r="BE93" s="38"/>
      <c r="BF93" s="38"/>
      <c r="BG93" s="38"/>
      <c r="BH93" s="38"/>
      <c r="BI93" s="38"/>
      <c r="BJ93" s="38"/>
      <c r="BK93" s="38"/>
      <c r="BL93" s="38"/>
      <c r="BM93" s="38"/>
      <c r="BN93" s="38"/>
      <c r="BO93" s="38"/>
      <c r="BP93" s="38"/>
      <c r="BQ93" s="38"/>
      <c r="BR93" s="38"/>
      <c r="BS93" s="38"/>
      <c r="BT93" s="38"/>
      <c r="BU93" s="38"/>
      <c r="BV93" s="38"/>
      <c r="BW93" s="38"/>
      <c r="BX93" s="38"/>
      <c r="BY93" s="38"/>
      <c r="BZ93" s="38"/>
      <c r="CA93" s="38"/>
      <c r="CB93" s="38"/>
      <c r="CC93" s="38"/>
      <c r="CD93" s="38"/>
      <c r="CE93" s="38"/>
      <c r="CF93" s="38"/>
      <c r="CG93" s="38"/>
      <c r="CH93" s="38"/>
      <c r="CI93" s="38"/>
      <c r="CJ93" s="38"/>
      <c r="CK93" s="38"/>
      <c r="CL93" s="38"/>
      <c r="CM93" s="38"/>
    </row>
    <row r="94" spans="1:91" s="1" customFormat="1" ht="15" customHeight="1">
      <c r="A94" s="97"/>
      <c r="B94" s="97"/>
      <c r="C94" s="97"/>
      <c r="D94" s="97"/>
      <c r="E94" s="97"/>
      <c r="F94" s="97"/>
      <c r="G94" s="97"/>
      <c r="H94" s="97"/>
      <c r="I94" s="97"/>
      <c r="J94" s="97"/>
      <c r="K94" s="97"/>
      <c r="L94" s="97"/>
      <c r="M94" s="97"/>
      <c r="N94" s="97"/>
      <c r="O94" s="97"/>
      <c r="P94" s="75"/>
      <c r="Q94" s="9"/>
      <c r="R94" s="10"/>
      <c r="S94" s="39"/>
      <c r="X94" s="59"/>
      <c r="Y94" s="38"/>
      <c r="Z94" s="59"/>
      <c r="AA94" s="38"/>
      <c r="AI94" s="59"/>
      <c r="AJ94" s="81"/>
      <c r="AK94" s="18"/>
      <c r="AL94" s="23"/>
      <c r="AM94" s="18"/>
      <c r="AN94" s="18"/>
      <c r="AO94" s="18"/>
      <c r="AP94" s="18"/>
      <c r="AQ94" s="38"/>
      <c r="AR94" s="59"/>
      <c r="AS94" s="81"/>
      <c r="AT94" s="18"/>
      <c r="AU94" s="23"/>
      <c r="AV94" s="18"/>
      <c r="AY94" s="38"/>
      <c r="AZ94" s="38"/>
      <c r="BA94" s="38"/>
      <c r="BB94" s="38"/>
      <c r="BC94" s="38"/>
      <c r="BD94" s="38"/>
      <c r="BE94" s="38"/>
      <c r="BF94" s="38"/>
      <c r="BG94" s="38"/>
      <c r="BH94" s="38"/>
      <c r="BI94" s="38"/>
      <c r="BJ94" s="38"/>
      <c r="BK94" s="38"/>
      <c r="BL94" s="38"/>
      <c r="BM94" s="38"/>
      <c r="BN94" s="38"/>
      <c r="BO94" s="38"/>
      <c r="BP94" s="38"/>
      <c r="BQ94" s="38"/>
      <c r="BR94" s="38"/>
      <c r="BS94" s="38"/>
      <c r="BT94" s="38"/>
      <c r="BU94" s="38"/>
      <c r="BV94" s="38"/>
      <c r="BW94" s="38"/>
      <c r="BX94" s="38"/>
      <c r="BY94" s="38"/>
      <c r="BZ94" s="38"/>
      <c r="CA94" s="38"/>
      <c r="CB94" s="38"/>
      <c r="CC94" s="38"/>
      <c r="CD94" s="38"/>
      <c r="CE94" s="38"/>
      <c r="CF94" s="38"/>
      <c r="CG94" s="38"/>
      <c r="CH94" s="38"/>
      <c r="CI94" s="38"/>
      <c r="CJ94" s="38"/>
      <c r="CK94" s="38"/>
      <c r="CL94" s="38"/>
      <c r="CM94" s="38"/>
    </row>
    <row r="95" spans="1:91" s="1" customFormat="1" ht="15" customHeight="1">
      <c r="A95" s="97"/>
      <c r="B95" s="97"/>
      <c r="C95" s="97"/>
      <c r="D95" s="97"/>
      <c r="E95" s="97"/>
      <c r="F95" s="97"/>
      <c r="G95" s="97"/>
      <c r="H95" s="97"/>
      <c r="I95" s="97"/>
      <c r="J95" s="97"/>
      <c r="K95" s="97"/>
      <c r="L95" s="97"/>
      <c r="M95" s="97"/>
      <c r="N95" s="97"/>
      <c r="O95" s="97"/>
      <c r="Q95" s="9"/>
      <c r="R95" s="10"/>
      <c r="S95" s="39"/>
      <c r="T95" s="22"/>
      <c r="U95" s="40" t="s">
        <v>39</v>
      </c>
      <c r="V95" s="40" t="s">
        <v>40</v>
      </c>
      <c r="W95" s="40" t="s">
        <v>41</v>
      </c>
      <c r="X95" s="59"/>
      <c r="Y95" s="38"/>
      <c r="Z95" s="59"/>
      <c r="AA95" s="38"/>
      <c r="AI95" s="38"/>
      <c r="AJ95" s="81"/>
      <c r="AK95" s="18"/>
      <c r="AL95" s="23"/>
      <c r="AM95" s="18"/>
      <c r="AN95" s="18"/>
      <c r="AO95" s="18"/>
      <c r="AP95" s="18"/>
      <c r="AQ95" s="38"/>
      <c r="AR95" s="38"/>
      <c r="AS95" s="81"/>
      <c r="AT95" s="18"/>
      <c r="AU95" s="23"/>
      <c r="AV95" s="18"/>
      <c r="AY95" s="38"/>
      <c r="AZ95" s="38"/>
      <c r="BA95" s="38"/>
      <c r="BB95" s="38"/>
      <c r="BC95" s="38"/>
      <c r="BD95" s="38"/>
      <c r="BE95" s="38"/>
      <c r="BF95" s="38"/>
      <c r="BG95" s="38"/>
      <c r="BH95" s="38"/>
      <c r="BI95" s="38"/>
      <c r="BJ95" s="38"/>
      <c r="BK95" s="38"/>
      <c r="BL95" s="38"/>
      <c r="BM95" s="38"/>
      <c r="BN95" s="38"/>
      <c r="BO95" s="38"/>
      <c r="BP95" s="38"/>
      <c r="BQ95" s="38"/>
      <c r="BR95" s="38"/>
      <c r="BS95" s="38"/>
      <c r="BT95" s="38"/>
      <c r="BU95" s="38"/>
      <c r="BV95" s="38"/>
      <c r="BW95" s="38"/>
      <c r="BX95" s="38"/>
      <c r="BY95" s="38"/>
      <c r="BZ95" s="38"/>
      <c r="CA95" s="38"/>
      <c r="CB95" s="38"/>
      <c r="CC95" s="38"/>
      <c r="CD95" s="38"/>
      <c r="CE95" s="38"/>
      <c r="CF95" s="38"/>
      <c r="CG95" s="38"/>
      <c r="CH95" s="38"/>
      <c r="CI95" s="38"/>
      <c r="CJ95" s="38"/>
      <c r="CK95" s="38"/>
      <c r="CL95" s="38"/>
      <c r="CM95" s="38"/>
    </row>
    <row r="96" spans="1:91" s="1" customFormat="1" ht="15" customHeight="1">
      <c r="A96" s="201" t="s">
        <v>38</v>
      </c>
      <c r="B96" s="201"/>
      <c r="C96" s="201"/>
      <c r="D96" s="201"/>
      <c r="E96" s="201"/>
      <c r="F96" s="201"/>
      <c r="G96" s="201"/>
      <c r="H96" s="201"/>
      <c r="I96" s="201"/>
      <c r="J96" s="201"/>
      <c r="K96" s="201"/>
      <c r="L96" s="201"/>
      <c r="M96" s="201"/>
      <c r="N96" s="201"/>
      <c r="O96" s="201"/>
      <c r="Q96" s="9"/>
      <c r="R96" s="10"/>
      <c r="S96" s="39"/>
      <c r="T96" s="40" t="s">
        <v>54</v>
      </c>
      <c r="U96" s="71">
        <v>3.8999999999999998E-3</v>
      </c>
      <c r="V96" s="71">
        <v>7.6699999999999997E-3</v>
      </c>
      <c r="W96" s="71">
        <v>9.6200000000000001E-3</v>
      </c>
      <c r="X96" s="59"/>
      <c r="Y96" s="38"/>
      <c r="Z96" s="59"/>
      <c r="AA96" s="38"/>
      <c r="AI96" s="38"/>
      <c r="AJ96" s="82"/>
      <c r="AK96" s="18"/>
      <c r="AL96" s="23"/>
      <c r="AM96" s="18"/>
      <c r="AN96" s="18"/>
      <c r="AO96" s="18"/>
      <c r="AP96" s="18"/>
      <c r="AQ96" s="38"/>
      <c r="AR96" s="38"/>
      <c r="AS96" s="82"/>
      <c r="AT96" s="18"/>
      <c r="AU96" s="23"/>
      <c r="AV96" s="18"/>
      <c r="AY96" s="38"/>
      <c r="AZ96" s="38"/>
      <c r="BA96" s="38"/>
      <c r="BB96" s="38"/>
      <c r="BC96" s="38"/>
      <c r="BD96" s="38"/>
      <c r="BE96" s="38"/>
      <c r="BF96" s="38"/>
      <c r="BG96" s="38"/>
      <c r="BH96" s="38"/>
      <c r="BI96" s="38"/>
      <c r="BJ96" s="38"/>
      <c r="BK96" s="38"/>
      <c r="BL96" s="38"/>
      <c r="BM96" s="38"/>
      <c r="BN96" s="38"/>
      <c r="BO96" s="38"/>
      <c r="BP96" s="38"/>
      <c r="BQ96" s="38"/>
      <c r="BR96" s="38"/>
      <c r="BS96" s="38"/>
      <c r="BT96" s="38"/>
      <c r="BU96" s="38"/>
      <c r="BV96" s="38"/>
      <c r="BW96" s="38"/>
      <c r="BX96" s="38"/>
      <c r="BY96" s="38"/>
      <c r="BZ96" s="38"/>
      <c r="CA96" s="38"/>
      <c r="CB96" s="38"/>
      <c r="CC96" s="38"/>
      <c r="CD96" s="38"/>
      <c r="CE96" s="38"/>
      <c r="CF96" s="38"/>
      <c r="CG96" s="38"/>
      <c r="CH96" s="38"/>
      <c r="CI96" s="38"/>
      <c r="CJ96" s="38"/>
      <c r="CK96" s="38"/>
      <c r="CL96" s="38"/>
      <c r="CM96" s="38"/>
    </row>
    <row r="97" spans="1:91" s="1" customFormat="1" ht="15" customHeight="1">
      <c r="A97" s="97"/>
      <c r="B97" s="97"/>
      <c r="C97" s="209" t="s">
        <v>39</v>
      </c>
      <c r="D97" s="209"/>
      <c r="E97" s="97"/>
      <c r="F97" s="97"/>
      <c r="G97" s="11"/>
      <c r="H97" s="209" t="s">
        <v>40</v>
      </c>
      <c r="I97" s="209"/>
      <c r="J97" s="106"/>
      <c r="K97" s="106"/>
      <c r="L97" s="97"/>
      <c r="M97" s="209" t="s">
        <v>41</v>
      </c>
      <c r="N97" s="209"/>
      <c r="P97" s="79"/>
      <c r="Q97" s="9"/>
      <c r="R97" s="10"/>
      <c r="S97" s="39"/>
      <c r="T97" s="40" t="s">
        <v>51</v>
      </c>
      <c r="U97" s="71">
        <v>2.8600000000000001E-3</v>
      </c>
      <c r="V97" s="71">
        <v>5.5300000000000002E-3</v>
      </c>
      <c r="W97" s="71">
        <v>6.96E-3</v>
      </c>
      <c r="X97" s="66"/>
      <c r="Y97" s="38"/>
      <c r="Z97" s="38"/>
      <c r="AA97" s="38"/>
      <c r="AI97" s="59"/>
      <c r="AJ97" s="81"/>
      <c r="AK97" s="18"/>
      <c r="AL97" s="23"/>
      <c r="AM97" s="18"/>
      <c r="AN97" s="18"/>
      <c r="AO97" s="18"/>
      <c r="AP97" s="18"/>
      <c r="AQ97" s="38"/>
      <c r="AR97" s="59"/>
      <c r="AS97" s="81"/>
      <c r="AT97" s="18"/>
      <c r="AU97" s="23"/>
      <c r="AV97" s="18"/>
      <c r="AY97" s="38"/>
      <c r="AZ97" s="38"/>
      <c r="BA97" s="38"/>
      <c r="BB97" s="38"/>
      <c r="BC97" s="38"/>
      <c r="BD97" s="38"/>
      <c r="BE97" s="38"/>
      <c r="BF97" s="38"/>
      <c r="BG97" s="38"/>
      <c r="BH97" s="38"/>
      <c r="BI97" s="38"/>
      <c r="BJ97" s="38"/>
      <c r="BK97" s="38"/>
      <c r="BL97" s="38"/>
      <c r="BM97" s="38"/>
      <c r="BN97" s="38"/>
      <c r="BO97" s="38"/>
      <c r="BP97" s="38"/>
      <c r="BQ97" s="38"/>
      <c r="BR97" s="38"/>
      <c r="BS97" s="38"/>
      <c r="BT97" s="38"/>
      <c r="BU97" s="38"/>
      <c r="BV97" s="38"/>
      <c r="BW97" s="38"/>
      <c r="BX97" s="38"/>
      <c r="BY97" s="38"/>
      <c r="BZ97" s="38"/>
      <c r="CA97" s="38"/>
      <c r="CB97" s="38"/>
      <c r="CC97" s="38"/>
      <c r="CD97" s="38"/>
      <c r="CE97" s="38"/>
      <c r="CF97" s="38"/>
      <c r="CG97" s="38"/>
      <c r="CH97" s="38"/>
      <c r="CI97" s="38"/>
      <c r="CJ97" s="38"/>
      <c r="CK97" s="38"/>
      <c r="CL97" s="38"/>
      <c r="CM97" s="38"/>
    </row>
    <row r="98" spans="1:91" s="1" customFormat="1" ht="15" customHeight="1">
      <c r="A98" s="97"/>
      <c r="B98" s="97"/>
      <c r="C98" s="211">
        <f>IF($W$93=2, $U$96, IF($W$93=3, $U$97, IF($W$93=4, $U$98, IF($W$93=5, $U$99, "-"))))</f>
        <v>2.8600000000000001E-3</v>
      </c>
      <c r="D98" s="211"/>
      <c r="E98" s="97"/>
      <c r="F98" s="97"/>
      <c r="G98" s="104"/>
      <c r="H98" s="211">
        <f>IF($W$93=2, $V$96, IF($W$93=3, $V$97, IF($W$93=4, $V$98, IF($W$93=5, $V$99, "-"))))</f>
        <v>5.5300000000000002E-3</v>
      </c>
      <c r="I98" s="211"/>
      <c r="J98" s="105"/>
      <c r="K98" s="105"/>
      <c r="L98" s="97"/>
      <c r="M98" s="211">
        <f>IF($W$93=2, $W$96, IF($W$93=3, $W$97, IF($W$93=4, $W$98, IF($W$93=5, $W$99, "-"))))</f>
        <v>6.96E-3</v>
      </c>
      <c r="N98" s="211"/>
      <c r="P98" s="11"/>
      <c r="Q98" s="9"/>
      <c r="R98" s="10"/>
      <c r="S98" s="39"/>
      <c r="T98" s="40" t="s">
        <v>52</v>
      </c>
      <c r="U98" s="71">
        <v>2.7899999999999999E-3</v>
      </c>
      <c r="V98" s="71">
        <v>5.3899999999999998E-3</v>
      </c>
      <c r="W98" s="71">
        <v>6.7799999999999996E-3</v>
      </c>
      <c r="X98" s="59"/>
      <c r="Y98" s="38"/>
      <c r="Z98" s="38"/>
      <c r="AA98" s="38"/>
      <c r="AI98" s="38"/>
      <c r="AJ98" s="81"/>
      <c r="AK98" s="18"/>
      <c r="AL98" s="23"/>
      <c r="AM98" s="18"/>
      <c r="AN98" s="18"/>
      <c r="AO98" s="18"/>
      <c r="AP98" s="18"/>
      <c r="AQ98" s="38"/>
      <c r="AR98" s="38"/>
      <c r="AS98" s="81"/>
      <c r="AT98" s="18"/>
      <c r="AU98" s="23"/>
      <c r="AV98" s="18"/>
      <c r="AY98" s="38"/>
      <c r="AZ98" s="38"/>
      <c r="BA98" s="38"/>
      <c r="BB98" s="38"/>
      <c r="BC98" s="38"/>
      <c r="BD98" s="38"/>
      <c r="BE98" s="38"/>
      <c r="BF98" s="38"/>
      <c r="BG98" s="38"/>
      <c r="BH98" s="38"/>
      <c r="BI98" s="38"/>
      <c r="BJ98" s="38"/>
      <c r="BK98" s="38"/>
      <c r="BL98" s="38"/>
      <c r="BM98" s="38"/>
      <c r="BN98" s="38"/>
      <c r="BO98" s="38"/>
      <c r="BP98" s="38"/>
      <c r="BQ98" s="38"/>
      <c r="BR98" s="38"/>
      <c r="BS98" s="38"/>
      <c r="BT98" s="38"/>
      <c r="BU98" s="38"/>
      <c r="BV98" s="38"/>
      <c r="BW98" s="38"/>
      <c r="BX98" s="38"/>
      <c r="BY98" s="38"/>
      <c r="BZ98" s="38"/>
      <c r="CA98" s="38"/>
      <c r="CB98" s="38"/>
      <c r="CC98" s="38"/>
      <c r="CD98" s="38"/>
      <c r="CE98" s="38"/>
      <c r="CF98" s="38"/>
      <c r="CG98" s="38"/>
      <c r="CH98" s="38"/>
      <c r="CI98" s="38"/>
      <c r="CJ98" s="38"/>
      <c r="CK98" s="38"/>
      <c r="CL98" s="38"/>
      <c r="CM98" s="38"/>
    </row>
    <row r="99" spans="1:91" s="1" customFormat="1" ht="15" customHeight="1">
      <c r="A99" s="213" t="s">
        <v>42</v>
      </c>
      <c r="B99" s="213"/>
      <c r="C99" s="213"/>
      <c r="D99" s="213"/>
      <c r="E99" s="213"/>
      <c r="F99" s="213"/>
      <c r="G99" s="213"/>
      <c r="H99" s="213"/>
      <c r="I99" s="213"/>
      <c r="J99" s="213"/>
      <c r="K99" s="213"/>
      <c r="L99" s="213"/>
      <c r="M99" s="213"/>
      <c r="N99" s="213"/>
      <c r="O99" s="213"/>
      <c r="P99" s="12"/>
      <c r="S99" s="39"/>
      <c r="T99" s="40" t="s">
        <v>55</v>
      </c>
      <c r="U99" s="71">
        <v>1.094E-2</v>
      </c>
      <c r="V99" s="71">
        <v>2.1819999999999999E-2</v>
      </c>
      <c r="W99" s="71">
        <v>2.7289999999999998E-2</v>
      </c>
      <c r="X99" s="66"/>
      <c r="Y99" s="38"/>
      <c r="AA99" s="38"/>
      <c r="AI99" s="38"/>
      <c r="AJ99" s="82"/>
      <c r="AK99" s="18"/>
      <c r="AL99" s="23"/>
      <c r="AM99" s="18"/>
      <c r="AN99" s="18"/>
      <c r="AO99" s="18"/>
      <c r="AP99" s="18"/>
      <c r="AQ99" s="38"/>
      <c r="AR99" s="38"/>
      <c r="AS99" s="82"/>
      <c r="AT99" s="18"/>
      <c r="AU99" s="23"/>
      <c r="AV99" s="1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</row>
    <row r="100" spans="1:91" s="1" customFormat="1" ht="15" customHeight="1">
      <c r="A100" s="214" t="s">
        <v>43</v>
      </c>
      <c r="B100" s="214"/>
      <c r="C100" s="214"/>
      <c r="D100" s="214"/>
      <c r="E100" s="214"/>
      <c r="F100" s="214"/>
      <c r="G100" s="214"/>
      <c r="H100" s="214"/>
      <c r="I100" s="214"/>
      <c r="J100" s="214"/>
      <c r="K100" s="214"/>
      <c r="L100" s="214"/>
      <c r="M100" s="214"/>
      <c r="N100" s="214"/>
      <c r="O100" s="214"/>
      <c r="P100" s="77"/>
      <c r="S100" s="39"/>
      <c r="T100" s="38"/>
      <c r="U100" s="38"/>
      <c r="V100" s="38"/>
      <c r="W100" s="38"/>
      <c r="X100" s="66"/>
      <c r="Y100" s="38"/>
      <c r="AA100" s="38"/>
      <c r="AI100" s="59"/>
      <c r="AJ100" s="81"/>
      <c r="AK100" s="18"/>
      <c r="AL100" s="23"/>
      <c r="AM100" s="18"/>
      <c r="AN100" s="18"/>
      <c r="AO100" s="18"/>
      <c r="AP100" s="18"/>
      <c r="AQ100" s="38"/>
      <c r="AR100" s="59"/>
      <c r="AS100" s="81"/>
      <c r="AT100" s="18"/>
      <c r="AU100" s="23"/>
      <c r="AV100" s="18"/>
      <c r="AY100" s="38"/>
      <c r="AZ100" s="38"/>
      <c r="BA100" s="38"/>
      <c r="BB100" s="38"/>
      <c r="BC100" s="38"/>
      <c r="BD100" s="38"/>
      <c r="BE100" s="38"/>
      <c r="BF100" s="38"/>
      <c r="BG100" s="38"/>
      <c r="BH100" s="38"/>
      <c r="BI100" s="38"/>
      <c r="BJ100" s="38"/>
      <c r="BK100" s="38"/>
      <c r="BL100" s="38"/>
      <c r="BM100" s="38"/>
      <c r="BN100" s="38"/>
      <c r="BO100" s="38"/>
      <c r="BP100" s="38"/>
      <c r="BQ100" s="38"/>
      <c r="BR100" s="38"/>
      <c r="BS100" s="38"/>
      <c r="BT100" s="38"/>
      <c r="BU100" s="38"/>
      <c r="BV100" s="38"/>
      <c r="BW100" s="38"/>
      <c r="BX100" s="38"/>
      <c r="BY100" s="38"/>
      <c r="BZ100" s="38"/>
      <c r="CA100" s="38"/>
      <c r="CB100" s="38"/>
      <c r="CC100" s="38"/>
      <c r="CD100" s="38"/>
      <c r="CE100" s="38"/>
      <c r="CF100" s="38"/>
      <c r="CG100" s="38"/>
      <c r="CH100" s="38"/>
      <c r="CI100" s="38"/>
      <c r="CJ100" s="38"/>
      <c r="CK100" s="38"/>
      <c r="CL100" s="38"/>
      <c r="CM100" s="38"/>
    </row>
    <row r="101" spans="1:91" s="1" customFormat="1" ht="15" customHeight="1">
      <c r="A101" s="97"/>
      <c r="B101" s="97"/>
      <c r="C101" s="209"/>
      <c r="D101" s="209"/>
      <c r="E101" s="97"/>
      <c r="F101" s="97"/>
      <c r="G101" s="11"/>
      <c r="H101" s="209"/>
      <c r="I101" s="209"/>
      <c r="J101" s="212"/>
      <c r="K101" s="212"/>
      <c r="L101" s="97"/>
      <c r="M101" s="97"/>
      <c r="N101" s="209"/>
      <c r="O101" s="209"/>
      <c r="P101" s="78"/>
      <c r="Q101" s="68"/>
      <c r="R101" s="68"/>
      <c r="S101" s="39"/>
      <c r="T101" s="38"/>
      <c r="U101" s="38"/>
      <c r="V101" s="38"/>
      <c r="W101" s="38"/>
      <c r="X101" s="66"/>
      <c r="Y101" s="38"/>
      <c r="AA101" s="38"/>
      <c r="AI101" s="38"/>
      <c r="AJ101" s="81"/>
      <c r="AK101" s="18"/>
      <c r="AL101" s="23"/>
      <c r="AM101" s="18"/>
      <c r="AN101" s="18"/>
      <c r="AO101" s="18"/>
      <c r="AP101" s="18"/>
      <c r="AQ101" s="38"/>
      <c r="AR101" s="38"/>
      <c r="AS101" s="81"/>
      <c r="AT101" s="18"/>
      <c r="AU101" s="23"/>
      <c r="AV101" s="18"/>
      <c r="AY101" s="38"/>
      <c r="AZ101" s="38"/>
      <c r="BA101" s="38"/>
      <c r="BB101" s="38"/>
      <c r="BC101" s="38"/>
      <c r="BD101" s="38"/>
      <c r="BE101" s="38"/>
      <c r="BF101" s="38"/>
      <c r="BG101" s="38"/>
      <c r="BH101" s="38"/>
      <c r="BI101" s="38"/>
      <c r="BJ101" s="38"/>
      <c r="BK101" s="38"/>
      <c r="BL101" s="38"/>
      <c r="BM101" s="38"/>
      <c r="BN101" s="38"/>
      <c r="BO101" s="38"/>
      <c r="BP101" s="38"/>
      <c r="BQ101" s="38"/>
      <c r="BR101" s="38"/>
      <c r="BS101" s="38"/>
      <c r="BT101" s="38"/>
      <c r="BU101" s="38"/>
      <c r="BV101" s="38"/>
      <c r="BW101" s="38"/>
      <c r="BX101" s="38"/>
      <c r="BY101" s="38"/>
      <c r="BZ101" s="38"/>
      <c r="CA101" s="38"/>
      <c r="CB101" s="38"/>
      <c r="CC101" s="38"/>
      <c r="CD101" s="38"/>
      <c r="CE101" s="38"/>
      <c r="CF101" s="38"/>
      <c r="CG101" s="38"/>
      <c r="CH101" s="38"/>
      <c r="CI101" s="38"/>
      <c r="CJ101" s="38"/>
      <c r="CK101" s="38"/>
      <c r="CL101" s="38"/>
      <c r="CM101" s="38"/>
    </row>
    <row r="102" spans="1:91" s="1" customFormat="1" ht="15" customHeight="1">
      <c r="A102" s="45"/>
      <c r="B102" s="45"/>
      <c r="C102" s="45"/>
      <c r="D102" s="45"/>
      <c r="E102" s="45"/>
      <c r="G102" s="45"/>
      <c r="H102" s="45"/>
      <c r="I102" s="45"/>
      <c r="J102" s="45"/>
      <c r="K102" s="45"/>
      <c r="L102" s="45"/>
      <c r="M102" s="45"/>
      <c r="N102" s="45"/>
      <c r="O102" s="45"/>
      <c r="P102" s="11"/>
      <c r="Q102" s="210"/>
      <c r="R102" s="210"/>
      <c r="S102" s="39"/>
      <c r="T102" s="38"/>
      <c r="U102" s="38"/>
      <c r="V102" s="38"/>
      <c r="W102" s="38"/>
      <c r="X102" s="59"/>
      <c r="Y102" s="38"/>
      <c r="AA102" s="38"/>
      <c r="AI102" s="38"/>
      <c r="AJ102" s="82"/>
      <c r="AK102" s="18"/>
      <c r="AL102" s="23"/>
      <c r="AM102" s="18"/>
      <c r="AN102" s="18"/>
      <c r="AO102" s="18"/>
      <c r="AP102" s="18"/>
      <c r="AQ102" s="38"/>
      <c r="AR102" s="38"/>
      <c r="AS102" s="82"/>
      <c r="AT102" s="18"/>
      <c r="AU102" s="23"/>
      <c r="AV102" s="18"/>
      <c r="AY102" s="38"/>
      <c r="AZ102" s="38"/>
      <c r="BA102" s="38"/>
      <c r="BB102" s="38"/>
      <c r="BC102" s="38"/>
      <c r="BD102" s="38"/>
      <c r="BE102" s="38"/>
      <c r="BF102" s="38"/>
      <c r="BG102" s="38"/>
      <c r="BH102" s="38"/>
      <c r="BI102" s="38"/>
      <c r="BJ102" s="38"/>
      <c r="BK102" s="38"/>
      <c r="BL102" s="38"/>
      <c r="BM102" s="38"/>
      <c r="BN102" s="38"/>
      <c r="BO102" s="38"/>
      <c r="BP102" s="38"/>
      <c r="BQ102" s="38"/>
      <c r="BR102" s="38"/>
      <c r="BS102" s="38"/>
      <c r="BT102" s="38"/>
      <c r="BU102" s="38"/>
      <c r="BV102" s="38"/>
      <c r="BW102" s="38"/>
      <c r="BX102" s="38"/>
      <c r="BY102" s="38"/>
      <c r="BZ102" s="38"/>
      <c r="CA102" s="38"/>
      <c r="CB102" s="38"/>
      <c r="CC102" s="38"/>
      <c r="CD102" s="38"/>
      <c r="CE102" s="38"/>
      <c r="CF102" s="38"/>
      <c r="CG102" s="38"/>
      <c r="CH102" s="38"/>
      <c r="CI102" s="38"/>
      <c r="CJ102" s="38"/>
      <c r="CK102" s="38"/>
      <c r="CL102" s="38"/>
      <c r="CM102" s="38"/>
    </row>
    <row r="103" spans="1:91" s="1" customFormat="1" ht="15" customHeight="1">
      <c r="A103" s="43"/>
      <c r="B103" s="43"/>
      <c r="C103" s="44"/>
      <c r="D103" s="44"/>
      <c r="E103" s="44"/>
      <c r="G103" s="44"/>
      <c r="H103" s="44"/>
      <c r="I103" s="46"/>
      <c r="J103" s="43"/>
      <c r="K103" s="43"/>
      <c r="L103" s="46"/>
      <c r="M103" s="46"/>
      <c r="N103" s="44"/>
      <c r="O103" s="46"/>
      <c r="P103" s="45"/>
      <c r="Q103" s="211"/>
      <c r="R103" s="211"/>
      <c r="S103" s="39"/>
      <c r="T103" s="38"/>
      <c r="U103" s="38"/>
      <c r="V103" s="38"/>
      <c r="W103" s="38"/>
      <c r="X103" s="59"/>
      <c r="Y103" s="38"/>
      <c r="AA103" s="38"/>
      <c r="AI103" s="59"/>
      <c r="AJ103" s="81"/>
      <c r="AK103" s="18"/>
      <c r="AL103" s="23"/>
      <c r="AM103" s="18"/>
      <c r="AN103" s="18"/>
      <c r="AO103" s="18"/>
      <c r="AP103" s="18"/>
      <c r="AQ103" s="38"/>
      <c r="AR103" s="59"/>
      <c r="AS103" s="81"/>
      <c r="AT103" s="18"/>
      <c r="AU103" s="23"/>
      <c r="AV103" s="18"/>
      <c r="AY103" s="38"/>
      <c r="AZ103" s="38"/>
      <c r="BA103" s="38"/>
      <c r="BB103" s="38"/>
      <c r="BC103" s="38"/>
      <c r="BD103" s="38"/>
      <c r="BE103" s="38"/>
      <c r="BF103" s="38"/>
      <c r="BG103" s="38"/>
      <c r="BH103" s="38"/>
      <c r="BI103" s="38"/>
      <c r="BJ103" s="38"/>
      <c r="BK103" s="38"/>
      <c r="BL103" s="38"/>
      <c r="BM103" s="38"/>
      <c r="BN103" s="38"/>
      <c r="BO103" s="38"/>
      <c r="BP103" s="38"/>
      <c r="BQ103" s="38"/>
      <c r="BR103" s="38"/>
      <c r="BS103" s="38"/>
      <c r="BT103" s="38"/>
      <c r="BU103" s="38"/>
      <c r="BV103" s="38"/>
      <c r="BW103" s="38"/>
      <c r="BX103" s="38"/>
      <c r="BY103" s="38"/>
      <c r="BZ103" s="38"/>
      <c r="CA103" s="38"/>
      <c r="CB103" s="38"/>
      <c r="CC103" s="38"/>
      <c r="CD103" s="38"/>
      <c r="CE103" s="38"/>
      <c r="CF103" s="38"/>
      <c r="CG103" s="38"/>
      <c r="CH103" s="38"/>
      <c r="CI103" s="38"/>
      <c r="CJ103" s="38"/>
      <c r="CK103" s="38"/>
      <c r="CL103" s="38"/>
      <c r="CM103" s="38"/>
    </row>
    <row r="104" spans="1:91" s="1" customFormat="1" ht="15" customHeight="1">
      <c r="A104" s="69"/>
      <c r="B104" s="69"/>
      <c r="C104" s="69"/>
      <c r="D104" s="69"/>
      <c r="E104" s="69"/>
      <c r="F104" s="69"/>
      <c r="G104" s="69"/>
      <c r="H104" s="69"/>
      <c r="I104" s="69"/>
      <c r="J104" s="69"/>
      <c r="K104" s="69"/>
      <c r="L104" s="69"/>
      <c r="M104" s="69"/>
      <c r="N104" s="69"/>
      <c r="O104" s="69"/>
      <c r="P104" s="46"/>
      <c r="Q104" s="69"/>
      <c r="R104" s="69"/>
      <c r="S104" s="39"/>
      <c r="T104" s="38"/>
      <c r="U104" s="38"/>
      <c r="V104" s="38"/>
      <c r="W104" s="38"/>
      <c r="X104" s="59"/>
      <c r="Y104" s="38"/>
      <c r="AA104" s="38"/>
      <c r="AI104" s="38"/>
      <c r="AJ104" s="81"/>
      <c r="AK104" s="18"/>
      <c r="AL104" s="23"/>
      <c r="AM104" s="18"/>
      <c r="AN104" s="18"/>
      <c r="AO104" s="18"/>
      <c r="AP104" s="18"/>
      <c r="AQ104" s="38"/>
      <c r="AR104" s="38"/>
      <c r="AS104" s="81"/>
      <c r="AT104" s="18"/>
      <c r="AU104" s="23"/>
      <c r="AV104" s="18"/>
      <c r="AY104" s="38"/>
      <c r="AZ104" s="38"/>
      <c r="BA104" s="38"/>
      <c r="BB104" s="38"/>
      <c r="BC104" s="38"/>
      <c r="BD104" s="38"/>
      <c r="BE104" s="38"/>
      <c r="BF104" s="38"/>
      <c r="BG104" s="38"/>
      <c r="BH104" s="38"/>
      <c r="BI104" s="38"/>
      <c r="BJ104" s="38"/>
      <c r="BK104" s="38"/>
      <c r="BL104" s="38"/>
      <c r="BM104" s="38"/>
      <c r="BN104" s="38"/>
      <c r="BO104" s="38"/>
      <c r="BP104" s="38"/>
      <c r="BQ104" s="38"/>
      <c r="BR104" s="38"/>
      <c r="BS104" s="38"/>
      <c r="BT104" s="38"/>
      <c r="BU104" s="38"/>
      <c r="BV104" s="38"/>
      <c r="BW104" s="38"/>
      <c r="BX104" s="38"/>
      <c r="BY104" s="38"/>
      <c r="BZ104" s="38"/>
      <c r="CA104" s="38"/>
      <c r="CB104" s="38"/>
      <c r="CC104" s="38"/>
      <c r="CD104" s="38"/>
      <c r="CE104" s="38"/>
      <c r="CF104" s="38"/>
      <c r="CG104" s="38"/>
      <c r="CH104" s="38"/>
      <c r="CI104" s="38"/>
      <c r="CJ104" s="38"/>
      <c r="CK104" s="38"/>
      <c r="CL104" s="38"/>
      <c r="CM104" s="38"/>
    </row>
    <row r="105" spans="1:91" s="1" customFormat="1" ht="15" customHeight="1">
      <c r="A105" s="70"/>
      <c r="B105" s="70"/>
      <c r="C105" s="70"/>
      <c r="D105" s="70"/>
      <c r="E105" s="70"/>
      <c r="F105" s="70"/>
      <c r="G105" s="70"/>
      <c r="H105" s="70"/>
      <c r="I105" s="70"/>
      <c r="J105" s="70"/>
      <c r="K105" s="70"/>
      <c r="L105" s="70"/>
      <c r="M105" s="70"/>
      <c r="N105" s="70"/>
      <c r="O105" s="70"/>
      <c r="P105" s="69"/>
      <c r="Q105" s="70"/>
      <c r="R105" s="70"/>
      <c r="S105" s="39"/>
      <c r="T105" s="38"/>
      <c r="U105" s="38"/>
      <c r="V105" s="38"/>
      <c r="W105" s="38"/>
      <c r="X105" s="59"/>
      <c r="Y105" s="38"/>
      <c r="AA105" s="38"/>
      <c r="AI105" s="38"/>
      <c r="AJ105" s="82"/>
      <c r="AK105" s="18"/>
      <c r="AL105" s="23"/>
      <c r="AM105" s="18"/>
      <c r="AN105" s="18"/>
      <c r="AO105" s="18"/>
      <c r="AP105" s="18"/>
      <c r="AQ105" s="38"/>
      <c r="AR105" s="38"/>
      <c r="AS105" s="82"/>
      <c r="AT105" s="18"/>
      <c r="AU105" s="23"/>
      <c r="AV105" s="18"/>
      <c r="AY105" s="38"/>
      <c r="AZ105" s="38"/>
      <c r="BA105" s="38"/>
      <c r="BB105" s="38"/>
      <c r="BC105" s="38"/>
      <c r="BD105" s="38"/>
      <c r="BE105" s="38"/>
      <c r="BF105" s="38"/>
      <c r="BG105" s="38"/>
      <c r="BH105" s="38"/>
      <c r="BI105" s="38"/>
      <c r="BJ105" s="38"/>
      <c r="BK105" s="38"/>
      <c r="BL105" s="38"/>
      <c r="BM105" s="38"/>
      <c r="BN105" s="38"/>
      <c r="BO105" s="38"/>
      <c r="BP105" s="38"/>
      <c r="BQ105" s="38"/>
      <c r="BR105" s="38"/>
      <c r="BS105" s="38"/>
      <c r="BT105" s="38"/>
      <c r="BU105" s="38"/>
      <c r="BV105" s="38"/>
      <c r="BW105" s="38"/>
      <c r="BX105" s="38"/>
      <c r="BY105" s="38"/>
      <c r="BZ105" s="38"/>
      <c r="CA105" s="38"/>
      <c r="CB105" s="38"/>
      <c r="CC105" s="38"/>
      <c r="CD105" s="38"/>
      <c r="CE105" s="38"/>
      <c r="CF105" s="38"/>
      <c r="CG105" s="38"/>
      <c r="CH105" s="38"/>
      <c r="CI105" s="38"/>
      <c r="CJ105" s="38"/>
      <c r="CK105" s="38"/>
      <c r="CL105" s="38"/>
      <c r="CM105" s="38"/>
    </row>
    <row r="106" spans="1:91" s="1" customFormat="1" ht="15" customHeight="1">
      <c r="A106" s="39"/>
      <c r="B106" s="39"/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70"/>
      <c r="Q106" s="210"/>
      <c r="R106" s="210"/>
      <c r="S106" s="39"/>
      <c r="T106" s="38"/>
      <c r="U106" s="38"/>
      <c r="V106" s="38"/>
      <c r="W106" s="38"/>
      <c r="X106" s="59"/>
      <c r="Y106" s="38"/>
      <c r="AA106" s="38"/>
      <c r="AI106" s="59"/>
      <c r="AJ106" s="81"/>
      <c r="AK106" s="18"/>
      <c r="AL106" s="23"/>
      <c r="AM106" s="18"/>
      <c r="AN106" s="18"/>
      <c r="AO106" s="18"/>
      <c r="AP106" s="18"/>
      <c r="AQ106" s="38"/>
      <c r="AR106" s="59"/>
      <c r="AS106" s="81"/>
      <c r="AT106" s="18"/>
      <c r="AU106" s="23"/>
      <c r="AV106" s="18"/>
      <c r="AY106" s="38"/>
      <c r="AZ106" s="38"/>
      <c r="BA106" s="38"/>
      <c r="BB106" s="38"/>
      <c r="BC106" s="38"/>
      <c r="BD106" s="38"/>
      <c r="BE106" s="38"/>
      <c r="BF106" s="38"/>
      <c r="BG106" s="38"/>
      <c r="BH106" s="38"/>
      <c r="BI106" s="38"/>
      <c r="BJ106" s="38"/>
      <c r="BK106" s="38"/>
      <c r="BL106" s="38"/>
      <c r="BM106" s="38"/>
      <c r="BN106" s="38"/>
      <c r="BO106" s="38"/>
      <c r="BP106" s="38"/>
      <c r="BQ106" s="38"/>
      <c r="BR106" s="38"/>
      <c r="BS106" s="38"/>
      <c r="BT106" s="38"/>
      <c r="BU106" s="38"/>
      <c r="BV106" s="38"/>
      <c r="BW106" s="38"/>
      <c r="BX106" s="38"/>
      <c r="BY106" s="38"/>
      <c r="BZ106" s="38"/>
      <c r="CA106" s="38"/>
      <c r="CB106" s="38"/>
      <c r="CC106" s="38"/>
      <c r="CD106" s="38"/>
      <c r="CE106" s="38"/>
      <c r="CF106" s="38"/>
      <c r="CG106" s="38"/>
      <c r="CH106" s="38"/>
      <c r="CI106" s="38"/>
      <c r="CJ106" s="38"/>
      <c r="CK106" s="38"/>
      <c r="CL106" s="38"/>
      <c r="CM106" s="38"/>
    </row>
    <row r="107" spans="1:91" s="1" customFormat="1" ht="15" customHeight="1">
      <c r="A107" s="39"/>
      <c r="B107" s="39"/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45"/>
      <c r="R107" s="45"/>
      <c r="S107" s="39"/>
      <c r="T107" s="38"/>
      <c r="U107" s="38"/>
      <c r="V107" s="38"/>
      <c r="W107" s="38"/>
      <c r="X107" s="59"/>
      <c r="Y107" s="38"/>
      <c r="AA107" s="38"/>
      <c r="AI107" s="38"/>
      <c r="AJ107" s="81"/>
      <c r="AK107" s="18"/>
      <c r="AL107" s="23"/>
      <c r="AM107" s="18"/>
      <c r="AN107" s="18"/>
      <c r="AO107" s="18"/>
      <c r="AP107" s="18"/>
      <c r="AQ107" s="38"/>
      <c r="AR107" s="38"/>
      <c r="AS107" s="81"/>
      <c r="AT107" s="18"/>
      <c r="AU107" s="23"/>
      <c r="AV107" s="18"/>
      <c r="AY107" s="38"/>
      <c r="AZ107" s="38"/>
      <c r="BA107" s="38"/>
      <c r="BB107" s="38"/>
      <c r="BC107" s="38"/>
      <c r="BD107" s="38"/>
      <c r="BE107" s="38"/>
      <c r="BF107" s="38"/>
      <c r="BG107" s="38"/>
      <c r="BH107" s="38"/>
      <c r="BI107" s="38"/>
      <c r="BJ107" s="38"/>
      <c r="BK107" s="38"/>
      <c r="BL107" s="38"/>
      <c r="BM107" s="38"/>
      <c r="BN107" s="38"/>
      <c r="BO107" s="38"/>
      <c r="BP107" s="38"/>
      <c r="BQ107" s="38"/>
      <c r="BR107" s="38"/>
      <c r="BS107" s="38"/>
      <c r="BT107" s="38"/>
      <c r="BU107" s="38"/>
      <c r="BV107" s="38"/>
      <c r="BW107" s="38"/>
      <c r="BX107" s="38"/>
      <c r="BY107" s="38"/>
      <c r="BZ107" s="38"/>
      <c r="CA107" s="38"/>
      <c r="CB107" s="38"/>
      <c r="CC107" s="38"/>
      <c r="CD107" s="38"/>
      <c r="CE107" s="38"/>
      <c r="CF107" s="38"/>
      <c r="CG107" s="38"/>
      <c r="CH107" s="38"/>
      <c r="CI107" s="38"/>
      <c r="CJ107" s="38"/>
      <c r="CK107" s="38"/>
      <c r="CL107" s="38"/>
      <c r="CM107" s="38"/>
    </row>
    <row r="108" spans="1:91" s="1" customFormat="1" ht="15" customHeight="1">
      <c r="A108" s="39"/>
      <c r="B108" s="39"/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43"/>
      <c r="R108" s="43"/>
      <c r="S108" s="39"/>
      <c r="T108" s="38"/>
      <c r="U108" s="38"/>
      <c r="V108" s="38"/>
      <c r="W108" s="38"/>
      <c r="X108" s="59"/>
      <c r="Y108" s="38"/>
      <c r="AA108" s="38"/>
      <c r="AI108" s="38"/>
      <c r="AJ108" s="82"/>
      <c r="AK108" s="18"/>
      <c r="AL108" s="23"/>
      <c r="AM108" s="18"/>
      <c r="AN108" s="18"/>
      <c r="AO108" s="18"/>
      <c r="AP108" s="18"/>
      <c r="AQ108" s="38"/>
      <c r="AR108" s="38"/>
      <c r="AS108" s="82"/>
      <c r="AT108" s="18"/>
      <c r="AU108" s="23"/>
      <c r="AV108" s="18"/>
      <c r="AY108" s="38"/>
      <c r="AZ108" s="38"/>
      <c r="BA108" s="38"/>
      <c r="BB108" s="38"/>
      <c r="BC108" s="38"/>
      <c r="BD108" s="38"/>
      <c r="BE108" s="38"/>
      <c r="BF108" s="38"/>
      <c r="BG108" s="38"/>
      <c r="BH108" s="38"/>
      <c r="BI108" s="38"/>
      <c r="BJ108" s="38"/>
      <c r="BK108" s="38"/>
      <c r="BL108" s="38"/>
      <c r="BM108" s="38"/>
      <c r="BN108" s="38"/>
      <c r="BO108" s="38"/>
      <c r="BP108" s="38"/>
      <c r="BQ108" s="38"/>
      <c r="BR108" s="38"/>
      <c r="BS108" s="38"/>
      <c r="BT108" s="38"/>
      <c r="BU108" s="38"/>
      <c r="BV108" s="38"/>
      <c r="BW108" s="38"/>
      <c r="BX108" s="38"/>
      <c r="BY108" s="38"/>
      <c r="BZ108" s="38"/>
      <c r="CA108" s="38"/>
      <c r="CB108" s="38"/>
      <c r="CC108" s="38"/>
      <c r="CD108" s="38"/>
      <c r="CE108" s="38"/>
      <c r="CF108" s="38"/>
      <c r="CG108" s="38"/>
      <c r="CH108" s="38"/>
      <c r="CI108" s="38"/>
      <c r="CJ108" s="38"/>
      <c r="CK108" s="38"/>
      <c r="CL108" s="38"/>
      <c r="CM108" s="38"/>
    </row>
    <row r="109" spans="1:91" s="1" customFormat="1" ht="15" customHeight="1">
      <c r="A109" s="39"/>
      <c r="B109" s="39"/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69"/>
      <c r="R109" s="69"/>
      <c r="S109" s="39"/>
      <c r="X109" s="59"/>
      <c r="Y109"/>
      <c r="AA109" s="38"/>
      <c r="AI109" s="59"/>
      <c r="AJ109" s="81"/>
      <c r="AK109" s="18"/>
      <c r="AL109" s="23"/>
      <c r="AM109" s="18"/>
      <c r="AN109" s="18"/>
      <c r="AO109" s="18"/>
      <c r="AP109" s="18"/>
      <c r="AQ109" s="38"/>
      <c r="AR109" s="59"/>
      <c r="AS109" s="81"/>
      <c r="AT109" s="18"/>
      <c r="AU109" s="23"/>
      <c r="AV109" s="18"/>
      <c r="AY109" s="38"/>
      <c r="AZ109" s="38"/>
      <c r="BA109" s="38"/>
      <c r="BB109" s="38"/>
      <c r="BC109" s="38"/>
      <c r="BD109" s="38"/>
      <c r="BE109" s="38"/>
      <c r="BF109" s="38"/>
      <c r="BG109" s="38"/>
      <c r="BH109" s="38"/>
      <c r="BI109" s="38"/>
      <c r="BJ109" s="38"/>
      <c r="BK109" s="38"/>
      <c r="BL109" s="38"/>
      <c r="BM109" s="38"/>
      <c r="BN109" s="38"/>
      <c r="BO109" s="38"/>
      <c r="BP109" s="38"/>
      <c r="BQ109" s="38"/>
      <c r="BR109" s="38"/>
      <c r="BS109" s="38"/>
      <c r="BT109" s="38"/>
      <c r="BU109" s="38"/>
      <c r="BV109" s="38"/>
      <c r="BW109" s="38"/>
      <c r="BX109" s="38"/>
      <c r="BY109" s="38"/>
      <c r="BZ109" s="38"/>
      <c r="CA109" s="38"/>
      <c r="CB109" s="38"/>
      <c r="CC109" s="38"/>
      <c r="CD109" s="38"/>
      <c r="CE109" s="38"/>
      <c r="CF109" s="38"/>
      <c r="CG109" s="38"/>
      <c r="CH109" s="38"/>
      <c r="CI109" s="38"/>
      <c r="CJ109" s="38"/>
      <c r="CK109" s="38"/>
      <c r="CL109" s="38"/>
      <c r="CM109" s="38"/>
    </row>
    <row r="110" spans="1:91" s="1" customFormat="1" ht="15" customHeight="1">
      <c r="A110" s="39"/>
      <c r="B110" s="39"/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70"/>
      <c r="R110" s="70"/>
      <c r="S110" s="39"/>
      <c r="X110" s="59"/>
      <c r="AA110" s="38"/>
      <c r="AI110" s="38"/>
      <c r="AJ110" s="81"/>
      <c r="AK110" s="18"/>
      <c r="AL110" s="23"/>
      <c r="AM110" s="18"/>
      <c r="AN110" s="18"/>
      <c r="AO110" s="18"/>
      <c r="AP110" s="18"/>
      <c r="AQ110" s="38"/>
      <c r="AR110" s="38"/>
      <c r="AS110" s="81"/>
      <c r="AT110" s="18"/>
      <c r="AU110" s="23"/>
      <c r="AV110" s="18"/>
      <c r="AY110" s="38"/>
      <c r="AZ110" s="38"/>
      <c r="BA110" s="38"/>
      <c r="BB110" s="38"/>
      <c r="BC110" s="38"/>
      <c r="BD110" s="38"/>
      <c r="BE110" s="38"/>
      <c r="BF110" s="38"/>
      <c r="BG110" s="38"/>
      <c r="BH110" s="38"/>
      <c r="BI110" s="38"/>
      <c r="BJ110" s="38"/>
      <c r="BK110" s="38"/>
      <c r="BL110" s="38"/>
      <c r="BM110" s="38"/>
      <c r="BN110" s="38"/>
      <c r="BO110" s="38"/>
      <c r="BP110" s="38"/>
      <c r="BQ110" s="38"/>
      <c r="BR110" s="38"/>
      <c r="BS110" s="38"/>
      <c r="BT110" s="38"/>
      <c r="BU110" s="38"/>
      <c r="BV110" s="38"/>
      <c r="BW110" s="38"/>
      <c r="BX110" s="38"/>
      <c r="BY110" s="38"/>
      <c r="BZ110" s="38"/>
      <c r="CA110" s="38"/>
      <c r="CB110" s="38"/>
      <c r="CC110" s="38"/>
      <c r="CD110" s="38"/>
      <c r="CE110" s="38"/>
      <c r="CF110" s="38"/>
      <c r="CG110" s="38"/>
      <c r="CH110" s="38"/>
      <c r="CI110" s="38"/>
      <c r="CJ110" s="38"/>
      <c r="CK110" s="38"/>
      <c r="CL110" s="38"/>
      <c r="CM110" s="38"/>
    </row>
    <row r="111" spans="1:91" s="1" customFormat="1" ht="15" customHeight="1">
      <c r="A111" s="39"/>
      <c r="B111" s="39"/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X111" s="59"/>
      <c r="AA111" s="38"/>
      <c r="AI111" s="38"/>
      <c r="AJ111" s="82"/>
      <c r="AK111" s="18"/>
      <c r="AL111" s="23"/>
      <c r="AM111" s="18"/>
      <c r="AN111" s="18"/>
      <c r="AO111" s="18"/>
      <c r="AP111" s="18"/>
      <c r="AR111" s="38"/>
      <c r="AS111" s="82"/>
      <c r="AT111" s="18"/>
      <c r="AU111" s="23"/>
      <c r="AV111" s="18"/>
      <c r="AY111" s="38"/>
      <c r="AZ111" s="38"/>
      <c r="BA111" s="38"/>
      <c r="BB111" s="38"/>
      <c r="BC111" s="38"/>
      <c r="BD111" s="38"/>
      <c r="BE111" s="38"/>
      <c r="BF111" s="38"/>
      <c r="BG111" s="38"/>
      <c r="BH111" s="38"/>
      <c r="BI111" s="38"/>
      <c r="BJ111" s="38"/>
      <c r="BK111" s="38"/>
      <c r="BL111" s="38"/>
      <c r="BM111" s="38"/>
      <c r="BN111" s="38"/>
      <c r="BO111" s="38"/>
      <c r="BP111" s="38"/>
      <c r="BQ111" s="38"/>
      <c r="BR111" s="38"/>
      <c r="BS111" s="38"/>
      <c r="BT111" s="38"/>
      <c r="BU111" s="38"/>
      <c r="BV111" s="38"/>
      <c r="BW111" s="38"/>
      <c r="BX111" s="38"/>
      <c r="BY111" s="38"/>
      <c r="BZ111" s="38"/>
      <c r="CA111" s="38"/>
      <c r="CB111" s="38"/>
      <c r="CC111" s="38"/>
      <c r="CD111" s="38"/>
      <c r="CE111" s="38"/>
      <c r="CF111" s="38"/>
      <c r="CG111" s="38"/>
      <c r="CH111" s="38"/>
      <c r="CI111" s="38"/>
      <c r="CJ111" s="38"/>
      <c r="CK111" s="38"/>
      <c r="CL111" s="38"/>
      <c r="CM111" s="38"/>
    </row>
    <row r="112" spans="1:91" s="1" customFormat="1" ht="15" customHeight="1">
      <c r="A112" s="39"/>
      <c r="B112" s="39"/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X112" s="59"/>
      <c r="AA112" s="38"/>
      <c r="AI112" s="59"/>
      <c r="AJ112" s="81"/>
      <c r="AK112" s="18"/>
      <c r="AL112" s="23"/>
      <c r="AM112" s="18"/>
      <c r="AN112" s="18"/>
      <c r="AO112" s="18"/>
      <c r="AP112" s="18"/>
      <c r="AR112" s="59"/>
      <c r="AS112" s="81"/>
      <c r="AT112" s="18"/>
      <c r="AU112" s="23"/>
      <c r="AV112" s="18"/>
      <c r="AY112" s="38"/>
      <c r="AZ112" s="38"/>
      <c r="BA112" s="38"/>
      <c r="BB112" s="38"/>
      <c r="BC112" s="38"/>
      <c r="BD112" s="38"/>
      <c r="BE112" s="38"/>
      <c r="BF112" s="38"/>
      <c r="BG112" s="38"/>
      <c r="BH112" s="38"/>
      <c r="BI112" s="38"/>
      <c r="BJ112" s="38"/>
      <c r="BK112" s="38"/>
      <c r="BL112" s="38"/>
      <c r="BM112" s="38"/>
      <c r="BN112" s="38"/>
      <c r="BO112" s="38"/>
      <c r="BP112" s="38"/>
      <c r="BQ112" s="38"/>
      <c r="BR112" s="38"/>
      <c r="BS112" s="38"/>
      <c r="BT112" s="38"/>
      <c r="BU112" s="38"/>
      <c r="BV112" s="38"/>
      <c r="BW112" s="38"/>
      <c r="BX112" s="38"/>
      <c r="BY112" s="38"/>
      <c r="BZ112" s="38"/>
      <c r="CA112" s="38"/>
      <c r="CB112" s="38"/>
      <c r="CC112" s="38"/>
      <c r="CD112" s="38"/>
      <c r="CE112" s="38"/>
      <c r="CF112" s="38"/>
      <c r="CG112" s="38"/>
      <c r="CH112" s="38"/>
      <c r="CI112" s="38"/>
      <c r="CJ112" s="38"/>
      <c r="CK112" s="38"/>
      <c r="CL112" s="38"/>
      <c r="CM112" s="38"/>
    </row>
    <row r="113" spans="1:91" s="1" customFormat="1" ht="15" customHeight="1">
      <c r="A113" s="39"/>
      <c r="B113" s="39"/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X113" s="38"/>
      <c r="Y113" s="19"/>
      <c r="AA113" s="38"/>
      <c r="AI113" s="38"/>
      <c r="AJ113" s="81"/>
      <c r="AK113" s="18"/>
      <c r="AL113" s="23"/>
      <c r="AM113" s="18"/>
      <c r="AN113" s="18"/>
      <c r="AO113" s="18"/>
      <c r="AP113" s="18"/>
      <c r="AR113" s="38"/>
      <c r="AS113" s="81"/>
      <c r="AT113" s="18"/>
      <c r="AU113" s="23"/>
      <c r="AV113" s="18"/>
      <c r="AY113" s="38"/>
      <c r="AZ113" s="38"/>
      <c r="BA113" s="38"/>
      <c r="BB113" s="38"/>
      <c r="BC113" s="38"/>
      <c r="BD113" s="38"/>
      <c r="BE113" s="38"/>
      <c r="BF113" s="38"/>
      <c r="BG113" s="38"/>
      <c r="BH113" s="38"/>
      <c r="BI113" s="38"/>
      <c r="BJ113" s="38"/>
      <c r="BK113" s="38"/>
      <c r="BL113" s="38"/>
      <c r="BM113" s="38"/>
      <c r="BN113" s="38"/>
      <c r="BO113" s="38"/>
      <c r="BP113" s="38"/>
      <c r="BQ113" s="38"/>
      <c r="BR113" s="38"/>
      <c r="BS113" s="38"/>
      <c r="BT113" s="38"/>
      <c r="BU113" s="38"/>
      <c r="BV113" s="38"/>
      <c r="BW113" s="38"/>
      <c r="BX113" s="38"/>
      <c r="BY113" s="38"/>
      <c r="BZ113" s="38"/>
      <c r="CA113" s="38"/>
      <c r="CB113" s="38"/>
      <c r="CC113" s="38"/>
      <c r="CD113" s="38"/>
      <c r="CE113" s="38"/>
      <c r="CF113" s="38"/>
      <c r="CG113" s="38"/>
      <c r="CH113" s="38"/>
      <c r="CI113" s="38"/>
      <c r="CJ113" s="38"/>
      <c r="CK113" s="38"/>
      <c r="CL113" s="38"/>
      <c r="CM113" s="38"/>
    </row>
    <row r="114" spans="1:91" s="1" customFormat="1" ht="15" customHeight="1">
      <c r="A114" s="39"/>
      <c r="B114" s="39"/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X114" s="38"/>
      <c r="Y114" s="19"/>
      <c r="AI114" s="38"/>
      <c r="AJ114" s="82"/>
      <c r="AK114" s="18"/>
      <c r="AL114" s="23"/>
      <c r="AM114" s="18"/>
      <c r="AN114" s="18"/>
      <c r="AO114" s="18"/>
      <c r="AP114" s="18"/>
      <c r="AR114" s="38"/>
      <c r="AS114" s="82"/>
      <c r="AT114" s="18"/>
      <c r="AU114" s="23"/>
      <c r="AV114" s="18"/>
    </row>
    <row r="115" spans="1:91" s="1" customFormat="1" ht="15" customHeight="1">
      <c r="A115" s="39"/>
      <c r="B115" s="39"/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39"/>
      <c r="X115" s="59"/>
      <c r="Y115" s="19"/>
      <c r="AI115" s="59"/>
      <c r="AJ115" s="81"/>
      <c r="AK115" s="18"/>
      <c r="AL115" s="23"/>
      <c r="AM115" s="18"/>
      <c r="AN115" s="18"/>
      <c r="AO115" s="18"/>
      <c r="AP115" s="18"/>
    </row>
    <row r="116" spans="1:91" s="1" customFormat="1" ht="15" customHeight="1">
      <c r="A116" s="39"/>
      <c r="B116" s="39"/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39"/>
      <c r="X116" s="59"/>
      <c r="Y116" s="19"/>
      <c r="AI116" s="38"/>
      <c r="AJ116" s="81"/>
      <c r="AK116" s="18"/>
      <c r="AL116" s="23"/>
      <c r="AM116" s="18"/>
      <c r="AN116" s="18"/>
      <c r="AO116" s="18"/>
      <c r="AP116" s="18"/>
    </row>
    <row r="117" spans="1:91" s="1" customFormat="1" ht="15" customHeight="1">
      <c r="A117" s="39"/>
      <c r="B117" s="39"/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R117" s="39"/>
      <c r="S117" s="39"/>
      <c r="X117" s="59"/>
      <c r="AI117" s="38"/>
      <c r="AJ117" s="82"/>
      <c r="AK117" s="18"/>
      <c r="AL117" s="23"/>
      <c r="AM117" s="18"/>
      <c r="AN117" s="18"/>
      <c r="AO117" s="18"/>
      <c r="AP117" s="18"/>
    </row>
    <row r="118" spans="1:91" s="1" customFormat="1" ht="15" customHeight="1">
      <c r="A118" s="39"/>
      <c r="B118" s="39"/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39"/>
      <c r="X118" s="59"/>
      <c r="AI118" s="59"/>
      <c r="AJ118" s="81"/>
      <c r="AK118" s="18"/>
      <c r="AL118" s="23"/>
      <c r="AM118" s="18"/>
      <c r="AN118" s="18"/>
      <c r="AO118" s="18"/>
      <c r="AP118" s="18"/>
    </row>
    <row r="119" spans="1:91" s="1" customFormat="1" ht="15" customHeight="1">
      <c r="A119" s="39"/>
      <c r="B119" s="39"/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R119" s="39"/>
      <c r="S119" s="39"/>
      <c r="X119" s="38"/>
      <c r="AI119" s="38"/>
      <c r="AJ119" s="81"/>
      <c r="AK119" s="18"/>
      <c r="AL119" s="23"/>
      <c r="AM119" s="18"/>
      <c r="AN119" s="18"/>
      <c r="AO119" s="18"/>
      <c r="AP119" s="18"/>
    </row>
    <row r="120" spans="1:91" s="1" customFormat="1" ht="15" customHeight="1">
      <c r="A120" s="39"/>
      <c r="B120" s="39"/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39"/>
      <c r="P120" s="39"/>
      <c r="Q120" s="39"/>
      <c r="R120" s="39"/>
      <c r="S120" s="39"/>
      <c r="X120" s="38"/>
      <c r="AI120" s="38"/>
      <c r="AJ120" s="82"/>
      <c r="AK120" s="18"/>
      <c r="AL120" s="23"/>
      <c r="AM120" s="18"/>
      <c r="AN120" s="18"/>
      <c r="AO120" s="18"/>
      <c r="AP120" s="18"/>
    </row>
    <row r="121" spans="1:91" s="1" customFormat="1" ht="15" customHeight="1">
      <c r="A121" s="39"/>
      <c r="B121" s="39"/>
      <c r="C121" s="39"/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39"/>
      <c r="P121" s="39"/>
      <c r="Q121" s="39"/>
      <c r="R121" s="39"/>
      <c r="S121" s="39"/>
      <c r="X121" s="59"/>
      <c r="AI121" s="59"/>
      <c r="AJ121" s="81"/>
      <c r="AK121" s="18"/>
      <c r="AL121" s="23"/>
      <c r="AM121" s="18"/>
      <c r="AN121" s="18"/>
      <c r="AO121" s="18"/>
      <c r="AP121" s="18"/>
    </row>
    <row r="122" spans="1:91" s="1" customFormat="1" ht="15" customHeight="1">
      <c r="A122" s="39"/>
      <c r="B122" s="39"/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X122" s="38"/>
      <c r="AI122" s="59"/>
      <c r="AJ122" s="81"/>
      <c r="AK122" s="18"/>
      <c r="AL122" s="23"/>
      <c r="AM122" s="18"/>
      <c r="AN122" s="18"/>
      <c r="AO122" s="18"/>
      <c r="AP122" s="18"/>
    </row>
    <row r="123" spans="1:91" s="1" customFormat="1" ht="15" customHeight="1">
      <c r="A123" s="39"/>
      <c r="B123" s="39"/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X123" s="38"/>
      <c r="AI123" s="59"/>
      <c r="AJ123" s="82"/>
      <c r="AK123" s="18"/>
      <c r="AL123" s="23"/>
      <c r="AM123" s="18"/>
      <c r="AN123" s="18"/>
      <c r="AO123" s="18"/>
      <c r="AP123" s="18"/>
    </row>
    <row r="124" spans="1:91" s="1" customFormat="1" ht="15" customHeight="1">
      <c r="A124" s="39"/>
      <c r="B124" s="39"/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39"/>
      <c r="P124" s="39"/>
      <c r="Q124" s="39"/>
      <c r="R124" s="39"/>
      <c r="S124" s="39"/>
      <c r="X124" s="59"/>
      <c r="AJ124" s="24"/>
      <c r="AK124" s="18"/>
      <c r="AL124" s="25"/>
      <c r="AM124" s="26"/>
      <c r="AN124" s="26"/>
      <c r="AO124" s="26"/>
      <c r="AP124" s="26"/>
    </row>
    <row r="125" spans="1:91" s="1" customFormat="1" ht="15" customHeight="1">
      <c r="A125" s="39"/>
      <c r="B125" s="39"/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39"/>
      <c r="X125" s="38"/>
      <c r="AJ125" s="24"/>
      <c r="AK125" s="18"/>
      <c r="AL125" s="25"/>
      <c r="AM125" s="26"/>
      <c r="AN125" s="26"/>
      <c r="AO125" s="26"/>
      <c r="AP125" s="26"/>
    </row>
    <row r="126" spans="1:91" s="1" customFormat="1" ht="15" customHeight="1">
      <c r="A126" s="39"/>
      <c r="B126" s="39"/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X126" s="38"/>
      <c r="AJ126" s="24"/>
      <c r="AK126" s="18"/>
      <c r="AL126" s="25"/>
      <c r="AM126" s="26"/>
      <c r="AN126" s="26"/>
      <c r="AO126" s="26"/>
      <c r="AP126" s="26"/>
    </row>
    <row r="127" spans="1:91" s="1" customFormat="1" ht="15" customHeight="1">
      <c r="A127" s="39"/>
      <c r="B127" s="39"/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  <c r="X127" s="59"/>
      <c r="AJ127" s="24"/>
      <c r="AK127" s="18"/>
      <c r="AL127" s="25"/>
      <c r="AM127" s="26"/>
      <c r="AN127" s="26"/>
      <c r="AO127" s="26"/>
      <c r="AP127" s="26"/>
    </row>
    <row r="128" spans="1:91" s="1" customFormat="1" ht="15" customHeight="1">
      <c r="A128" s="39"/>
      <c r="B128" s="39"/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X128" s="38"/>
      <c r="AJ128" s="24"/>
      <c r="AK128" s="18"/>
      <c r="AL128" s="25"/>
      <c r="AM128" s="26"/>
      <c r="AN128" s="26"/>
      <c r="AO128" s="26"/>
      <c r="AP128" s="26"/>
    </row>
    <row r="129" spans="1:44" s="1" customFormat="1" ht="15" customHeight="1">
      <c r="A129" s="39"/>
      <c r="B129" s="39"/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  <c r="X129" s="38"/>
      <c r="AI129" s="38"/>
      <c r="AJ129" s="24"/>
      <c r="AK129" s="18"/>
      <c r="AL129" s="25"/>
      <c r="AM129" s="26"/>
      <c r="AN129" s="26"/>
      <c r="AO129" s="26"/>
      <c r="AP129" s="26"/>
      <c r="AQ129" s="21"/>
      <c r="AR129" s="38"/>
    </row>
    <row r="130" spans="1:44" s="1" customFormat="1" ht="15" customHeight="1">
      <c r="A130" s="39"/>
      <c r="B130" s="39"/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R130" s="39"/>
      <c r="S130" s="39"/>
      <c r="X130" s="59"/>
      <c r="AI130" s="38"/>
      <c r="AJ130" s="24"/>
      <c r="AK130" s="18"/>
      <c r="AL130" s="25"/>
      <c r="AM130" s="26"/>
      <c r="AN130" s="26"/>
      <c r="AO130" s="26"/>
      <c r="AP130" s="26"/>
      <c r="AR130" s="38"/>
    </row>
    <row r="131" spans="1:44" s="1" customFormat="1" ht="15" customHeight="1">
      <c r="A131" s="39"/>
      <c r="B131" s="39"/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39"/>
      <c r="P131" s="39"/>
      <c r="Q131" s="39"/>
      <c r="R131" s="39"/>
      <c r="S131" s="39"/>
      <c r="X131" s="38"/>
      <c r="AI131" s="38"/>
      <c r="AJ131" s="24"/>
      <c r="AK131" s="18"/>
      <c r="AL131" s="25"/>
      <c r="AM131" s="26"/>
      <c r="AN131" s="26"/>
      <c r="AO131" s="26"/>
      <c r="AP131" s="26"/>
      <c r="AR131" s="38"/>
    </row>
    <row r="132" spans="1:44" s="1" customFormat="1" ht="15" customHeight="1">
      <c r="A132" s="39"/>
      <c r="B132" s="39"/>
      <c r="C132" s="39"/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39"/>
      <c r="P132" s="39"/>
      <c r="Q132" s="39"/>
      <c r="R132" s="39"/>
      <c r="S132" s="39"/>
      <c r="X132" s="38"/>
      <c r="AH132" s="21"/>
      <c r="AI132" s="38"/>
      <c r="AJ132" s="24"/>
      <c r="AK132" s="18"/>
      <c r="AL132" s="25"/>
      <c r="AM132" s="26"/>
      <c r="AN132" s="26"/>
      <c r="AO132" s="26"/>
      <c r="AP132" s="26"/>
      <c r="AQ132" s="21"/>
      <c r="AR132" s="38"/>
    </row>
    <row r="133" spans="1:44" s="1" customFormat="1" ht="15" customHeight="1">
      <c r="A133" s="39"/>
      <c r="B133" s="39"/>
      <c r="C133" s="39"/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39"/>
      <c r="P133" s="39"/>
      <c r="Q133" s="39"/>
      <c r="R133" s="39"/>
      <c r="S133" s="39"/>
      <c r="X133" s="59"/>
      <c r="AI133" s="38"/>
      <c r="AJ133" s="83"/>
      <c r="AK133" s="84"/>
      <c r="AL133" s="25"/>
      <c r="AM133" s="26"/>
      <c r="AN133" s="26"/>
      <c r="AO133" s="26"/>
      <c r="AP133" s="26"/>
      <c r="AR133" s="38"/>
    </row>
    <row r="134" spans="1:44" s="1" customFormat="1" ht="15" customHeight="1">
      <c r="A134" s="39"/>
      <c r="B134" s="39"/>
      <c r="C134" s="39"/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39"/>
      <c r="P134" s="39"/>
      <c r="Q134" s="39"/>
      <c r="R134" s="39"/>
      <c r="S134" s="39"/>
      <c r="X134" s="38"/>
      <c r="AI134" s="38"/>
      <c r="AJ134" s="24"/>
      <c r="AK134" s="18"/>
      <c r="AL134" s="25"/>
      <c r="AM134" s="26"/>
      <c r="AN134" s="26"/>
      <c r="AO134" s="26"/>
      <c r="AP134" s="26"/>
      <c r="AR134" s="38"/>
    </row>
    <row r="135" spans="1:44" s="1" customFormat="1" ht="15" customHeight="1">
      <c r="A135" s="39"/>
      <c r="B135" s="39"/>
      <c r="C135" s="39"/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39"/>
      <c r="P135" s="39"/>
      <c r="Q135" s="39"/>
      <c r="R135" s="39"/>
      <c r="S135" s="39"/>
      <c r="X135" s="38"/>
      <c r="AH135" s="21"/>
      <c r="AI135" s="38"/>
      <c r="AJ135" s="24"/>
      <c r="AK135" s="18"/>
      <c r="AL135" s="25"/>
      <c r="AM135" s="26"/>
      <c r="AN135" s="26"/>
      <c r="AO135" s="26"/>
      <c r="AP135" s="26"/>
      <c r="AQ135" s="21"/>
      <c r="AR135" s="38"/>
    </row>
    <row r="136" spans="1:44" s="1" customFormat="1" ht="15" customHeight="1">
      <c r="A136" s="39"/>
      <c r="B136" s="39"/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39"/>
      <c r="P136" s="39"/>
      <c r="Q136" s="39"/>
      <c r="R136" s="39"/>
      <c r="S136" s="39"/>
      <c r="X136" s="59"/>
      <c r="AI136" s="38"/>
      <c r="AJ136" s="83"/>
      <c r="AK136" s="18"/>
      <c r="AL136" s="25"/>
      <c r="AM136" s="26"/>
      <c r="AN136" s="26"/>
      <c r="AO136" s="26"/>
      <c r="AP136" s="26"/>
      <c r="AR136" s="38"/>
    </row>
    <row r="137" spans="1:44" s="1" customFormat="1" ht="15" customHeight="1">
      <c r="A137" s="39"/>
      <c r="B137" s="39"/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39"/>
      <c r="P137" s="39"/>
      <c r="Q137" s="39"/>
      <c r="R137" s="39"/>
      <c r="S137" s="39"/>
      <c r="X137" s="38"/>
      <c r="AI137" s="38"/>
      <c r="AJ137" s="24"/>
      <c r="AK137" s="18"/>
      <c r="AL137" s="25"/>
      <c r="AM137" s="26"/>
      <c r="AN137" s="26"/>
      <c r="AO137" s="26"/>
      <c r="AP137" s="26"/>
      <c r="AR137" s="38"/>
    </row>
    <row r="138" spans="1:44" s="1" customFormat="1" ht="15" customHeight="1">
      <c r="A138" s="39"/>
      <c r="B138" s="39"/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X138" s="38"/>
      <c r="AH138" s="21"/>
      <c r="AJ138" s="24"/>
      <c r="AK138" s="18"/>
      <c r="AL138" s="25"/>
      <c r="AM138" s="26"/>
      <c r="AN138" s="26"/>
      <c r="AO138" s="26"/>
      <c r="AP138" s="26"/>
    </row>
    <row r="139" spans="1:44" s="1" customFormat="1" ht="15" customHeight="1">
      <c r="A139" s="39"/>
      <c r="B139" s="39"/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R139" s="39"/>
      <c r="S139" s="39"/>
      <c r="X139" s="59"/>
      <c r="AJ139" s="83"/>
      <c r="AK139" s="18"/>
      <c r="AL139" s="25"/>
      <c r="AM139" s="26"/>
      <c r="AN139" s="26"/>
      <c r="AO139" s="26"/>
      <c r="AP139" s="26"/>
    </row>
    <row r="140" spans="1:44" s="1" customFormat="1" ht="15" customHeight="1">
      <c r="A140" s="39"/>
      <c r="B140" s="39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  <c r="X140" s="38"/>
      <c r="AJ140" s="24"/>
      <c r="AK140" s="18"/>
      <c r="AL140" s="25"/>
      <c r="AM140" s="26"/>
      <c r="AN140" s="26"/>
      <c r="AO140" s="26"/>
      <c r="AP140" s="26"/>
    </row>
    <row r="141" spans="1:44" s="1" customFormat="1" ht="15" customHeight="1">
      <c r="A141" s="39"/>
      <c r="B141" s="39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39"/>
      <c r="X141" s="38"/>
      <c r="AJ141" s="24"/>
      <c r="AK141" s="18"/>
      <c r="AL141" s="25"/>
      <c r="AM141" s="26"/>
      <c r="AN141" s="26"/>
      <c r="AO141" s="26"/>
      <c r="AP141" s="26"/>
    </row>
    <row r="142" spans="1:44" s="1" customFormat="1" ht="15" customHeight="1">
      <c r="A142" s="39"/>
      <c r="B142" s="39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X142" s="59"/>
      <c r="AJ142" s="83"/>
      <c r="AK142" s="18"/>
      <c r="AL142" s="25"/>
      <c r="AM142" s="26"/>
      <c r="AN142" s="26"/>
      <c r="AO142" s="26"/>
      <c r="AP142" s="26"/>
    </row>
    <row r="143" spans="1:44" s="1" customFormat="1" ht="15" customHeight="1">
      <c r="A143" s="39"/>
      <c r="B143" s="39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  <c r="X143" s="38"/>
      <c r="AJ143" s="24"/>
      <c r="AK143" s="18"/>
      <c r="AL143" s="25"/>
      <c r="AM143" s="26"/>
      <c r="AN143" s="26"/>
      <c r="AO143" s="26"/>
      <c r="AP143" s="26"/>
    </row>
    <row r="144" spans="1:44" s="1" customFormat="1" ht="15" customHeight="1">
      <c r="A144" s="39"/>
      <c r="B144" s="39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  <c r="X144" s="38"/>
      <c r="AJ144" s="24"/>
      <c r="AK144" s="18"/>
      <c r="AL144" s="25"/>
      <c r="AM144" s="26"/>
      <c r="AN144" s="26"/>
      <c r="AO144" s="26"/>
      <c r="AP144" s="26"/>
    </row>
    <row r="145" spans="1:42" s="1" customFormat="1" ht="15" customHeight="1">
      <c r="A145" s="39"/>
      <c r="B145" s="39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  <c r="AJ145" s="83"/>
      <c r="AK145" s="18"/>
      <c r="AL145" s="25"/>
      <c r="AM145" s="26"/>
      <c r="AN145" s="26"/>
      <c r="AO145" s="26"/>
      <c r="AP145" s="26"/>
    </row>
    <row r="146" spans="1:42" s="1" customFormat="1" ht="15" customHeight="1">
      <c r="A146" s="39"/>
      <c r="B146" s="39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  <c r="AJ146" s="24"/>
      <c r="AK146" s="18"/>
      <c r="AL146" s="25"/>
      <c r="AM146" s="26"/>
      <c r="AN146" s="26"/>
      <c r="AO146" s="26"/>
      <c r="AP146" s="26"/>
    </row>
    <row r="147" spans="1:42" s="1" customFormat="1" ht="15" customHeight="1">
      <c r="A147" s="39"/>
      <c r="B147" s="39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39"/>
      <c r="Q147" s="39"/>
      <c r="R147" s="39"/>
      <c r="S147" s="39"/>
      <c r="AJ147" s="24"/>
      <c r="AK147" s="18"/>
      <c r="AL147" s="25"/>
      <c r="AM147" s="26"/>
      <c r="AN147" s="26"/>
      <c r="AO147" s="26"/>
      <c r="AP147" s="26"/>
    </row>
    <row r="148" spans="1:42" s="1" customFormat="1" ht="15" customHeight="1">
      <c r="A148" s="39"/>
      <c r="B148" s="39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39"/>
      <c r="Q148" s="39"/>
      <c r="R148" s="39"/>
      <c r="S148" s="39"/>
      <c r="AJ148" s="83"/>
      <c r="AK148" s="18"/>
      <c r="AL148" s="25"/>
      <c r="AM148" s="26"/>
      <c r="AN148" s="26"/>
      <c r="AO148" s="26"/>
      <c r="AP148" s="26"/>
    </row>
    <row r="149" spans="1:42" s="1" customFormat="1" ht="15" customHeight="1">
      <c r="A149" s="39"/>
      <c r="B149" s="39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39"/>
      <c r="Q149" s="39"/>
      <c r="R149" s="39"/>
      <c r="S149" s="39"/>
      <c r="AJ149" s="24"/>
      <c r="AK149" s="18"/>
      <c r="AL149" s="25"/>
      <c r="AM149" s="26"/>
      <c r="AN149" s="26"/>
      <c r="AO149" s="26"/>
      <c r="AP149" s="26"/>
    </row>
    <row r="150" spans="1:42" s="1" customFormat="1" ht="15" customHeight="1">
      <c r="A150" s="39"/>
      <c r="B150" s="39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39"/>
      <c r="Q150" s="39"/>
      <c r="R150" s="39"/>
      <c r="S150" s="39"/>
      <c r="AJ150" s="24"/>
      <c r="AK150" s="18"/>
      <c r="AL150" s="25"/>
      <c r="AM150" s="26"/>
      <c r="AN150" s="26"/>
      <c r="AO150" s="26"/>
      <c r="AP150" s="26"/>
    </row>
    <row r="151" spans="1:42" s="1" customFormat="1" ht="15" customHeight="1">
      <c r="A151" s="39"/>
      <c r="B151" s="39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39"/>
      <c r="Q151" s="39"/>
      <c r="R151" s="39"/>
      <c r="S151" s="39"/>
      <c r="AJ151" s="83"/>
      <c r="AK151" s="18"/>
      <c r="AL151" s="25"/>
      <c r="AM151" s="26"/>
      <c r="AN151" s="26"/>
      <c r="AO151" s="26"/>
      <c r="AP151" s="26"/>
    </row>
    <row r="152" spans="1:42" s="1" customFormat="1" ht="15" customHeight="1">
      <c r="A152" s="39"/>
      <c r="B152" s="39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39"/>
      <c r="Q152" s="39"/>
      <c r="R152" s="39"/>
      <c r="S152" s="39"/>
      <c r="AJ152" s="24"/>
      <c r="AK152" s="18"/>
      <c r="AL152" s="25"/>
      <c r="AM152" s="26"/>
      <c r="AN152" s="26"/>
      <c r="AO152" s="26"/>
      <c r="AP152" s="26"/>
    </row>
    <row r="153" spans="1:42" s="1" customFormat="1" ht="15" customHeight="1">
      <c r="A153" s="39"/>
      <c r="B153" s="39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39"/>
      <c r="Q153" s="39"/>
      <c r="R153" s="39"/>
      <c r="S153" s="39"/>
      <c r="AJ153" s="24"/>
      <c r="AK153" s="18"/>
      <c r="AL153" s="25"/>
      <c r="AM153" s="26"/>
      <c r="AN153" s="26"/>
      <c r="AO153" s="26"/>
      <c r="AP153" s="26"/>
    </row>
    <row r="154" spans="1:42" s="1" customFormat="1" ht="15" customHeight="1">
      <c r="A154" s="39"/>
      <c r="B154" s="39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AJ154" s="83"/>
      <c r="AK154" s="18"/>
      <c r="AL154" s="25"/>
      <c r="AM154" s="26"/>
      <c r="AN154" s="26"/>
      <c r="AO154" s="26"/>
      <c r="AP154" s="26"/>
    </row>
    <row r="155" spans="1:42" s="1" customFormat="1" ht="15" customHeight="1">
      <c r="A155" s="39"/>
      <c r="B155" s="39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AJ155" s="24"/>
      <c r="AK155" s="18"/>
      <c r="AL155" s="25"/>
      <c r="AM155" s="26"/>
      <c r="AN155" s="26"/>
      <c r="AO155" s="26"/>
      <c r="AP155" s="26"/>
    </row>
    <row r="156" spans="1:42" s="1" customFormat="1" ht="15" customHeight="1">
      <c r="A156" s="39"/>
      <c r="B156" s="39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AJ156" s="24"/>
      <c r="AK156" s="18"/>
      <c r="AL156" s="25"/>
      <c r="AM156" s="26"/>
      <c r="AN156" s="26"/>
      <c r="AO156" s="26"/>
      <c r="AP156" s="26"/>
    </row>
    <row r="157" spans="1:42" s="1" customFormat="1" ht="15" customHeight="1">
      <c r="A157" s="39"/>
      <c r="B157" s="39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39"/>
      <c r="AJ157" s="83"/>
      <c r="AK157" s="18"/>
      <c r="AL157" s="25"/>
      <c r="AM157" s="26"/>
      <c r="AN157" s="26"/>
      <c r="AO157" s="26"/>
      <c r="AP157" s="26"/>
    </row>
    <row r="158" spans="1:42" s="1" customFormat="1" ht="15" customHeight="1">
      <c r="A158" s="39"/>
      <c r="B158" s="39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AJ158" s="24"/>
      <c r="AK158" s="18"/>
      <c r="AL158" s="25"/>
      <c r="AM158" s="26"/>
      <c r="AN158" s="26"/>
      <c r="AO158" s="26"/>
      <c r="AP158" s="26"/>
    </row>
    <row r="159" spans="1:42" s="1" customFormat="1" ht="15" customHeight="1">
      <c r="A159" s="39"/>
      <c r="B159" s="39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39"/>
      <c r="AJ159" s="24"/>
      <c r="AK159" s="18"/>
      <c r="AL159" s="25"/>
      <c r="AM159" s="26"/>
      <c r="AN159" s="26"/>
      <c r="AO159" s="26"/>
      <c r="AP159" s="26"/>
    </row>
    <row r="160" spans="1:42" s="1" customFormat="1" ht="15" customHeight="1">
      <c r="A160" s="39"/>
      <c r="B160" s="39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39"/>
      <c r="S160" s="39"/>
      <c r="AJ160" s="83"/>
      <c r="AK160" s="18"/>
      <c r="AL160" s="25"/>
      <c r="AM160" s="26"/>
      <c r="AN160" s="26"/>
      <c r="AO160" s="26"/>
      <c r="AP160" s="26"/>
    </row>
    <row r="161" spans="1:42" s="1" customFormat="1" ht="15" customHeight="1">
      <c r="A161" s="39"/>
      <c r="B161" s="39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39"/>
      <c r="AJ161" s="24"/>
      <c r="AK161" s="18"/>
      <c r="AL161" s="25"/>
      <c r="AM161" s="26"/>
      <c r="AN161" s="26"/>
      <c r="AO161" s="26"/>
      <c r="AP161" s="26"/>
    </row>
    <row r="162" spans="1:42" s="1" customFormat="1" ht="15" customHeight="1">
      <c r="A162" s="39"/>
      <c r="B162" s="39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39"/>
      <c r="Q162" s="39"/>
      <c r="R162" s="39"/>
      <c r="S162" s="39"/>
      <c r="AJ162" s="24"/>
      <c r="AK162" s="18"/>
      <c r="AL162" s="25"/>
      <c r="AM162" s="26"/>
      <c r="AN162" s="26"/>
      <c r="AO162" s="26"/>
      <c r="AP162" s="26"/>
    </row>
    <row r="163" spans="1:42" s="1" customFormat="1" ht="15" customHeight="1">
      <c r="A163" s="39"/>
      <c r="B163" s="39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39"/>
      <c r="P163" s="39"/>
      <c r="Q163" s="39"/>
      <c r="R163" s="39"/>
      <c r="S163" s="39"/>
      <c r="AJ163" s="83"/>
      <c r="AK163" s="18"/>
      <c r="AL163" s="25"/>
      <c r="AM163" s="26"/>
      <c r="AN163" s="26"/>
      <c r="AO163" s="26"/>
      <c r="AP163" s="26"/>
    </row>
    <row r="164" spans="1:42" s="1" customFormat="1" ht="15" customHeight="1">
      <c r="A164" s="39"/>
      <c r="B164" s="39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39"/>
      <c r="Q164" s="39"/>
      <c r="R164" s="39"/>
      <c r="S164" s="39"/>
      <c r="AJ164" s="24"/>
      <c r="AK164" s="18"/>
      <c r="AL164" s="25"/>
      <c r="AM164" s="26"/>
      <c r="AN164" s="26"/>
      <c r="AO164" s="26"/>
      <c r="AP164" s="26"/>
    </row>
    <row r="165" spans="1:42" s="1" customFormat="1" ht="15" customHeight="1">
      <c r="A165" s="39"/>
      <c r="B165" s="39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AJ165" s="24"/>
      <c r="AK165" s="18"/>
      <c r="AL165" s="25"/>
      <c r="AM165" s="26"/>
      <c r="AN165" s="26"/>
      <c r="AO165" s="26"/>
      <c r="AP165" s="26"/>
    </row>
    <row r="166" spans="1:42" s="1" customFormat="1" ht="15" customHeight="1">
      <c r="A166" s="39"/>
      <c r="B166" s="39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39"/>
      <c r="P166" s="39"/>
      <c r="Q166" s="39"/>
      <c r="R166" s="39"/>
      <c r="S166" s="39"/>
      <c r="AJ166" s="24"/>
      <c r="AK166" s="18"/>
      <c r="AL166" s="25"/>
      <c r="AM166" s="26"/>
      <c r="AN166" s="26"/>
      <c r="AO166" s="26"/>
      <c r="AP166" s="26"/>
    </row>
    <row r="167" spans="1:42" s="1" customFormat="1" ht="15" customHeight="1">
      <c r="A167" s="39"/>
      <c r="B167" s="39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39"/>
      <c r="P167" s="39"/>
      <c r="Q167" s="39"/>
      <c r="R167" s="39"/>
      <c r="S167" s="39"/>
      <c r="AJ167" s="24"/>
      <c r="AK167" s="18"/>
      <c r="AL167" s="25"/>
      <c r="AM167" s="26"/>
      <c r="AN167" s="26"/>
      <c r="AO167" s="26"/>
      <c r="AP167" s="26"/>
    </row>
    <row r="168" spans="1:42" s="1" customFormat="1" ht="15" customHeight="1">
      <c r="A168" s="39"/>
      <c r="B168" s="39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39"/>
      <c r="P168" s="39"/>
      <c r="Q168" s="39"/>
      <c r="R168" s="39"/>
      <c r="S168" s="39"/>
      <c r="AJ168" s="24"/>
      <c r="AK168" s="18"/>
      <c r="AL168" s="25"/>
      <c r="AM168" s="26"/>
      <c r="AN168" s="26"/>
      <c r="AO168" s="26"/>
      <c r="AP168" s="26"/>
    </row>
    <row r="169" spans="1:42" s="1" customFormat="1" ht="15" customHeight="1">
      <c r="A169" s="39"/>
      <c r="B169" s="39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39"/>
      <c r="P169" s="39"/>
      <c r="Q169" s="39"/>
      <c r="R169" s="39"/>
      <c r="S169" s="39"/>
      <c r="AJ169" s="24"/>
      <c r="AK169" s="18"/>
      <c r="AL169" s="25"/>
      <c r="AM169" s="26"/>
      <c r="AN169" s="26"/>
      <c r="AO169" s="26"/>
      <c r="AP169" s="26"/>
    </row>
    <row r="170" spans="1:42" s="1" customFormat="1" ht="15" customHeight="1">
      <c r="A170" s="39"/>
      <c r="B170" s="39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AJ170" s="24"/>
      <c r="AK170" s="18"/>
      <c r="AL170" s="25"/>
      <c r="AM170" s="26"/>
      <c r="AN170" s="26"/>
      <c r="AO170" s="26"/>
      <c r="AP170" s="26"/>
    </row>
    <row r="171" spans="1:42" s="1" customFormat="1" ht="15" customHeight="1">
      <c r="A171" s="39"/>
      <c r="B171" s="39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  <c r="AJ171" s="24"/>
      <c r="AK171" s="18"/>
      <c r="AL171" s="25"/>
      <c r="AM171" s="26"/>
      <c r="AN171" s="26"/>
      <c r="AO171" s="26"/>
      <c r="AP171" s="26"/>
    </row>
    <row r="172" spans="1:42" s="1" customFormat="1" ht="15" customHeight="1">
      <c r="A172" s="39"/>
      <c r="B172" s="39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39"/>
      <c r="S172" s="39"/>
      <c r="AJ172" s="24"/>
      <c r="AK172" s="18"/>
      <c r="AL172" s="25"/>
      <c r="AM172" s="26"/>
      <c r="AN172" s="26"/>
      <c r="AO172" s="26"/>
      <c r="AP172" s="26"/>
    </row>
    <row r="173" spans="1:42" s="1" customFormat="1" ht="15" customHeight="1">
      <c r="A173" s="39"/>
      <c r="B173" s="39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AJ173" s="24"/>
      <c r="AK173" s="18"/>
      <c r="AL173" s="25"/>
      <c r="AM173" s="26"/>
      <c r="AN173" s="26"/>
      <c r="AO173" s="26"/>
      <c r="AP173" s="26"/>
    </row>
    <row r="174" spans="1:42" s="1" customFormat="1" ht="15" customHeight="1">
      <c r="A174" s="39"/>
      <c r="B174" s="39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9"/>
      <c r="AJ174" s="24"/>
      <c r="AK174" s="18"/>
      <c r="AL174" s="25"/>
      <c r="AM174" s="26"/>
      <c r="AN174" s="26"/>
      <c r="AO174" s="26"/>
      <c r="AP174" s="26"/>
    </row>
    <row r="175" spans="1:42" s="1" customFormat="1" ht="15" customHeight="1">
      <c r="A175" s="39"/>
      <c r="B175" s="39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39"/>
      <c r="S175" s="39"/>
      <c r="AJ175" s="24"/>
      <c r="AK175" s="18"/>
      <c r="AL175" s="25"/>
      <c r="AM175" s="26"/>
      <c r="AN175" s="26"/>
      <c r="AO175" s="26"/>
      <c r="AP175" s="26"/>
    </row>
    <row r="176" spans="1:42" s="1" customFormat="1" ht="15" customHeight="1">
      <c r="A176" s="39"/>
      <c r="B176" s="39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39"/>
    </row>
    <row r="177" spans="1:19" s="1" customFormat="1" ht="15" customHeight="1">
      <c r="A177" s="39"/>
      <c r="B177" s="39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39"/>
    </row>
    <row r="178" spans="1:19" s="1" customFormat="1" ht="15" customHeight="1">
      <c r="A178" s="39"/>
      <c r="B178" s="39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39"/>
      <c r="Q178" s="39"/>
      <c r="R178" s="39"/>
      <c r="S178" s="39"/>
    </row>
    <row r="179" spans="1:19" s="1" customFormat="1" ht="15" customHeight="1">
      <c r="A179" s="39"/>
      <c r="B179" s="39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39"/>
      <c r="Q179" s="39"/>
      <c r="R179" s="39"/>
      <c r="S179" s="39"/>
    </row>
    <row r="180" spans="1:19" s="1" customFormat="1" ht="15" customHeight="1">
      <c r="A180" s="39"/>
      <c r="B180" s="39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39"/>
      <c r="Q180" s="39"/>
      <c r="R180" s="39"/>
      <c r="S180" s="39"/>
    </row>
    <row r="181" spans="1:19" s="1" customFormat="1" ht="15" customHeight="1">
      <c r="A181" s="39"/>
      <c r="B181" s="39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39"/>
      <c r="Q181" s="39"/>
      <c r="R181" s="39"/>
      <c r="S181" s="39"/>
    </row>
    <row r="182" spans="1:19" s="1" customFormat="1" ht="15" customHeight="1">
      <c r="A182" s="39"/>
      <c r="B182" s="39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39"/>
      <c r="Q182" s="39"/>
      <c r="R182" s="39"/>
      <c r="S182" s="39"/>
    </row>
    <row r="183" spans="1:19" s="1" customFormat="1" ht="15" customHeight="1">
      <c r="A183" s="39"/>
      <c r="B183" s="39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39"/>
      <c r="Q183" s="39"/>
      <c r="R183" s="39"/>
      <c r="S183" s="39"/>
    </row>
    <row r="184" spans="1:19" s="1" customFormat="1" ht="15" customHeight="1">
      <c r="A184" s="39"/>
      <c r="B184" s="39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39"/>
      <c r="Q184" s="39"/>
      <c r="R184" s="39"/>
      <c r="S184" s="39"/>
    </row>
    <row r="185" spans="1:19" s="1" customFormat="1" ht="15" customHeight="1">
      <c r="A185" s="39"/>
      <c r="B185" s="39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39"/>
      <c r="Q185" s="39"/>
      <c r="R185" s="39"/>
      <c r="S185" s="39"/>
    </row>
    <row r="186" spans="1:19" s="1" customFormat="1" ht="15" customHeight="1">
      <c r="A186" s="39"/>
      <c r="B186" s="39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</row>
    <row r="187" spans="1:19" s="1" customFormat="1" ht="15" customHeight="1">
      <c r="A187" s="39"/>
      <c r="B187" s="39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39"/>
    </row>
    <row r="188" spans="1:19" s="1" customFormat="1" ht="15" customHeight="1">
      <c r="A188" s="39"/>
      <c r="B188" s="39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</row>
    <row r="189" spans="1:19" s="1" customFormat="1" ht="15" customHeight="1">
      <c r="A189" s="39"/>
      <c r="B189" s="39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39"/>
      <c r="S189" s="39"/>
    </row>
    <row r="190" spans="1:19" s="1" customFormat="1" ht="15" customHeight="1">
      <c r="A190" s="39"/>
      <c r="B190" s="39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9"/>
    </row>
    <row r="191" spans="1:19" s="1" customFormat="1" ht="15" customHeight="1">
      <c r="A191" s="39"/>
      <c r="B191" s="39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39"/>
      <c r="S191" s="39"/>
    </row>
    <row r="192" spans="1:19" s="1" customFormat="1" ht="15" customHeight="1">
      <c r="A192" s="39"/>
      <c r="B192" s="39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</row>
    <row r="193" spans="1:19" s="1" customFormat="1" ht="15" customHeight="1">
      <c r="A193" s="39"/>
      <c r="B193" s="39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39"/>
      <c r="S193" s="39"/>
    </row>
    <row r="194" spans="1:19" s="1" customFormat="1" ht="15" customHeight="1">
      <c r="A194" s="39"/>
      <c r="B194" s="39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39"/>
      <c r="P194" s="39"/>
      <c r="Q194" s="39"/>
      <c r="R194" s="39"/>
      <c r="S194" s="39"/>
    </row>
    <row r="195" spans="1:19" s="1" customFormat="1" ht="15" customHeight="1">
      <c r="A195" s="39"/>
      <c r="B195" s="39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39"/>
      <c r="P195" s="39"/>
      <c r="Q195" s="39"/>
      <c r="R195" s="39"/>
      <c r="S195" s="39"/>
    </row>
    <row r="196" spans="1:19" s="1" customFormat="1" ht="15" customHeight="1">
      <c r="A196" s="39"/>
      <c r="B196" s="39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39"/>
      <c r="P196" s="39"/>
      <c r="Q196" s="39"/>
      <c r="R196" s="39"/>
      <c r="S196" s="39"/>
    </row>
    <row r="197" spans="1:19" s="1" customFormat="1" ht="15" customHeight="1">
      <c r="A197" s="39"/>
      <c r="B197" s="39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39"/>
      <c r="P197" s="39"/>
      <c r="Q197" s="39"/>
      <c r="R197" s="39"/>
      <c r="S197" s="39"/>
    </row>
    <row r="198" spans="1:19" s="1" customFormat="1" ht="15" customHeight="1">
      <c r="A198" s="39"/>
      <c r="B198" s="39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39"/>
      <c r="P198" s="39"/>
      <c r="Q198" s="39"/>
      <c r="R198" s="39"/>
      <c r="S198" s="39"/>
    </row>
    <row r="199" spans="1:19" s="1" customFormat="1" ht="15" customHeight="1">
      <c r="A199" s="39"/>
      <c r="B199" s="39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39"/>
      <c r="P199" s="39"/>
      <c r="Q199" s="39"/>
      <c r="R199" s="39"/>
      <c r="S199" s="39"/>
    </row>
    <row r="200" spans="1:19" s="1" customFormat="1" ht="15" customHeight="1">
      <c r="A200" s="39"/>
      <c r="B200" s="39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39"/>
      <c r="P200" s="39"/>
      <c r="Q200" s="39"/>
      <c r="R200" s="39"/>
      <c r="S200" s="39"/>
    </row>
    <row r="201" spans="1:19" s="1" customFormat="1" ht="15" customHeight="1">
      <c r="A201" s="39"/>
      <c r="B201" s="39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39"/>
      <c r="P201" s="39"/>
      <c r="Q201" s="39"/>
      <c r="R201" s="39"/>
      <c r="S201" s="39"/>
    </row>
    <row r="202" spans="1:19" s="1" customFormat="1" ht="15" customHeight="1">
      <c r="A202" s="39"/>
      <c r="B202" s="39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39"/>
      <c r="P202" s="39"/>
      <c r="Q202" s="39"/>
      <c r="R202" s="39"/>
      <c r="S202" s="39"/>
    </row>
    <row r="203" spans="1:19" s="1" customFormat="1" ht="15" customHeight="1">
      <c r="A203" s="39"/>
      <c r="B203" s="39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39"/>
      <c r="P203" s="39"/>
      <c r="Q203" s="39"/>
      <c r="R203" s="39"/>
      <c r="S203" s="39"/>
    </row>
    <row r="204" spans="1:19" s="1" customFormat="1" ht="15" customHeight="1">
      <c r="A204" s="39"/>
      <c r="B204" s="39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39"/>
    </row>
    <row r="205" spans="1:19" s="1" customFormat="1" ht="15" customHeight="1">
      <c r="A205" s="39"/>
      <c r="B205" s="39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39"/>
      <c r="P205" s="39"/>
      <c r="Q205" s="39"/>
      <c r="R205" s="39"/>
      <c r="S205" s="39"/>
    </row>
    <row r="206" spans="1:19" s="1" customFormat="1" ht="15" customHeight="1">
      <c r="A206" s="39"/>
      <c r="B206" s="39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39"/>
      <c r="P206" s="39"/>
      <c r="Q206" s="39"/>
      <c r="R206" s="39"/>
      <c r="S206" s="39"/>
    </row>
    <row r="207" spans="1:19" s="1" customFormat="1" ht="15" customHeight="1">
      <c r="A207" s="39"/>
      <c r="B207" s="39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39"/>
      <c r="P207" s="39"/>
      <c r="Q207" s="39"/>
      <c r="R207" s="39"/>
      <c r="S207" s="39"/>
    </row>
    <row r="208" spans="1:19" s="1" customFormat="1" ht="15" customHeight="1">
      <c r="A208" s="39"/>
      <c r="B208" s="39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39"/>
      <c r="P208" s="39"/>
      <c r="Q208" s="39"/>
      <c r="R208" s="39"/>
      <c r="S208" s="39"/>
    </row>
    <row r="209" spans="1:19" s="1" customFormat="1" ht="15" customHeight="1">
      <c r="A209" s="39"/>
      <c r="B209" s="39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39"/>
      <c r="Q209" s="39"/>
      <c r="R209" s="39"/>
      <c r="S209" s="39"/>
    </row>
    <row r="210" spans="1:19" s="1" customFormat="1" ht="15" customHeight="1">
      <c r="A210" s="39"/>
      <c r="B210" s="39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39"/>
      <c r="P210" s="39"/>
      <c r="Q210" s="39"/>
      <c r="R210" s="39"/>
      <c r="S210" s="39"/>
    </row>
    <row r="211" spans="1:19" s="1" customFormat="1" ht="15" customHeight="1">
      <c r="A211" s="39"/>
      <c r="B211" s="39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39"/>
      <c r="P211" s="39"/>
      <c r="Q211" s="39"/>
      <c r="R211" s="39"/>
      <c r="S211" s="39"/>
    </row>
    <row r="212" spans="1:19" s="1" customFormat="1" ht="15" customHeight="1">
      <c r="A212" s="39"/>
      <c r="B212" s="39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39"/>
      <c r="P212" s="39"/>
      <c r="Q212" s="39"/>
      <c r="R212" s="39"/>
      <c r="S212" s="39"/>
    </row>
    <row r="213" spans="1:19" s="1" customFormat="1" ht="15" customHeight="1">
      <c r="A213" s="39"/>
      <c r="B213" s="39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39"/>
      <c r="P213" s="39"/>
      <c r="Q213" s="39"/>
      <c r="R213" s="39"/>
      <c r="S213" s="39"/>
    </row>
    <row r="214" spans="1:19" s="1" customFormat="1" ht="15" customHeight="1">
      <c r="A214" s="39"/>
      <c r="B214" s="39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39"/>
      <c r="S214" s="39"/>
    </row>
    <row r="215" spans="1:19" s="1" customFormat="1" ht="15" customHeight="1">
      <c r="A215" s="39"/>
      <c r="B215" s="39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39"/>
      <c r="Q215" s="39"/>
      <c r="R215" s="39"/>
      <c r="S215" s="39"/>
    </row>
    <row r="216" spans="1:19" s="1" customFormat="1" ht="15" customHeight="1">
      <c r="A216" s="39"/>
      <c r="B216" s="39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39"/>
      <c r="P216" s="39"/>
      <c r="Q216" s="39"/>
      <c r="R216" s="39"/>
      <c r="S216" s="39"/>
    </row>
    <row r="217" spans="1:19" s="1" customFormat="1" ht="15" customHeight="1">
      <c r="A217" s="39"/>
      <c r="B217" s="39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39"/>
      <c r="P217" s="39"/>
      <c r="Q217" s="39"/>
      <c r="R217" s="39"/>
      <c r="S217" s="39"/>
    </row>
    <row r="218" spans="1:19" s="1" customFormat="1" ht="15" customHeight="1">
      <c r="A218" s="39"/>
      <c r="B218" s="39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39"/>
      <c r="S218" s="39"/>
    </row>
    <row r="219" spans="1:19" s="1" customFormat="1" ht="15" customHeight="1">
      <c r="A219" s="39"/>
      <c r="B219" s="39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39"/>
      <c r="P219" s="39"/>
      <c r="Q219" s="39"/>
      <c r="R219" s="39"/>
      <c r="S219" s="39"/>
    </row>
    <row r="220" spans="1:19" s="1" customFormat="1" ht="15" customHeight="1">
      <c r="A220" s="39"/>
      <c r="B220" s="39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39"/>
      <c r="P220" s="39"/>
      <c r="Q220" s="39"/>
      <c r="R220" s="39"/>
      <c r="S220" s="39"/>
    </row>
    <row r="221" spans="1:19" s="1" customFormat="1" ht="15" customHeight="1">
      <c r="A221" s="39"/>
      <c r="B221" s="39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39"/>
      <c r="Q221" s="39"/>
      <c r="R221" s="39"/>
      <c r="S221" s="39"/>
    </row>
    <row r="222" spans="1:19" s="1" customFormat="1" ht="15" customHeight="1">
      <c r="A222" s="39"/>
      <c r="B222" s="39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39"/>
    </row>
    <row r="223" spans="1:19" s="1" customFormat="1" ht="15" customHeight="1">
      <c r="A223" s="39"/>
      <c r="B223" s="39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39"/>
      <c r="P223" s="39"/>
      <c r="Q223" s="39"/>
      <c r="R223" s="39"/>
      <c r="S223" s="39"/>
    </row>
    <row r="224" spans="1:19" s="1" customFormat="1" ht="15" customHeight="1">
      <c r="A224" s="39"/>
      <c r="B224" s="39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39"/>
      <c r="P224" s="39"/>
      <c r="Q224" s="39"/>
      <c r="R224" s="39"/>
      <c r="S224" s="39"/>
    </row>
    <row r="225" spans="1:19" s="1" customFormat="1" ht="15" customHeight="1">
      <c r="A225" s="39"/>
      <c r="B225" s="39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39"/>
      <c r="P225" s="39"/>
      <c r="Q225" s="39"/>
      <c r="R225" s="39"/>
      <c r="S225" s="39"/>
    </row>
    <row r="226" spans="1:19" s="1" customFormat="1" ht="15" customHeight="1">
      <c r="A226" s="39"/>
      <c r="B226" s="39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39"/>
      <c r="P226" s="39"/>
      <c r="Q226" s="39"/>
      <c r="R226" s="39"/>
      <c r="S226" s="39"/>
    </row>
    <row r="227" spans="1:19" s="1" customFormat="1" ht="15" customHeight="1">
      <c r="A227" s="39"/>
      <c r="B227" s="39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39"/>
      <c r="P227" s="39"/>
      <c r="Q227" s="39"/>
      <c r="R227" s="39"/>
      <c r="S227" s="39"/>
    </row>
    <row r="228" spans="1:19" s="1" customFormat="1" ht="15" customHeight="1">
      <c r="A228" s="39"/>
      <c r="B228" s="39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39"/>
      <c r="P228" s="39"/>
      <c r="Q228" s="39"/>
      <c r="R228" s="39"/>
      <c r="S228" s="39"/>
    </row>
    <row r="229" spans="1:19" s="1" customFormat="1" ht="15" customHeight="1">
      <c r="A229" s="39"/>
      <c r="B229" s="39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39"/>
      <c r="P229" s="39"/>
      <c r="Q229" s="39"/>
      <c r="R229" s="39"/>
      <c r="S229" s="39"/>
    </row>
    <row r="230" spans="1:19" s="1" customFormat="1" ht="15" customHeight="1">
      <c r="A230" s="39"/>
      <c r="B230" s="39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39"/>
      <c r="P230" s="39"/>
      <c r="Q230" s="39"/>
      <c r="R230" s="39"/>
      <c r="S230" s="39"/>
    </row>
    <row r="231" spans="1:19" s="1" customFormat="1" ht="15" customHeight="1">
      <c r="A231" s="39"/>
      <c r="B231" s="39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39"/>
      <c r="P231" s="39"/>
      <c r="Q231" s="39"/>
      <c r="R231" s="39"/>
      <c r="S231" s="39"/>
    </row>
    <row r="232" spans="1:19" s="1" customFormat="1" ht="15" customHeight="1">
      <c r="A232" s="39"/>
      <c r="B232" s="39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39"/>
      <c r="P232" s="39"/>
      <c r="Q232" s="39"/>
      <c r="R232" s="39"/>
      <c r="S232" s="39"/>
    </row>
    <row r="233" spans="1:19" s="1" customFormat="1" ht="15" customHeight="1">
      <c r="A233" s="39"/>
      <c r="B233" s="39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39"/>
      <c r="P233" s="39"/>
      <c r="Q233" s="39"/>
      <c r="R233" s="39"/>
      <c r="S233" s="39"/>
    </row>
    <row r="234" spans="1:19" s="1" customFormat="1" ht="15" customHeight="1">
      <c r="A234" s="39"/>
      <c r="B234" s="39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39"/>
      <c r="P234" s="39"/>
      <c r="Q234" s="39"/>
      <c r="R234" s="39"/>
      <c r="S234" s="39"/>
    </row>
    <row r="235" spans="1:19" s="1" customFormat="1" ht="15" customHeight="1">
      <c r="A235" s="39"/>
      <c r="B235" s="39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39"/>
      <c r="P235" s="39"/>
      <c r="Q235" s="39"/>
      <c r="R235" s="39"/>
      <c r="S235" s="39"/>
    </row>
    <row r="236" spans="1:19" s="1" customFormat="1" ht="15" customHeight="1">
      <c r="A236" s="39"/>
      <c r="B236" s="39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39"/>
      <c r="P236" s="39"/>
      <c r="Q236" s="39"/>
      <c r="R236" s="39"/>
      <c r="S236" s="39"/>
    </row>
    <row r="237" spans="1:19" s="1" customFormat="1" ht="15" customHeight="1">
      <c r="A237" s="39"/>
      <c r="B237" s="39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39"/>
      <c r="P237" s="39"/>
      <c r="Q237" s="39"/>
      <c r="R237" s="39"/>
      <c r="S237" s="39"/>
    </row>
    <row r="238" spans="1:19" s="1" customFormat="1" ht="15" customHeight="1">
      <c r="A238" s="39"/>
      <c r="B238" s="39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39"/>
      <c r="P238" s="39"/>
      <c r="Q238" s="39"/>
      <c r="R238" s="39"/>
      <c r="S238" s="39"/>
    </row>
    <row r="239" spans="1:19" s="1" customFormat="1" ht="15" customHeight="1">
      <c r="A239" s="39"/>
      <c r="B239" s="39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39"/>
      <c r="P239" s="39"/>
      <c r="Q239" s="39"/>
      <c r="R239" s="39"/>
      <c r="S239" s="39"/>
    </row>
    <row r="240" spans="1:19" s="1" customFormat="1" ht="15" customHeight="1">
      <c r="A240" s="39"/>
      <c r="B240" s="39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39"/>
      <c r="P240" s="39"/>
      <c r="Q240" s="39"/>
      <c r="R240" s="39"/>
      <c r="S240" s="39"/>
    </row>
    <row r="241" spans="1:19" s="1" customFormat="1" ht="15" customHeight="1">
      <c r="A241" s="39"/>
      <c r="B241" s="39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39"/>
      <c r="P241" s="39"/>
      <c r="Q241" s="39"/>
      <c r="R241" s="39"/>
      <c r="S241" s="39"/>
    </row>
    <row r="242" spans="1:19" s="1" customFormat="1" ht="15" customHeight="1">
      <c r="A242" s="39"/>
      <c r="B242" s="39"/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39"/>
      <c r="P242" s="39"/>
      <c r="Q242" s="39"/>
      <c r="R242" s="39"/>
      <c r="S242" s="39"/>
    </row>
    <row r="243" spans="1:19" s="1" customFormat="1" ht="15" customHeight="1">
      <c r="A243" s="39"/>
      <c r="B243" s="39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39"/>
      <c r="P243" s="39"/>
      <c r="Q243" s="39"/>
      <c r="R243" s="39"/>
      <c r="S243" s="39"/>
    </row>
    <row r="244" spans="1:19" s="1" customFormat="1" ht="15" customHeight="1">
      <c r="A244" s="39"/>
      <c r="B244" s="39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39"/>
      <c r="P244" s="39"/>
      <c r="Q244" s="39"/>
      <c r="R244" s="39"/>
      <c r="S244" s="39"/>
    </row>
    <row r="245" spans="1:19" s="1" customFormat="1" ht="15" customHeight="1">
      <c r="A245" s="39"/>
      <c r="B245" s="39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39"/>
      <c r="P245" s="39"/>
      <c r="Q245" s="39"/>
      <c r="R245" s="39"/>
      <c r="S245" s="39"/>
    </row>
    <row r="246" spans="1:19" s="1" customFormat="1" ht="15" customHeight="1">
      <c r="A246" s="39"/>
      <c r="B246" s="39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39"/>
      <c r="P246" s="39"/>
      <c r="Q246" s="39"/>
      <c r="R246" s="39"/>
      <c r="S246" s="39"/>
    </row>
    <row r="247" spans="1:19" s="1" customFormat="1" ht="15" customHeight="1">
      <c r="A247" s="39"/>
      <c r="B247" s="39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39"/>
      <c r="P247" s="39"/>
      <c r="Q247" s="39"/>
      <c r="R247" s="39"/>
      <c r="S247" s="39"/>
    </row>
    <row r="248" spans="1:19" s="1" customFormat="1" ht="15" customHeight="1">
      <c r="A248" s="39"/>
      <c r="B248" s="39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39"/>
      <c r="P248" s="39"/>
      <c r="Q248" s="39"/>
      <c r="R248" s="39"/>
      <c r="S248" s="39"/>
    </row>
    <row r="249" spans="1:19" s="1" customFormat="1" ht="15" customHeight="1">
      <c r="A249" s="39"/>
      <c r="B249" s="39"/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39"/>
      <c r="P249" s="39"/>
      <c r="Q249" s="39"/>
      <c r="R249" s="39"/>
      <c r="S249" s="39"/>
    </row>
    <row r="250" spans="1:19" s="1" customFormat="1" ht="15" customHeight="1">
      <c r="A250" s="39"/>
      <c r="B250" s="39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9"/>
      <c r="Q250" s="39"/>
      <c r="R250" s="39"/>
      <c r="S250" s="39"/>
    </row>
    <row r="251" spans="1:19" s="1" customFormat="1" ht="15" customHeight="1">
      <c r="A251" s="39"/>
      <c r="B251" s="39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</row>
    <row r="252" spans="1:19" s="1" customFormat="1" ht="15" customHeight="1">
      <c r="A252" s="39"/>
      <c r="B252" s="39"/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39"/>
      <c r="P252" s="39"/>
      <c r="Q252" s="39"/>
      <c r="R252" s="39"/>
      <c r="S252" s="39"/>
    </row>
    <row r="253" spans="1:19" s="1" customFormat="1" ht="15" customHeight="1">
      <c r="A253" s="39"/>
      <c r="B253" s="39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39"/>
      <c r="P253" s="39"/>
      <c r="Q253" s="39"/>
      <c r="R253" s="39"/>
      <c r="S253" s="39"/>
    </row>
    <row r="254" spans="1:19" s="1" customFormat="1" ht="15" customHeight="1">
      <c r="A254" s="39"/>
      <c r="B254" s="39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39"/>
      <c r="Q254" s="39"/>
      <c r="R254" s="39"/>
      <c r="S254" s="39"/>
    </row>
    <row r="255" spans="1:19" s="1" customFormat="1" ht="15" customHeight="1">
      <c r="A255" s="39"/>
      <c r="B255" s="39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39"/>
      <c r="Q255" s="39"/>
      <c r="R255" s="39"/>
      <c r="S255" s="39"/>
    </row>
    <row r="256" spans="1:19" s="1" customFormat="1" ht="15" customHeight="1">
      <c r="A256" s="39"/>
      <c r="B256" s="39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39"/>
      <c r="Q256" s="39"/>
      <c r="R256" s="39"/>
      <c r="S256" s="39"/>
    </row>
    <row r="257" spans="1:19" s="1" customFormat="1" ht="15" customHeight="1">
      <c r="A257" s="39"/>
      <c r="B257" s="39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39"/>
      <c r="Q257" s="39"/>
      <c r="R257" s="39"/>
      <c r="S257" s="39"/>
    </row>
    <row r="258" spans="1:19" s="1" customFormat="1" ht="15" customHeight="1">
      <c r="A258" s="39"/>
      <c r="B258" s="39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39"/>
      <c r="Q258" s="39"/>
      <c r="R258" s="39"/>
      <c r="S258" s="39"/>
    </row>
    <row r="259" spans="1:19" s="1" customFormat="1" ht="15" customHeight="1">
      <c r="A259" s="39"/>
      <c r="B259" s="39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39"/>
      <c r="Q259" s="39"/>
      <c r="R259" s="39"/>
      <c r="S259" s="39"/>
    </row>
    <row r="260" spans="1:19" s="1" customFormat="1" ht="15" customHeight="1">
      <c r="A260" s="39"/>
      <c r="B260" s="39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39"/>
      <c r="Q260" s="39"/>
      <c r="R260" s="39"/>
      <c r="S260" s="39"/>
    </row>
    <row r="261" spans="1:19" s="1" customFormat="1" ht="15" customHeight="1">
      <c r="A261" s="39"/>
      <c r="B261" s="39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39"/>
      <c r="P261" s="39"/>
      <c r="Q261" s="39"/>
      <c r="R261" s="39"/>
      <c r="S261" s="39"/>
    </row>
    <row r="262" spans="1:19" s="1" customFormat="1" ht="15" customHeight="1">
      <c r="A262" s="39"/>
      <c r="B262" s="39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39"/>
      <c r="P262" s="39"/>
      <c r="Q262" s="39"/>
      <c r="R262" s="39"/>
      <c r="S262" s="39"/>
    </row>
    <row r="263" spans="1:19" s="1" customFormat="1" ht="15" customHeight="1">
      <c r="A263" s="39"/>
      <c r="B263" s="39"/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39"/>
      <c r="P263" s="39"/>
      <c r="Q263" s="39"/>
      <c r="R263" s="39"/>
      <c r="S263" s="39"/>
    </row>
    <row r="264" spans="1:19" s="1" customFormat="1" ht="15" customHeight="1">
      <c r="A264" s="39"/>
      <c r="B264" s="39"/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39"/>
      <c r="P264" s="39"/>
      <c r="Q264" s="39"/>
      <c r="R264" s="39"/>
      <c r="S264" s="39"/>
    </row>
    <row r="265" spans="1:19" s="1" customFormat="1" ht="15" customHeight="1">
      <c r="A265" s="39"/>
      <c r="B265" s="39"/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39"/>
      <c r="P265" s="39"/>
      <c r="Q265" s="39"/>
      <c r="R265" s="39"/>
      <c r="S265" s="39"/>
    </row>
    <row r="266" spans="1:19" s="1" customFormat="1" ht="15" customHeight="1">
      <c r="A266" s="39"/>
      <c r="B266" s="39"/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39"/>
      <c r="Q266" s="39"/>
      <c r="R266" s="39"/>
      <c r="S266" s="39"/>
    </row>
    <row r="267" spans="1:19" s="1" customFormat="1" ht="15" customHeight="1">
      <c r="A267" s="39"/>
      <c r="B267" s="39"/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39"/>
      <c r="P267" s="39"/>
      <c r="Q267" s="39"/>
      <c r="R267" s="39"/>
      <c r="S267" s="39"/>
    </row>
    <row r="268" spans="1:19" s="1" customFormat="1" ht="15" customHeight="1">
      <c r="A268" s="39"/>
      <c r="B268" s="39"/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39"/>
      <c r="P268" s="39"/>
      <c r="Q268" s="39"/>
      <c r="R268" s="39"/>
      <c r="S268" s="39"/>
    </row>
    <row r="269" spans="1:19" s="1" customFormat="1" ht="15" customHeight="1">
      <c r="A269" s="39"/>
      <c r="B269" s="39"/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39"/>
      <c r="P269" s="39"/>
      <c r="Q269" s="39"/>
      <c r="R269" s="39"/>
      <c r="S269" s="39"/>
    </row>
    <row r="270" spans="1:19" s="1" customFormat="1" ht="15" customHeight="1">
      <c r="A270" s="39"/>
      <c r="B270" s="39"/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39"/>
      <c r="P270" s="39"/>
      <c r="Q270" s="39"/>
      <c r="R270" s="39"/>
      <c r="S270" s="39"/>
    </row>
    <row r="271" spans="1:19" s="1" customFormat="1" ht="15" customHeight="1">
      <c r="A271" s="39"/>
      <c r="B271" s="39"/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39"/>
      <c r="P271" s="39"/>
      <c r="Q271" s="39"/>
      <c r="R271" s="39"/>
      <c r="S271" s="39"/>
    </row>
    <row r="272" spans="1:19" s="1" customFormat="1" ht="15" customHeight="1">
      <c r="A272" s="39"/>
      <c r="B272" s="39"/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39"/>
      <c r="P272" s="39"/>
      <c r="Q272" s="39"/>
      <c r="R272" s="39"/>
      <c r="S272" s="39"/>
    </row>
    <row r="273" spans="1:19" s="1" customFormat="1" ht="15" customHeight="1">
      <c r="A273" s="39"/>
      <c r="B273" s="39"/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39"/>
      <c r="P273" s="39"/>
      <c r="Q273" s="39"/>
      <c r="R273" s="39"/>
      <c r="S273" s="39"/>
    </row>
    <row r="274" spans="1:19" s="1" customFormat="1" ht="15" customHeight="1">
      <c r="A274" s="39"/>
      <c r="B274" s="39"/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39"/>
      <c r="P274" s="39"/>
      <c r="Q274" s="39"/>
      <c r="R274" s="39"/>
      <c r="S274" s="39"/>
    </row>
    <row r="275" spans="1:19" s="1" customFormat="1" ht="15" customHeight="1">
      <c r="A275" s="39"/>
      <c r="B275" s="39"/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39"/>
      <c r="P275" s="39"/>
      <c r="Q275" s="39"/>
      <c r="R275" s="39"/>
      <c r="S275" s="39"/>
    </row>
    <row r="276" spans="1:19" s="1" customFormat="1" ht="15" customHeight="1">
      <c r="A276" s="39"/>
      <c r="B276" s="39"/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39"/>
      <c r="P276" s="39"/>
      <c r="Q276" s="39"/>
      <c r="R276" s="39"/>
      <c r="S276" s="39"/>
    </row>
    <row r="277" spans="1:19" s="1" customFormat="1" ht="15" customHeight="1">
      <c r="A277" s="39"/>
      <c r="B277" s="39"/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39"/>
      <c r="P277" s="39"/>
      <c r="Q277" s="39"/>
      <c r="R277" s="39"/>
      <c r="S277" s="39"/>
    </row>
    <row r="278" spans="1:19" s="1" customFormat="1" ht="15" customHeight="1">
      <c r="A278" s="39"/>
      <c r="B278" s="39"/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39"/>
      <c r="P278" s="39"/>
      <c r="Q278" s="39"/>
      <c r="R278" s="39"/>
      <c r="S278" s="39"/>
    </row>
    <row r="279" spans="1:19" s="1" customFormat="1" ht="15" customHeight="1">
      <c r="A279" s="39"/>
      <c r="B279" s="39"/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39"/>
      <c r="P279" s="39"/>
      <c r="Q279" s="39"/>
      <c r="R279" s="39"/>
      <c r="S279" s="39"/>
    </row>
    <row r="280" spans="1:19" s="1" customFormat="1" ht="15" customHeight="1">
      <c r="A280" s="39"/>
      <c r="B280" s="39"/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39"/>
      <c r="P280" s="39"/>
      <c r="Q280" s="39"/>
      <c r="R280" s="39"/>
      <c r="S280" s="39"/>
    </row>
    <row r="281" spans="1:19" s="1" customFormat="1" ht="15" customHeight="1">
      <c r="A281" s="39"/>
      <c r="B281" s="39"/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39"/>
      <c r="P281" s="39"/>
      <c r="Q281" s="39"/>
      <c r="R281" s="39"/>
      <c r="S281" s="39"/>
    </row>
    <row r="282" spans="1:19" s="1" customFormat="1" ht="15" customHeight="1">
      <c r="A282" s="39"/>
      <c r="B282" s="39"/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39"/>
      <c r="P282" s="39"/>
      <c r="Q282" s="39"/>
      <c r="R282" s="39"/>
      <c r="S282" s="39"/>
    </row>
    <row r="283" spans="1:19" s="1" customFormat="1" ht="15" customHeight="1">
      <c r="A283" s="39"/>
      <c r="B283" s="39"/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39"/>
      <c r="P283" s="39"/>
      <c r="Q283" s="39"/>
      <c r="R283" s="39"/>
      <c r="S283" s="39"/>
    </row>
    <row r="284" spans="1:19" s="1" customFormat="1" ht="15" customHeight="1">
      <c r="A284" s="39"/>
      <c r="B284" s="39"/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39"/>
      <c r="P284" s="39"/>
      <c r="Q284" s="39"/>
      <c r="R284" s="39"/>
      <c r="S284" s="39"/>
    </row>
    <row r="285" spans="1:19" s="1" customFormat="1" ht="15" customHeight="1">
      <c r="A285" s="39"/>
      <c r="B285" s="39"/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39"/>
      <c r="P285" s="39"/>
      <c r="Q285" s="39"/>
      <c r="R285" s="39"/>
      <c r="S285" s="39"/>
    </row>
    <row r="286" spans="1:19" s="1" customFormat="1" ht="15" customHeight="1">
      <c r="A286" s="39"/>
      <c r="B286" s="39"/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39"/>
      <c r="P286" s="39"/>
      <c r="Q286" s="39"/>
      <c r="R286" s="39"/>
      <c r="S286" s="39"/>
    </row>
    <row r="287" spans="1:19" s="1" customFormat="1" ht="15" customHeight="1">
      <c r="A287" s="39"/>
      <c r="B287" s="39"/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39"/>
      <c r="P287" s="39"/>
      <c r="Q287" s="39"/>
      <c r="R287" s="39"/>
      <c r="S287" s="39"/>
    </row>
    <row r="288" spans="1:19" s="1" customFormat="1" ht="15" customHeight="1">
      <c r="A288" s="39"/>
      <c r="B288" s="39"/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39"/>
      <c r="P288" s="39"/>
      <c r="Q288" s="39"/>
      <c r="R288" s="39"/>
      <c r="S288" s="39"/>
    </row>
    <row r="289" spans="1:19" s="1" customFormat="1" ht="15" customHeight="1">
      <c r="A289" s="39"/>
      <c r="B289" s="39"/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39"/>
      <c r="P289" s="39"/>
      <c r="Q289" s="39"/>
      <c r="R289" s="39"/>
      <c r="S289" s="39"/>
    </row>
    <row r="290" spans="1:19" s="1" customFormat="1" ht="15" customHeight="1">
      <c r="A290" s="39"/>
      <c r="B290" s="39"/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39"/>
      <c r="P290" s="39"/>
      <c r="Q290" s="39"/>
      <c r="R290" s="39"/>
      <c r="S290" s="39"/>
    </row>
    <row r="291" spans="1:19" s="1" customFormat="1" ht="15" customHeight="1">
      <c r="A291" s="39"/>
      <c r="B291" s="39"/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39"/>
      <c r="P291" s="39"/>
      <c r="Q291" s="39"/>
      <c r="R291" s="39"/>
      <c r="S291" s="39"/>
    </row>
    <row r="292" spans="1:19" s="1" customFormat="1" ht="15" customHeight="1">
      <c r="A292" s="39"/>
      <c r="B292" s="39"/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39"/>
      <c r="P292" s="39"/>
      <c r="Q292" s="39"/>
      <c r="R292" s="39"/>
      <c r="S292" s="39"/>
    </row>
    <row r="293" spans="1:19" s="1" customFormat="1" ht="15" customHeight="1">
      <c r="A293" s="39"/>
      <c r="B293" s="39"/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39"/>
      <c r="P293" s="39"/>
      <c r="Q293" s="39"/>
      <c r="R293" s="39"/>
      <c r="S293" s="39"/>
    </row>
    <row r="294" spans="1:19" s="1" customFormat="1" ht="15" customHeight="1">
      <c r="A294" s="39"/>
      <c r="B294" s="39"/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39"/>
      <c r="P294" s="39"/>
      <c r="Q294" s="39"/>
      <c r="R294" s="39"/>
      <c r="S294" s="39"/>
    </row>
    <row r="295" spans="1:19" s="1" customFormat="1" ht="15" customHeight="1">
      <c r="A295" s="39"/>
      <c r="B295" s="39"/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39"/>
      <c r="P295" s="39"/>
      <c r="Q295" s="39"/>
      <c r="R295" s="39"/>
      <c r="S295" s="39"/>
    </row>
    <row r="296" spans="1:19" s="1" customFormat="1" ht="15" customHeight="1">
      <c r="A296" s="39"/>
      <c r="B296" s="39"/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39"/>
      <c r="P296" s="39"/>
      <c r="Q296" s="39"/>
      <c r="R296" s="39"/>
      <c r="S296" s="39"/>
    </row>
    <row r="297" spans="1:19" s="1" customFormat="1" ht="15" customHeight="1">
      <c r="A297" s="39"/>
      <c r="B297" s="39"/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39"/>
      <c r="P297" s="39"/>
      <c r="Q297" s="39"/>
      <c r="R297" s="39"/>
      <c r="S297" s="39"/>
    </row>
    <row r="298" spans="1:19" s="1" customFormat="1" ht="15" customHeight="1">
      <c r="A298" s="39"/>
      <c r="B298" s="39"/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39"/>
      <c r="P298" s="39"/>
      <c r="Q298" s="39"/>
      <c r="R298" s="39"/>
      <c r="S298" s="39"/>
    </row>
    <row r="299" spans="1:19" s="1" customFormat="1" ht="15" customHeight="1">
      <c r="A299" s="39"/>
      <c r="B299" s="39"/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39"/>
      <c r="P299" s="39"/>
      <c r="Q299" s="39"/>
      <c r="R299" s="39"/>
      <c r="S299" s="39"/>
    </row>
    <row r="300" spans="1:19" s="1" customFormat="1" ht="15" customHeight="1">
      <c r="A300" s="39"/>
      <c r="B300" s="39"/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39"/>
      <c r="P300" s="39"/>
      <c r="Q300" s="39"/>
      <c r="R300" s="39"/>
      <c r="S300" s="39"/>
    </row>
    <row r="301" spans="1:19" s="1" customFormat="1" ht="15" customHeight="1">
      <c r="A301" s="39"/>
      <c r="B301" s="39"/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39"/>
      <c r="P301" s="39"/>
      <c r="Q301" s="39"/>
      <c r="R301" s="39"/>
      <c r="S301" s="39"/>
    </row>
    <row r="302" spans="1:19" s="1" customFormat="1" ht="15" customHeight="1">
      <c r="A302" s="39"/>
      <c r="B302" s="39"/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39"/>
      <c r="P302" s="39"/>
      <c r="Q302" s="39"/>
      <c r="R302" s="39"/>
      <c r="S302" s="39"/>
    </row>
    <row r="303" spans="1:19" s="1" customFormat="1" ht="15" customHeight="1">
      <c r="A303" s="39"/>
      <c r="B303" s="39"/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39"/>
      <c r="P303" s="39"/>
      <c r="Q303" s="39"/>
      <c r="R303" s="39"/>
      <c r="S303" s="39"/>
    </row>
    <row r="304" spans="1:19" s="1" customFormat="1" ht="15" customHeight="1">
      <c r="A304" s="39"/>
      <c r="B304" s="39"/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39"/>
      <c r="P304" s="39"/>
      <c r="Q304" s="39"/>
      <c r="R304" s="39"/>
      <c r="S304" s="39"/>
    </row>
    <row r="305" spans="1:19" s="1" customFormat="1" ht="15" customHeight="1">
      <c r="A305" s="39"/>
      <c r="B305" s="39"/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39"/>
      <c r="P305" s="39"/>
      <c r="Q305" s="39"/>
      <c r="R305" s="39"/>
      <c r="S305" s="39"/>
    </row>
    <row r="306" spans="1:19" s="1" customFormat="1" ht="15" customHeight="1">
      <c r="A306" s="39"/>
      <c r="B306" s="39"/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39"/>
      <c r="P306" s="39"/>
      <c r="Q306" s="39"/>
      <c r="R306" s="39"/>
      <c r="S306" s="39"/>
    </row>
    <row r="307" spans="1:19" s="1" customFormat="1" ht="15" customHeight="1">
      <c r="A307" s="39"/>
      <c r="B307" s="39"/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39"/>
      <c r="P307" s="39"/>
      <c r="Q307" s="39"/>
      <c r="R307" s="39"/>
      <c r="S307" s="39"/>
    </row>
    <row r="308" spans="1:19" s="1" customFormat="1" ht="15" customHeight="1">
      <c r="A308" s="39"/>
      <c r="B308" s="39"/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39"/>
      <c r="P308" s="39"/>
      <c r="Q308" s="39"/>
      <c r="R308" s="39"/>
      <c r="S308" s="39"/>
    </row>
    <row r="309" spans="1:19" s="1" customFormat="1" ht="15" customHeight="1">
      <c r="A309" s="39"/>
      <c r="B309" s="39"/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39"/>
      <c r="P309" s="39"/>
      <c r="Q309" s="39"/>
      <c r="R309" s="39"/>
      <c r="S309" s="39"/>
    </row>
    <row r="310" spans="1:19" s="1" customFormat="1" ht="15" customHeight="1">
      <c r="A310" s="39"/>
      <c r="B310" s="39"/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39"/>
      <c r="P310" s="39"/>
      <c r="Q310" s="39"/>
      <c r="R310" s="39"/>
      <c r="S310" s="39"/>
    </row>
    <row r="311" spans="1:19" s="1" customFormat="1" ht="15" customHeight="1">
      <c r="A311" s="39"/>
      <c r="B311" s="39"/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39"/>
      <c r="P311" s="39"/>
      <c r="Q311" s="39"/>
      <c r="R311" s="39"/>
      <c r="S311" s="39"/>
    </row>
    <row r="312" spans="1:19" s="1" customFormat="1" ht="15" customHeight="1">
      <c r="A312" s="39"/>
      <c r="B312" s="39"/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39"/>
      <c r="P312" s="39"/>
      <c r="Q312" s="39"/>
      <c r="R312" s="39"/>
      <c r="S312" s="39"/>
    </row>
    <row r="313" spans="1:19" s="1" customFormat="1" ht="15" customHeight="1">
      <c r="A313" s="39"/>
      <c r="B313" s="39"/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39"/>
      <c r="P313" s="39"/>
      <c r="Q313" s="39"/>
      <c r="R313" s="39"/>
      <c r="S313" s="39"/>
    </row>
    <row r="314" spans="1:19" s="1" customFormat="1" ht="15" customHeight="1">
      <c r="A314" s="39"/>
      <c r="B314" s="39"/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39"/>
      <c r="P314" s="39"/>
      <c r="Q314" s="39"/>
      <c r="R314" s="39"/>
      <c r="S314" s="39"/>
    </row>
    <row r="315" spans="1:19" s="1" customFormat="1" ht="15" customHeight="1">
      <c r="A315" s="39"/>
      <c r="B315" s="39"/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39"/>
      <c r="P315" s="39"/>
      <c r="Q315" s="39"/>
      <c r="R315" s="39"/>
      <c r="S315" s="39"/>
    </row>
    <row r="316" spans="1:19" s="1" customFormat="1" ht="15" customHeight="1">
      <c r="A316" s="39"/>
      <c r="B316" s="39"/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39"/>
      <c r="P316" s="39"/>
      <c r="Q316" s="39"/>
      <c r="R316" s="39"/>
      <c r="S316" s="39"/>
    </row>
    <row r="317" spans="1:19" s="1" customFormat="1" ht="15" customHeight="1">
      <c r="A317" s="39"/>
      <c r="B317" s="39"/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39"/>
      <c r="P317" s="39"/>
      <c r="Q317" s="39"/>
      <c r="R317" s="39"/>
      <c r="S317" s="39"/>
    </row>
    <row r="318" spans="1:19" s="1" customFormat="1" ht="15" customHeight="1">
      <c r="A318" s="39"/>
      <c r="B318" s="39"/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39"/>
      <c r="P318" s="39"/>
      <c r="Q318" s="39"/>
      <c r="R318" s="39"/>
      <c r="S318" s="39"/>
    </row>
    <row r="319" spans="1:19" s="1" customFormat="1" ht="15" customHeight="1">
      <c r="A319" s="39"/>
      <c r="B319" s="39"/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39"/>
      <c r="P319" s="39"/>
      <c r="Q319" s="39"/>
      <c r="R319" s="39"/>
      <c r="S319" s="39"/>
    </row>
    <row r="320" spans="1:19" s="1" customFormat="1" ht="15" customHeight="1">
      <c r="A320" s="39"/>
      <c r="B320" s="39"/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39"/>
      <c r="P320" s="39"/>
      <c r="Q320" s="39"/>
      <c r="R320" s="39"/>
      <c r="S320" s="39"/>
    </row>
    <row r="321" spans="1:19" s="1" customFormat="1" ht="15" customHeight="1">
      <c r="A321" s="39"/>
      <c r="B321" s="39"/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39"/>
      <c r="P321" s="39"/>
      <c r="Q321" s="39"/>
      <c r="R321" s="39"/>
      <c r="S321" s="39"/>
    </row>
    <row r="322" spans="1:19" s="1" customFormat="1" ht="15" customHeight="1">
      <c r="A322" s="39"/>
      <c r="B322" s="39"/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39"/>
      <c r="P322" s="39"/>
      <c r="Q322" s="39"/>
      <c r="R322" s="39"/>
      <c r="S322" s="39"/>
    </row>
    <row r="323" spans="1:19" s="1" customFormat="1" ht="15" customHeight="1">
      <c r="A323" s="39"/>
      <c r="B323" s="39"/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39"/>
      <c r="P323" s="39"/>
      <c r="Q323" s="39"/>
      <c r="R323" s="39"/>
      <c r="S323" s="39"/>
    </row>
    <row r="324" spans="1:19" s="1" customFormat="1" ht="15" customHeight="1">
      <c r="A324" s="39"/>
      <c r="B324" s="39"/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39"/>
      <c r="P324" s="39"/>
      <c r="Q324" s="39"/>
      <c r="R324" s="39"/>
      <c r="S324" s="39"/>
    </row>
    <row r="325" spans="1:19" s="1" customFormat="1" ht="15" customHeight="1">
      <c r="A325" s="39"/>
      <c r="B325" s="39"/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39"/>
      <c r="P325" s="39"/>
      <c r="Q325" s="39"/>
      <c r="R325" s="39"/>
      <c r="S325" s="39"/>
    </row>
    <row r="326" spans="1:19" s="1" customFormat="1" ht="15" customHeight="1">
      <c r="A326" s="39"/>
      <c r="B326" s="39"/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39"/>
      <c r="P326" s="39"/>
      <c r="Q326" s="39"/>
      <c r="R326" s="39"/>
      <c r="S326" s="39"/>
    </row>
    <row r="327" spans="1:19" s="1" customFormat="1" ht="15" customHeight="1">
      <c r="A327" s="39"/>
      <c r="B327" s="39"/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39"/>
      <c r="P327" s="39"/>
      <c r="Q327" s="39"/>
      <c r="R327" s="39"/>
      <c r="S327" s="39"/>
    </row>
    <row r="328" spans="1:19" s="1" customFormat="1" ht="15" customHeight="1">
      <c r="A328" s="39"/>
      <c r="B328" s="39"/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39"/>
      <c r="P328" s="39"/>
      <c r="Q328" s="39"/>
      <c r="R328" s="39"/>
      <c r="S328" s="39"/>
    </row>
    <row r="329" spans="1:19" s="1" customFormat="1" ht="15" customHeight="1">
      <c r="A329" s="39"/>
      <c r="B329" s="39"/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39"/>
      <c r="P329" s="39"/>
      <c r="Q329" s="39"/>
      <c r="R329" s="39"/>
      <c r="S329" s="39"/>
    </row>
    <row r="330" spans="1:19" s="1" customFormat="1" ht="15" customHeight="1">
      <c r="A330" s="39"/>
      <c r="B330" s="39"/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39"/>
      <c r="P330" s="39"/>
      <c r="Q330" s="39"/>
      <c r="R330" s="39"/>
      <c r="S330" s="39"/>
    </row>
    <row r="331" spans="1:19" s="1" customFormat="1" ht="15" customHeight="1">
      <c r="A331" s="39"/>
      <c r="B331" s="39"/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39"/>
      <c r="P331" s="39"/>
      <c r="Q331" s="39"/>
      <c r="R331" s="39"/>
      <c r="S331" s="39"/>
    </row>
    <row r="332" spans="1:19" s="1" customFormat="1" ht="15" customHeight="1">
      <c r="A332" s="39"/>
      <c r="B332" s="39"/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39"/>
      <c r="P332" s="39"/>
      <c r="Q332" s="39"/>
      <c r="R332" s="39"/>
      <c r="S332" s="39"/>
    </row>
    <row r="333" spans="1:19" s="1" customFormat="1" ht="15" customHeight="1">
      <c r="A333" s="39"/>
      <c r="B333" s="39"/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39"/>
      <c r="P333" s="39"/>
      <c r="Q333" s="39"/>
      <c r="R333" s="39"/>
      <c r="S333" s="39"/>
    </row>
    <row r="334" spans="1:19" s="1" customFormat="1" ht="15" customHeight="1">
      <c r="A334" s="39"/>
      <c r="B334" s="39"/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39"/>
      <c r="P334" s="39"/>
      <c r="Q334" s="39"/>
      <c r="R334" s="39"/>
      <c r="S334" s="39"/>
    </row>
    <row r="335" spans="1:19" s="1" customFormat="1" ht="15" customHeight="1">
      <c r="A335" s="39"/>
      <c r="B335" s="39"/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39"/>
      <c r="P335" s="39"/>
      <c r="Q335" s="39"/>
      <c r="R335" s="39"/>
      <c r="S335" s="39"/>
    </row>
    <row r="336" spans="1:19" s="1" customFormat="1" ht="15" customHeight="1">
      <c r="A336" s="39"/>
      <c r="B336" s="39"/>
      <c r="C336" s="39"/>
      <c r="D336" s="39"/>
      <c r="E336" s="39"/>
      <c r="F336" s="39"/>
      <c r="G336" s="39"/>
      <c r="H336" s="39"/>
      <c r="I336" s="39"/>
      <c r="J336" s="39"/>
      <c r="K336" s="39"/>
      <c r="L336" s="39"/>
      <c r="M336" s="39"/>
      <c r="N336" s="39"/>
      <c r="O336" s="39"/>
      <c r="P336" s="39"/>
      <c r="Q336" s="39"/>
      <c r="R336" s="39"/>
      <c r="S336" s="39"/>
    </row>
    <row r="337" spans="1:19" s="1" customFormat="1" ht="15" customHeight="1">
      <c r="A337" s="39"/>
      <c r="B337" s="39"/>
      <c r="C337" s="39"/>
      <c r="D337" s="39"/>
      <c r="E337" s="39"/>
      <c r="F337" s="39"/>
      <c r="G337" s="39"/>
      <c r="H337" s="39"/>
      <c r="I337" s="39"/>
      <c r="J337" s="39"/>
      <c r="K337" s="39"/>
      <c r="L337" s="39"/>
      <c r="M337" s="39"/>
      <c r="N337" s="39"/>
      <c r="O337" s="39"/>
      <c r="P337" s="39"/>
      <c r="Q337" s="39"/>
      <c r="R337" s="39"/>
      <c r="S337" s="39"/>
    </row>
    <row r="338" spans="1:19" s="1" customFormat="1" ht="15" customHeight="1">
      <c r="A338" s="39"/>
      <c r="B338" s="39"/>
      <c r="C338" s="39"/>
      <c r="D338" s="39"/>
      <c r="E338" s="39"/>
      <c r="F338" s="39"/>
      <c r="G338" s="39"/>
      <c r="H338" s="39"/>
      <c r="I338" s="39"/>
      <c r="J338" s="39"/>
      <c r="K338" s="39"/>
      <c r="L338" s="39"/>
      <c r="M338" s="39"/>
      <c r="N338" s="39"/>
      <c r="O338" s="39"/>
      <c r="P338" s="39"/>
      <c r="Q338" s="39"/>
      <c r="R338" s="39"/>
      <c r="S338" s="39"/>
    </row>
    <row r="339" spans="1:19" s="1" customFormat="1" ht="15" customHeight="1">
      <c r="A339" s="39"/>
      <c r="B339" s="39"/>
      <c r="C339" s="39"/>
      <c r="D339" s="39"/>
      <c r="E339" s="39"/>
      <c r="F339" s="39"/>
      <c r="G339" s="39"/>
      <c r="H339" s="39"/>
      <c r="I339" s="39"/>
      <c r="J339" s="39"/>
      <c r="K339" s="39"/>
      <c r="L339" s="39"/>
      <c r="M339" s="39"/>
      <c r="N339" s="39"/>
      <c r="O339" s="39"/>
      <c r="P339" s="39"/>
      <c r="Q339" s="39"/>
      <c r="R339" s="39"/>
      <c r="S339" s="39"/>
    </row>
    <row r="340" spans="1:19" s="1" customFormat="1" ht="15" customHeight="1">
      <c r="A340" s="39"/>
      <c r="B340" s="39"/>
      <c r="C340" s="39"/>
      <c r="D340" s="39"/>
      <c r="E340" s="39"/>
      <c r="F340" s="39"/>
      <c r="G340" s="39"/>
      <c r="H340" s="39"/>
      <c r="I340" s="39"/>
      <c r="J340" s="39"/>
      <c r="K340" s="39"/>
      <c r="L340" s="39"/>
      <c r="M340" s="39"/>
      <c r="N340" s="39"/>
      <c r="O340" s="39"/>
      <c r="P340" s="39"/>
      <c r="Q340" s="39"/>
      <c r="R340" s="39"/>
      <c r="S340" s="39"/>
    </row>
    <row r="341" spans="1:19" s="1" customFormat="1" ht="15" customHeight="1">
      <c r="A341" s="39"/>
      <c r="B341" s="39"/>
      <c r="C341" s="39"/>
      <c r="D341" s="39"/>
      <c r="E341" s="39"/>
      <c r="F341" s="39"/>
      <c r="G341" s="39"/>
      <c r="H341" s="39"/>
      <c r="I341" s="39"/>
      <c r="J341" s="39"/>
      <c r="K341" s="39"/>
      <c r="L341" s="39"/>
      <c r="M341" s="39"/>
      <c r="N341" s="39"/>
      <c r="O341" s="39"/>
      <c r="P341" s="39"/>
      <c r="Q341" s="39"/>
      <c r="R341" s="39"/>
      <c r="S341" s="39"/>
    </row>
    <row r="342" spans="1:19" s="1" customFormat="1" ht="15" customHeight="1">
      <c r="A342" s="39"/>
      <c r="B342" s="39"/>
      <c r="C342" s="39"/>
      <c r="D342" s="39"/>
      <c r="E342" s="39"/>
      <c r="F342" s="39"/>
      <c r="G342" s="39"/>
      <c r="H342" s="39"/>
      <c r="I342" s="39"/>
      <c r="J342" s="39"/>
      <c r="K342" s="39"/>
      <c r="L342" s="39"/>
      <c r="M342" s="39"/>
      <c r="N342" s="39"/>
      <c r="O342" s="39"/>
      <c r="P342" s="39"/>
      <c r="Q342" s="39"/>
      <c r="R342" s="39"/>
      <c r="S342" s="39"/>
    </row>
    <row r="343" spans="1:19" s="1" customFormat="1" ht="15" customHeight="1">
      <c r="A343" s="39"/>
      <c r="B343" s="39"/>
      <c r="C343" s="39"/>
      <c r="D343" s="39"/>
      <c r="E343" s="39"/>
      <c r="F343" s="39"/>
      <c r="G343" s="39"/>
      <c r="H343" s="39"/>
      <c r="I343" s="39"/>
      <c r="J343" s="39"/>
      <c r="K343" s="39"/>
      <c r="L343" s="39"/>
      <c r="M343" s="39"/>
      <c r="N343" s="39"/>
      <c r="O343" s="39"/>
      <c r="P343" s="39"/>
      <c r="Q343" s="39"/>
      <c r="R343" s="39"/>
      <c r="S343" s="39"/>
    </row>
    <row r="344" spans="1:19" s="1" customFormat="1" ht="15" customHeight="1">
      <c r="A344" s="39"/>
      <c r="B344" s="39"/>
      <c r="C344" s="39"/>
      <c r="D344" s="39"/>
      <c r="E344" s="39"/>
      <c r="F344" s="39"/>
      <c r="G344" s="39"/>
      <c r="H344" s="39"/>
      <c r="I344" s="39"/>
      <c r="J344" s="39"/>
      <c r="K344" s="39"/>
      <c r="L344" s="39"/>
      <c r="M344" s="39"/>
      <c r="N344" s="39"/>
      <c r="O344" s="39"/>
      <c r="P344" s="39"/>
      <c r="Q344" s="39"/>
      <c r="R344" s="39"/>
      <c r="S344" s="39"/>
    </row>
    <row r="345" spans="1:19" s="1" customFormat="1" ht="15" customHeight="1">
      <c r="A345" s="39"/>
      <c r="B345" s="39"/>
      <c r="C345" s="39"/>
      <c r="D345" s="39"/>
      <c r="E345" s="39"/>
      <c r="F345" s="39"/>
      <c r="G345" s="39"/>
      <c r="H345" s="39"/>
      <c r="I345" s="39"/>
      <c r="J345" s="39"/>
      <c r="K345" s="39"/>
      <c r="L345" s="39"/>
      <c r="M345" s="39"/>
      <c r="N345" s="39"/>
      <c r="O345" s="39"/>
      <c r="P345" s="39"/>
      <c r="Q345" s="39"/>
      <c r="R345" s="39"/>
      <c r="S345" s="39"/>
    </row>
    <row r="346" spans="1:19" s="1" customFormat="1" ht="15" customHeight="1">
      <c r="A346" s="39"/>
      <c r="B346" s="39"/>
      <c r="C346" s="39"/>
      <c r="D346" s="39"/>
      <c r="E346" s="39"/>
      <c r="F346" s="39"/>
      <c r="G346" s="39"/>
      <c r="H346" s="39"/>
      <c r="I346" s="39"/>
      <c r="J346" s="39"/>
      <c r="K346" s="39"/>
      <c r="L346" s="39"/>
      <c r="M346" s="39"/>
      <c r="N346" s="39"/>
      <c r="O346" s="39"/>
      <c r="P346" s="39"/>
      <c r="Q346" s="39"/>
      <c r="R346" s="39"/>
      <c r="S346" s="39"/>
    </row>
    <row r="347" spans="1:19" s="1" customFormat="1" ht="15" customHeight="1">
      <c r="A347" s="39"/>
      <c r="B347" s="39"/>
      <c r="C347" s="39"/>
      <c r="D347" s="39"/>
      <c r="E347" s="39"/>
      <c r="F347" s="39"/>
      <c r="G347" s="39"/>
      <c r="H347" s="39"/>
      <c r="I347" s="39"/>
      <c r="J347" s="39"/>
      <c r="K347" s="39"/>
      <c r="L347" s="39"/>
      <c r="M347" s="39"/>
      <c r="N347" s="39"/>
      <c r="O347" s="39"/>
      <c r="P347" s="39"/>
      <c r="Q347" s="39"/>
      <c r="R347" s="39"/>
      <c r="S347" s="39"/>
    </row>
    <row r="348" spans="1:19" s="1" customFormat="1" ht="15" customHeight="1">
      <c r="A348" s="39"/>
      <c r="B348" s="39"/>
      <c r="C348" s="39"/>
      <c r="D348" s="39"/>
      <c r="E348" s="39"/>
      <c r="F348" s="39"/>
      <c r="G348" s="39"/>
      <c r="H348" s="39"/>
      <c r="I348" s="39"/>
      <c r="J348" s="39"/>
      <c r="K348" s="39"/>
      <c r="L348" s="39"/>
      <c r="M348" s="39"/>
      <c r="N348" s="39"/>
      <c r="O348" s="39"/>
      <c r="P348" s="39"/>
      <c r="Q348" s="39"/>
      <c r="R348" s="39"/>
      <c r="S348" s="39"/>
    </row>
    <row r="349" spans="1:19" s="1" customFormat="1" ht="15" customHeight="1">
      <c r="A349" s="39"/>
      <c r="B349" s="39"/>
      <c r="C349" s="39"/>
      <c r="D349" s="39"/>
      <c r="E349" s="39"/>
      <c r="F349" s="39"/>
      <c r="G349" s="39"/>
      <c r="H349" s="39"/>
      <c r="I349" s="39"/>
      <c r="J349" s="39"/>
      <c r="K349" s="39"/>
      <c r="L349" s="39"/>
      <c r="M349" s="39"/>
      <c r="N349" s="39"/>
      <c r="O349" s="39"/>
      <c r="P349" s="39"/>
      <c r="Q349" s="39"/>
      <c r="R349" s="39"/>
      <c r="S349" s="39"/>
    </row>
    <row r="350" spans="1:19" s="1" customFormat="1" ht="15" customHeight="1">
      <c r="A350" s="39"/>
      <c r="B350" s="39"/>
      <c r="C350" s="39"/>
      <c r="D350" s="39"/>
      <c r="E350" s="39"/>
      <c r="F350" s="39"/>
      <c r="G350" s="39"/>
      <c r="H350" s="39"/>
      <c r="I350" s="39"/>
      <c r="J350" s="39"/>
      <c r="K350" s="39"/>
      <c r="L350" s="39"/>
      <c r="M350" s="39"/>
      <c r="N350" s="39"/>
      <c r="O350" s="39"/>
      <c r="P350" s="39"/>
      <c r="Q350" s="39"/>
      <c r="R350" s="39"/>
      <c r="S350" s="39"/>
    </row>
    <row r="351" spans="1:19" s="1" customFormat="1" ht="15" customHeight="1">
      <c r="A351" s="39"/>
      <c r="B351" s="39"/>
      <c r="C351" s="39"/>
      <c r="D351" s="39"/>
      <c r="E351" s="39"/>
      <c r="F351" s="39"/>
      <c r="G351" s="39"/>
      <c r="H351" s="39"/>
      <c r="I351" s="39"/>
      <c r="J351" s="39"/>
      <c r="K351" s="39"/>
      <c r="L351" s="39"/>
      <c r="M351" s="39"/>
      <c r="N351" s="39"/>
      <c r="O351" s="39"/>
      <c r="P351" s="39"/>
      <c r="Q351" s="39"/>
      <c r="R351" s="39"/>
      <c r="S351" s="39"/>
    </row>
    <row r="352" spans="1:19" s="1" customFormat="1" ht="15" customHeight="1">
      <c r="A352" s="39"/>
      <c r="B352" s="39"/>
      <c r="C352" s="39"/>
      <c r="D352" s="39"/>
      <c r="E352" s="39"/>
      <c r="F352" s="39"/>
      <c r="G352" s="39"/>
      <c r="H352" s="39"/>
      <c r="I352" s="39"/>
      <c r="J352" s="39"/>
      <c r="K352" s="39"/>
      <c r="L352" s="39"/>
      <c r="M352" s="39"/>
      <c r="N352" s="39"/>
      <c r="O352" s="39"/>
      <c r="P352" s="39"/>
      <c r="Q352" s="39"/>
      <c r="R352" s="39"/>
      <c r="S352" s="39"/>
    </row>
    <row r="353" spans="1:19" s="1" customFormat="1" ht="15" customHeight="1">
      <c r="A353" s="39"/>
      <c r="B353" s="39"/>
      <c r="C353" s="39"/>
      <c r="D353" s="39"/>
      <c r="E353" s="39"/>
      <c r="F353" s="39"/>
      <c r="G353" s="39"/>
      <c r="H353" s="39"/>
      <c r="I353" s="39"/>
      <c r="J353" s="39"/>
      <c r="K353" s="39"/>
      <c r="L353" s="39"/>
      <c r="M353" s="39"/>
      <c r="N353" s="39"/>
      <c r="O353" s="39"/>
      <c r="P353" s="39"/>
      <c r="Q353" s="39"/>
      <c r="R353" s="39"/>
      <c r="S353" s="39"/>
    </row>
    <row r="354" spans="1:19" s="1" customFormat="1" ht="15" customHeight="1">
      <c r="A354" s="39"/>
      <c r="B354" s="39"/>
      <c r="C354" s="39"/>
      <c r="D354" s="39"/>
      <c r="E354" s="39"/>
      <c r="F354" s="39"/>
      <c r="G354" s="39"/>
      <c r="H354" s="39"/>
      <c r="I354" s="39"/>
      <c r="J354" s="39"/>
      <c r="K354" s="39"/>
      <c r="L354" s="39"/>
      <c r="M354" s="39"/>
      <c r="N354" s="39"/>
      <c r="O354" s="39"/>
      <c r="P354" s="39"/>
      <c r="Q354" s="39"/>
      <c r="R354" s="39"/>
      <c r="S354" s="39"/>
    </row>
    <row r="355" spans="1:19" s="1" customFormat="1" ht="15" customHeight="1">
      <c r="A355" s="39"/>
      <c r="B355" s="39"/>
      <c r="C355" s="39"/>
      <c r="D355" s="39"/>
      <c r="E355" s="39"/>
      <c r="F355" s="39"/>
      <c r="G355" s="39"/>
      <c r="H355" s="39"/>
      <c r="I355" s="39"/>
      <c r="J355" s="39"/>
      <c r="K355" s="39"/>
      <c r="L355" s="39"/>
      <c r="M355" s="39"/>
      <c r="N355" s="39"/>
      <c r="O355" s="39"/>
      <c r="P355" s="39"/>
      <c r="Q355" s="39"/>
      <c r="R355" s="39"/>
      <c r="S355" s="39"/>
    </row>
    <row r="356" spans="1:19" s="1" customFormat="1" ht="15" customHeight="1">
      <c r="A356" s="39"/>
      <c r="B356" s="39"/>
      <c r="C356" s="39"/>
      <c r="D356" s="39"/>
      <c r="E356" s="39"/>
      <c r="F356" s="39"/>
      <c r="G356" s="39"/>
      <c r="H356" s="39"/>
      <c r="I356" s="39"/>
      <c r="J356" s="39"/>
      <c r="K356" s="39"/>
      <c r="L356" s="39"/>
      <c r="M356" s="39"/>
      <c r="N356" s="39"/>
      <c r="O356" s="39"/>
      <c r="P356" s="39"/>
      <c r="Q356" s="39"/>
      <c r="R356" s="39"/>
      <c r="S356" s="39"/>
    </row>
    <row r="357" spans="1:19" s="1" customFormat="1" ht="15" customHeight="1">
      <c r="A357" s="39"/>
      <c r="B357" s="39"/>
      <c r="C357" s="39"/>
      <c r="D357" s="39"/>
      <c r="E357" s="39"/>
      <c r="F357" s="39"/>
      <c r="G357" s="39"/>
      <c r="H357" s="39"/>
      <c r="I357" s="39"/>
      <c r="J357" s="39"/>
      <c r="K357" s="39"/>
      <c r="L357" s="39"/>
      <c r="M357" s="39"/>
      <c r="N357" s="39"/>
      <c r="O357" s="39"/>
      <c r="P357" s="39"/>
      <c r="Q357" s="39"/>
      <c r="R357" s="39"/>
      <c r="S357" s="39"/>
    </row>
    <row r="358" spans="1:19" s="1" customFormat="1" ht="15" customHeight="1">
      <c r="A358" s="39"/>
      <c r="B358" s="39"/>
      <c r="C358" s="39"/>
      <c r="D358" s="39"/>
      <c r="E358" s="39"/>
      <c r="F358" s="39"/>
      <c r="G358" s="39"/>
      <c r="H358" s="39"/>
      <c r="I358" s="39"/>
      <c r="J358" s="39"/>
      <c r="K358" s="39"/>
      <c r="L358" s="39"/>
      <c r="M358" s="39"/>
      <c r="N358" s="39"/>
      <c r="O358" s="39"/>
      <c r="P358" s="39"/>
      <c r="Q358" s="39"/>
      <c r="R358" s="39"/>
      <c r="S358" s="39"/>
    </row>
    <row r="359" spans="1:19" s="1" customFormat="1" ht="15" customHeight="1">
      <c r="A359" s="39"/>
      <c r="B359" s="39"/>
      <c r="C359" s="39"/>
      <c r="D359" s="39"/>
      <c r="E359" s="39"/>
      <c r="F359" s="39"/>
      <c r="G359" s="39"/>
      <c r="H359" s="39"/>
      <c r="I359" s="39"/>
      <c r="J359" s="39"/>
      <c r="K359" s="39"/>
      <c r="L359" s="39"/>
      <c r="M359" s="39"/>
      <c r="N359" s="39"/>
      <c r="O359" s="39"/>
      <c r="P359" s="39"/>
      <c r="Q359" s="39"/>
      <c r="R359" s="39"/>
      <c r="S359" s="39"/>
    </row>
    <row r="360" spans="1:19" s="1" customFormat="1" ht="15" customHeight="1">
      <c r="A360" s="39"/>
      <c r="B360" s="39"/>
      <c r="C360" s="39"/>
      <c r="D360" s="39"/>
      <c r="E360" s="39"/>
      <c r="F360" s="39"/>
      <c r="G360" s="39"/>
      <c r="H360" s="39"/>
      <c r="I360" s="39"/>
      <c r="J360" s="39"/>
      <c r="K360" s="39"/>
      <c r="L360" s="39"/>
      <c r="M360" s="39"/>
      <c r="N360" s="39"/>
      <c r="O360" s="39"/>
      <c r="P360" s="39"/>
      <c r="Q360" s="39"/>
      <c r="R360" s="39"/>
      <c r="S360" s="39"/>
    </row>
    <row r="361" spans="1:19" s="1" customFormat="1" ht="15" customHeight="1">
      <c r="A361" s="39"/>
      <c r="B361" s="39"/>
      <c r="C361" s="39"/>
      <c r="D361" s="39"/>
      <c r="E361" s="39"/>
      <c r="F361" s="39"/>
      <c r="G361" s="39"/>
      <c r="H361" s="39"/>
      <c r="I361" s="39"/>
      <c r="J361" s="39"/>
      <c r="K361" s="39"/>
      <c r="L361" s="39"/>
      <c r="M361" s="39"/>
      <c r="N361" s="39"/>
      <c r="O361" s="39"/>
      <c r="P361" s="39"/>
      <c r="Q361" s="39"/>
      <c r="R361" s="39"/>
      <c r="S361" s="39"/>
    </row>
    <row r="362" spans="1:19" s="1" customFormat="1" ht="15" customHeight="1">
      <c r="A362" s="39"/>
      <c r="B362" s="39"/>
      <c r="C362" s="39"/>
      <c r="D362" s="39"/>
      <c r="E362" s="39"/>
      <c r="F362" s="39"/>
      <c r="G362" s="39"/>
      <c r="H362" s="39"/>
      <c r="I362" s="39"/>
      <c r="J362" s="39"/>
      <c r="K362" s="39"/>
      <c r="L362" s="39"/>
      <c r="M362" s="39"/>
      <c r="N362" s="39"/>
      <c r="O362" s="39"/>
      <c r="P362" s="39"/>
      <c r="Q362" s="39"/>
      <c r="R362" s="39"/>
      <c r="S362" s="39"/>
    </row>
    <row r="363" spans="1:19" s="1" customFormat="1" ht="15" customHeight="1">
      <c r="A363" s="39"/>
      <c r="B363" s="39"/>
      <c r="C363" s="39"/>
      <c r="D363" s="39"/>
      <c r="E363" s="39"/>
      <c r="F363" s="39"/>
      <c r="G363" s="39"/>
      <c r="H363" s="39"/>
      <c r="I363" s="39"/>
      <c r="J363" s="39"/>
      <c r="K363" s="39"/>
      <c r="L363" s="39"/>
      <c r="M363" s="39"/>
      <c r="N363" s="39"/>
      <c r="O363" s="39"/>
      <c r="P363" s="39"/>
      <c r="Q363" s="39"/>
      <c r="R363" s="39"/>
      <c r="S363" s="39"/>
    </row>
    <row r="364" spans="1:19" s="1" customFormat="1" ht="15" customHeight="1">
      <c r="A364" s="39"/>
      <c r="B364" s="39"/>
      <c r="C364" s="39"/>
      <c r="D364" s="39"/>
      <c r="E364" s="39"/>
      <c r="F364" s="39"/>
      <c r="G364" s="39"/>
      <c r="H364" s="39"/>
      <c r="I364" s="39"/>
      <c r="J364" s="39"/>
      <c r="K364" s="39"/>
      <c r="L364" s="39"/>
      <c r="M364" s="39"/>
      <c r="N364" s="39"/>
      <c r="O364" s="39"/>
      <c r="P364" s="39"/>
      <c r="Q364" s="39"/>
      <c r="R364" s="39"/>
      <c r="S364" s="39"/>
    </row>
    <row r="365" spans="1:19" s="1" customFormat="1" ht="15" customHeight="1">
      <c r="A365" s="39"/>
      <c r="B365" s="39"/>
      <c r="C365" s="39"/>
      <c r="D365" s="39"/>
      <c r="E365" s="39"/>
      <c r="F365" s="39"/>
      <c r="G365" s="39"/>
      <c r="H365" s="39"/>
      <c r="I365" s="39"/>
      <c r="J365" s="39"/>
      <c r="K365" s="39"/>
      <c r="L365" s="39"/>
      <c r="M365" s="39"/>
      <c r="N365" s="39"/>
      <c r="O365" s="39"/>
      <c r="P365" s="39"/>
      <c r="Q365" s="39"/>
      <c r="R365" s="39"/>
      <c r="S365" s="39"/>
    </row>
    <row r="366" spans="1:19" s="1" customFormat="1" ht="15" customHeight="1">
      <c r="A366" s="39"/>
      <c r="B366" s="39"/>
      <c r="C366" s="39"/>
      <c r="D366" s="39"/>
      <c r="E366" s="39"/>
      <c r="F366" s="39"/>
      <c r="G366" s="39"/>
      <c r="H366" s="39"/>
      <c r="I366" s="39"/>
      <c r="J366" s="39"/>
      <c r="K366" s="39"/>
      <c r="L366" s="39"/>
      <c r="M366" s="39"/>
      <c r="N366" s="39"/>
      <c r="O366" s="39"/>
      <c r="P366" s="39"/>
      <c r="Q366" s="39"/>
      <c r="R366" s="39"/>
      <c r="S366" s="39"/>
    </row>
    <row r="367" spans="1:19" s="1" customFormat="1" ht="15" customHeight="1">
      <c r="A367" s="39"/>
      <c r="B367" s="39"/>
      <c r="C367" s="39"/>
      <c r="D367" s="39"/>
      <c r="E367" s="39"/>
      <c r="F367" s="39"/>
      <c r="G367" s="39"/>
      <c r="H367" s="39"/>
      <c r="I367" s="39"/>
      <c r="J367" s="39"/>
      <c r="K367" s="39"/>
      <c r="L367" s="39"/>
      <c r="M367" s="39"/>
      <c r="N367" s="39"/>
      <c r="O367" s="39"/>
      <c r="P367" s="39"/>
      <c r="Q367" s="39"/>
      <c r="R367" s="39"/>
      <c r="S367" s="39"/>
    </row>
    <row r="368" spans="1:19" s="1" customFormat="1" ht="15" customHeight="1">
      <c r="A368" s="39"/>
      <c r="B368" s="39"/>
      <c r="C368" s="39"/>
      <c r="D368" s="39"/>
      <c r="E368" s="39"/>
      <c r="F368" s="39"/>
      <c r="G368" s="39"/>
      <c r="H368" s="39"/>
      <c r="I368" s="39"/>
      <c r="J368" s="39"/>
      <c r="K368" s="39"/>
      <c r="L368" s="39"/>
      <c r="M368" s="39"/>
      <c r="N368" s="39"/>
      <c r="O368" s="39"/>
      <c r="P368" s="39"/>
      <c r="Q368" s="39"/>
      <c r="R368" s="39"/>
      <c r="S368" s="39"/>
    </row>
    <row r="369" spans="1:19" s="1" customFormat="1" ht="15" customHeight="1">
      <c r="A369" s="39"/>
      <c r="B369" s="39"/>
      <c r="C369" s="39"/>
      <c r="D369" s="39"/>
      <c r="E369" s="39"/>
      <c r="F369" s="39"/>
      <c r="G369" s="39"/>
      <c r="H369" s="39"/>
      <c r="I369" s="39"/>
      <c r="J369" s="39"/>
      <c r="K369" s="39"/>
      <c r="L369" s="39"/>
      <c r="M369" s="39"/>
      <c r="N369" s="39"/>
      <c r="O369" s="39"/>
      <c r="P369" s="39"/>
      <c r="Q369" s="39"/>
      <c r="R369" s="39"/>
      <c r="S369" s="39"/>
    </row>
    <row r="370" spans="1:19" s="1" customFormat="1" ht="15" customHeight="1">
      <c r="A370" s="39"/>
      <c r="B370" s="39"/>
      <c r="C370" s="39"/>
      <c r="D370" s="39"/>
      <c r="E370" s="39"/>
      <c r="F370" s="39"/>
      <c r="G370" s="39"/>
      <c r="H370" s="39"/>
      <c r="I370" s="39"/>
      <c r="J370" s="39"/>
      <c r="K370" s="39"/>
      <c r="L370" s="39"/>
      <c r="M370" s="39"/>
      <c r="N370" s="39"/>
      <c r="O370" s="39"/>
      <c r="P370" s="39"/>
      <c r="Q370" s="39"/>
      <c r="R370" s="39"/>
      <c r="S370" s="39"/>
    </row>
    <row r="371" spans="1:19" s="1" customFormat="1" ht="15" customHeight="1">
      <c r="A371" s="39"/>
      <c r="B371" s="39"/>
      <c r="C371" s="39"/>
      <c r="D371" s="39"/>
      <c r="E371" s="39"/>
      <c r="F371" s="39"/>
      <c r="G371" s="39"/>
      <c r="H371" s="39"/>
      <c r="I371" s="39"/>
      <c r="J371" s="39"/>
      <c r="K371" s="39"/>
      <c r="L371" s="39"/>
      <c r="M371" s="39"/>
      <c r="N371" s="39"/>
      <c r="O371" s="39"/>
      <c r="P371" s="39"/>
      <c r="Q371" s="39"/>
      <c r="R371" s="39"/>
      <c r="S371" s="39"/>
    </row>
    <row r="372" spans="1:19" s="1" customFormat="1" ht="15" customHeight="1">
      <c r="A372" s="39"/>
      <c r="B372" s="39"/>
      <c r="C372" s="39"/>
      <c r="D372" s="39"/>
      <c r="E372" s="39"/>
      <c r="F372" s="39"/>
      <c r="G372" s="39"/>
      <c r="H372" s="39"/>
      <c r="I372" s="39"/>
      <c r="J372" s="39"/>
      <c r="K372" s="39"/>
      <c r="L372" s="39"/>
      <c r="M372" s="39"/>
      <c r="N372" s="39"/>
      <c r="O372" s="39"/>
      <c r="P372" s="39"/>
      <c r="Q372" s="39"/>
      <c r="R372" s="39"/>
      <c r="S372" s="39"/>
    </row>
    <row r="373" spans="1:19" s="1" customFormat="1" ht="15" customHeight="1">
      <c r="A373" s="39"/>
      <c r="B373" s="39"/>
      <c r="C373" s="39"/>
      <c r="D373" s="39"/>
      <c r="E373" s="39"/>
      <c r="F373" s="39"/>
      <c r="G373" s="39"/>
      <c r="H373" s="39"/>
      <c r="I373" s="39"/>
      <c r="J373" s="39"/>
      <c r="K373" s="39"/>
      <c r="L373" s="39"/>
      <c r="M373" s="39"/>
      <c r="N373" s="39"/>
      <c r="O373" s="39"/>
      <c r="P373" s="39"/>
      <c r="Q373" s="39"/>
      <c r="R373" s="39"/>
      <c r="S373" s="39"/>
    </row>
    <row r="374" spans="1:19" s="1" customFormat="1" ht="15" customHeight="1">
      <c r="A374" s="39"/>
      <c r="B374" s="39"/>
      <c r="C374" s="39"/>
      <c r="D374" s="39"/>
      <c r="E374" s="39"/>
      <c r="F374" s="39"/>
      <c r="G374" s="39"/>
      <c r="H374" s="39"/>
      <c r="I374" s="39"/>
      <c r="J374" s="39"/>
      <c r="K374" s="39"/>
      <c r="L374" s="39"/>
      <c r="M374" s="39"/>
      <c r="N374" s="39"/>
      <c r="O374" s="39"/>
      <c r="P374" s="39"/>
      <c r="Q374" s="39"/>
      <c r="R374" s="39"/>
      <c r="S374" s="39"/>
    </row>
    <row r="375" spans="1:19" s="1" customFormat="1" ht="15" customHeight="1">
      <c r="A375" s="39"/>
      <c r="B375" s="39"/>
      <c r="C375" s="39"/>
      <c r="D375" s="39"/>
      <c r="E375" s="39"/>
      <c r="F375" s="39"/>
      <c r="G375" s="39"/>
      <c r="H375" s="39"/>
      <c r="I375" s="39"/>
      <c r="J375" s="39"/>
      <c r="K375" s="39"/>
      <c r="L375" s="39"/>
      <c r="M375" s="39"/>
      <c r="N375" s="39"/>
      <c r="O375" s="39"/>
      <c r="P375" s="39"/>
      <c r="Q375" s="39"/>
      <c r="R375" s="39"/>
      <c r="S375" s="39"/>
    </row>
    <row r="376" spans="1:19" s="1" customFormat="1" ht="15" customHeight="1">
      <c r="A376" s="39"/>
      <c r="B376" s="39"/>
      <c r="C376" s="39"/>
      <c r="D376" s="39"/>
      <c r="E376" s="39"/>
      <c r="F376" s="39"/>
      <c r="G376" s="39"/>
      <c r="H376" s="39"/>
      <c r="I376" s="39"/>
      <c r="J376" s="39"/>
      <c r="K376" s="39"/>
      <c r="L376" s="39"/>
      <c r="M376" s="39"/>
      <c r="N376" s="39"/>
      <c r="O376" s="39"/>
      <c r="P376" s="39"/>
      <c r="Q376" s="39"/>
      <c r="R376" s="39"/>
      <c r="S376" s="39"/>
    </row>
    <row r="377" spans="1:19" s="1" customFormat="1" ht="15" customHeight="1">
      <c r="A377" s="39"/>
      <c r="B377" s="39"/>
      <c r="C377" s="39"/>
      <c r="D377" s="39"/>
      <c r="E377" s="39"/>
      <c r="F377" s="39"/>
      <c r="G377" s="39"/>
      <c r="H377" s="39"/>
      <c r="I377" s="39"/>
      <c r="J377" s="39"/>
      <c r="K377" s="39"/>
      <c r="L377" s="39"/>
      <c r="M377" s="39"/>
      <c r="N377" s="39"/>
      <c r="O377" s="39"/>
      <c r="P377" s="39"/>
      <c r="Q377" s="39"/>
      <c r="R377" s="39"/>
      <c r="S377" s="39"/>
    </row>
    <row r="378" spans="1:19" s="1" customFormat="1" ht="15" customHeight="1">
      <c r="A378" s="39"/>
      <c r="B378" s="39"/>
      <c r="C378" s="39"/>
      <c r="D378" s="39"/>
      <c r="E378" s="39"/>
      <c r="F378" s="39"/>
      <c r="G378" s="39"/>
      <c r="H378" s="39"/>
      <c r="I378" s="39"/>
      <c r="J378" s="39"/>
      <c r="K378" s="39"/>
      <c r="L378" s="39"/>
      <c r="M378" s="39"/>
      <c r="N378" s="39"/>
      <c r="O378" s="39"/>
      <c r="P378" s="39"/>
      <c r="Q378" s="39"/>
      <c r="R378" s="39"/>
      <c r="S378" s="39"/>
    </row>
    <row r="379" spans="1:19" s="1" customFormat="1" ht="15" customHeight="1">
      <c r="A379" s="39"/>
      <c r="B379" s="39"/>
      <c r="C379" s="39"/>
      <c r="D379" s="39"/>
      <c r="E379" s="39"/>
      <c r="F379" s="39"/>
      <c r="G379" s="39"/>
      <c r="H379" s="39"/>
      <c r="I379" s="39"/>
      <c r="J379" s="39"/>
      <c r="K379" s="39"/>
      <c r="L379" s="39"/>
      <c r="M379" s="39"/>
      <c r="N379" s="39"/>
      <c r="O379" s="39"/>
      <c r="P379" s="39"/>
      <c r="Q379" s="39"/>
      <c r="R379" s="39"/>
      <c r="S379" s="39"/>
    </row>
    <row r="380" spans="1:19" s="1" customFormat="1" ht="15" customHeight="1">
      <c r="A380" s="39"/>
      <c r="B380" s="39"/>
      <c r="C380" s="39"/>
      <c r="D380" s="39"/>
      <c r="E380" s="39"/>
      <c r="F380" s="39"/>
      <c r="G380" s="39"/>
      <c r="H380" s="39"/>
      <c r="I380" s="39"/>
      <c r="J380" s="39"/>
      <c r="K380" s="39"/>
      <c r="L380" s="39"/>
      <c r="M380" s="39"/>
      <c r="N380" s="39"/>
      <c r="O380" s="39"/>
      <c r="P380" s="39"/>
      <c r="Q380" s="39"/>
      <c r="R380" s="39"/>
      <c r="S380" s="39"/>
    </row>
    <row r="381" spans="1:19" s="1" customFormat="1" ht="15" customHeight="1">
      <c r="A381" s="39"/>
      <c r="B381" s="39"/>
      <c r="C381" s="39"/>
      <c r="D381" s="39"/>
      <c r="E381" s="39"/>
      <c r="F381" s="39"/>
      <c r="G381" s="39"/>
      <c r="H381" s="39"/>
      <c r="I381" s="39"/>
      <c r="J381" s="39"/>
      <c r="K381" s="39"/>
      <c r="L381" s="39"/>
      <c r="M381" s="39"/>
      <c r="N381" s="39"/>
      <c r="O381" s="39"/>
      <c r="P381" s="39"/>
      <c r="Q381" s="39"/>
      <c r="R381" s="39"/>
      <c r="S381" s="39"/>
    </row>
    <row r="382" spans="1:19" s="1" customFormat="1" ht="15" customHeight="1">
      <c r="A382" s="39"/>
      <c r="B382" s="39"/>
      <c r="C382" s="39"/>
      <c r="D382" s="39"/>
      <c r="E382" s="39"/>
      <c r="F382" s="39"/>
      <c r="G382" s="39"/>
      <c r="H382" s="39"/>
      <c r="I382" s="39"/>
      <c r="J382" s="39"/>
      <c r="K382" s="39"/>
      <c r="L382" s="39"/>
      <c r="M382" s="39"/>
      <c r="N382" s="39"/>
      <c r="O382" s="39"/>
      <c r="P382" s="39"/>
      <c r="Q382" s="39"/>
      <c r="R382" s="39"/>
      <c r="S382" s="39"/>
    </row>
    <row r="383" spans="1:19" s="1" customFormat="1" ht="15" customHeight="1">
      <c r="A383" s="39"/>
      <c r="B383" s="39"/>
      <c r="C383" s="39"/>
      <c r="D383" s="39"/>
      <c r="E383" s="39"/>
      <c r="F383" s="39"/>
      <c r="G383" s="39"/>
      <c r="H383" s="39"/>
      <c r="I383" s="39"/>
      <c r="J383" s="39"/>
      <c r="K383" s="39"/>
      <c r="L383" s="39"/>
      <c r="M383" s="39"/>
      <c r="N383" s="39"/>
      <c r="O383" s="39"/>
      <c r="P383" s="39"/>
      <c r="Q383" s="39"/>
      <c r="R383" s="39"/>
      <c r="S383" s="39"/>
    </row>
    <row r="384" spans="1:19" s="1" customFormat="1" ht="15" customHeight="1">
      <c r="A384" s="39"/>
      <c r="B384" s="39"/>
      <c r="C384" s="39"/>
      <c r="D384" s="39"/>
      <c r="E384" s="39"/>
      <c r="F384" s="39"/>
      <c r="G384" s="39"/>
      <c r="H384" s="39"/>
      <c r="I384" s="39"/>
      <c r="J384" s="39"/>
      <c r="K384" s="39"/>
      <c r="L384" s="39"/>
      <c r="M384" s="39"/>
      <c r="N384" s="39"/>
      <c r="O384" s="39"/>
      <c r="P384" s="39"/>
      <c r="Q384" s="39"/>
      <c r="R384" s="39"/>
      <c r="S384" s="39"/>
    </row>
    <row r="385" spans="1:19" s="1" customFormat="1" ht="15" customHeight="1">
      <c r="A385" s="39"/>
      <c r="B385" s="39"/>
      <c r="C385" s="39"/>
      <c r="D385" s="39"/>
      <c r="E385" s="39"/>
      <c r="F385" s="39"/>
      <c r="G385" s="39"/>
      <c r="H385" s="39"/>
      <c r="I385" s="39"/>
      <c r="J385" s="39"/>
      <c r="K385" s="39"/>
      <c r="L385" s="39"/>
      <c r="M385" s="39"/>
      <c r="N385" s="39"/>
      <c r="O385" s="39"/>
      <c r="P385" s="39"/>
      <c r="Q385" s="39"/>
      <c r="R385" s="39"/>
      <c r="S385" s="39"/>
    </row>
    <row r="386" spans="1:19" s="1" customFormat="1" ht="15" customHeight="1">
      <c r="A386" s="39"/>
      <c r="B386" s="39"/>
      <c r="C386" s="39"/>
      <c r="D386" s="39"/>
      <c r="E386" s="39"/>
      <c r="F386" s="39"/>
      <c r="G386" s="39"/>
      <c r="H386" s="39"/>
      <c r="I386" s="39"/>
      <c r="J386" s="39"/>
      <c r="K386" s="39"/>
      <c r="L386" s="39"/>
      <c r="M386" s="39"/>
      <c r="N386" s="39"/>
      <c r="O386" s="39"/>
      <c r="P386" s="39"/>
      <c r="Q386" s="39"/>
      <c r="R386" s="39"/>
      <c r="S386" s="39"/>
    </row>
    <row r="387" spans="1:19" s="1" customFormat="1" ht="15" customHeight="1">
      <c r="A387" s="39"/>
      <c r="B387" s="39"/>
      <c r="C387" s="39"/>
      <c r="D387" s="39"/>
      <c r="E387" s="39"/>
      <c r="F387" s="39"/>
      <c r="G387" s="39"/>
      <c r="H387" s="39"/>
      <c r="I387" s="39"/>
      <c r="J387" s="39"/>
      <c r="K387" s="39"/>
      <c r="L387" s="39"/>
      <c r="M387" s="39"/>
      <c r="N387" s="39"/>
      <c r="O387" s="39"/>
      <c r="P387" s="39"/>
      <c r="Q387" s="39"/>
      <c r="R387" s="39"/>
      <c r="S387" s="39"/>
    </row>
    <row r="388" spans="1:19" s="1" customFormat="1" ht="15" customHeight="1">
      <c r="A388" s="39"/>
      <c r="B388" s="39"/>
      <c r="C388" s="39"/>
      <c r="D388" s="39"/>
      <c r="E388" s="39"/>
      <c r="F388" s="39"/>
      <c r="G388" s="39"/>
      <c r="H388" s="39"/>
      <c r="I388" s="39"/>
      <c r="J388" s="39"/>
      <c r="K388" s="39"/>
      <c r="L388" s="39"/>
      <c r="M388" s="39"/>
      <c r="N388" s="39"/>
      <c r="O388" s="39"/>
      <c r="P388" s="39"/>
      <c r="Q388" s="39"/>
      <c r="R388" s="39"/>
      <c r="S388" s="39"/>
    </row>
    <row r="389" spans="1:19" s="1" customFormat="1" ht="15" customHeight="1">
      <c r="A389" s="39"/>
      <c r="B389" s="39"/>
      <c r="C389" s="39"/>
      <c r="D389" s="39"/>
      <c r="E389" s="39"/>
      <c r="F389" s="39"/>
      <c r="G389" s="39"/>
      <c r="H389" s="39"/>
      <c r="I389" s="39"/>
      <c r="J389" s="39"/>
      <c r="K389" s="39"/>
      <c r="L389" s="39"/>
      <c r="M389" s="39"/>
      <c r="N389" s="39"/>
      <c r="O389" s="39"/>
      <c r="P389" s="39"/>
      <c r="Q389" s="39"/>
      <c r="R389" s="39"/>
      <c r="S389" s="39"/>
    </row>
    <row r="390" spans="1:19" s="1" customFormat="1" ht="15" customHeight="1">
      <c r="A390" s="39"/>
      <c r="B390" s="39"/>
      <c r="C390" s="39"/>
      <c r="D390" s="39"/>
      <c r="E390" s="39"/>
      <c r="F390" s="39"/>
      <c r="G390" s="39"/>
      <c r="H390" s="39"/>
      <c r="I390" s="39"/>
      <c r="J390" s="39"/>
      <c r="K390" s="39"/>
      <c r="L390" s="39"/>
      <c r="M390" s="39"/>
      <c r="N390" s="39"/>
      <c r="O390" s="39"/>
      <c r="P390" s="39"/>
      <c r="Q390" s="39"/>
      <c r="R390" s="39"/>
      <c r="S390" s="39"/>
    </row>
    <row r="391" spans="1:19" s="1" customFormat="1" ht="15" customHeight="1">
      <c r="A391" s="39"/>
      <c r="B391" s="39"/>
      <c r="C391" s="39"/>
      <c r="D391" s="39"/>
      <c r="E391" s="39"/>
      <c r="F391" s="39"/>
      <c r="G391" s="39"/>
      <c r="H391" s="39"/>
      <c r="I391" s="39"/>
      <c r="J391" s="39"/>
      <c r="K391" s="39"/>
      <c r="L391" s="39"/>
      <c r="M391" s="39"/>
      <c r="N391" s="39"/>
      <c r="O391" s="39"/>
      <c r="P391" s="39"/>
      <c r="Q391" s="39"/>
      <c r="R391" s="39"/>
      <c r="S391" s="39"/>
    </row>
    <row r="392" spans="1:19" s="1" customFormat="1" ht="15" customHeight="1">
      <c r="A392" s="39"/>
      <c r="B392" s="39"/>
      <c r="C392" s="39"/>
      <c r="D392" s="39"/>
      <c r="E392" s="39"/>
      <c r="F392" s="39"/>
      <c r="G392" s="39"/>
      <c r="H392" s="39"/>
      <c r="I392" s="39"/>
      <c r="J392" s="39"/>
      <c r="K392" s="39"/>
      <c r="L392" s="39"/>
      <c r="M392" s="39"/>
      <c r="N392" s="39"/>
      <c r="O392" s="39"/>
      <c r="P392" s="39"/>
      <c r="Q392" s="39"/>
      <c r="R392" s="39"/>
      <c r="S392" s="39"/>
    </row>
    <row r="393" spans="1:19" s="1" customFormat="1" ht="15" customHeight="1">
      <c r="A393" s="39"/>
      <c r="B393" s="39"/>
      <c r="C393" s="39"/>
      <c r="D393" s="39"/>
      <c r="E393" s="39"/>
      <c r="F393" s="39"/>
      <c r="G393" s="39"/>
      <c r="H393" s="39"/>
      <c r="I393" s="39"/>
      <c r="J393" s="39"/>
      <c r="K393" s="39"/>
      <c r="L393" s="39"/>
      <c r="M393" s="39"/>
      <c r="N393" s="39"/>
      <c r="O393" s="39"/>
      <c r="P393" s="39"/>
      <c r="Q393" s="39"/>
      <c r="R393" s="39"/>
      <c r="S393" s="39"/>
    </row>
    <row r="394" spans="1:19" s="1" customFormat="1" ht="15" customHeight="1">
      <c r="A394" s="39"/>
      <c r="B394" s="39"/>
      <c r="C394" s="39"/>
      <c r="D394" s="39"/>
      <c r="E394" s="39"/>
      <c r="F394" s="39"/>
      <c r="G394" s="39"/>
      <c r="H394" s="39"/>
      <c r="I394" s="39"/>
      <c r="J394" s="39"/>
      <c r="K394" s="39"/>
      <c r="L394" s="39"/>
      <c r="M394" s="39"/>
      <c r="N394" s="39"/>
      <c r="O394" s="39"/>
      <c r="P394" s="39"/>
      <c r="Q394" s="39"/>
      <c r="R394" s="39"/>
      <c r="S394" s="39"/>
    </row>
    <row r="395" spans="1:19" s="1" customFormat="1" ht="15" customHeight="1">
      <c r="A395" s="39"/>
      <c r="B395" s="39"/>
      <c r="C395" s="39"/>
      <c r="D395" s="39"/>
      <c r="E395" s="39"/>
      <c r="F395" s="39"/>
      <c r="G395" s="39"/>
      <c r="H395" s="39"/>
      <c r="I395" s="39"/>
      <c r="J395" s="39"/>
      <c r="K395" s="39"/>
      <c r="L395" s="39"/>
      <c r="M395" s="39"/>
      <c r="N395" s="39"/>
      <c r="O395" s="39"/>
      <c r="P395" s="39"/>
      <c r="Q395" s="39"/>
      <c r="R395" s="39"/>
      <c r="S395" s="39"/>
    </row>
    <row r="396" spans="1:19" s="1" customFormat="1" ht="15" customHeight="1">
      <c r="A396" s="39"/>
      <c r="B396" s="39"/>
      <c r="C396" s="39"/>
      <c r="D396" s="39"/>
      <c r="E396" s="39"/>
      <c r="F396" s="39"/>
      <c r="G396" s="39"/>
      <c r="H396" s="39"/>
      <c r="I396" s="39"/>
      <c r="J396" s="39"/>
      <c r="K396" s="39"/>
      <c r="L396" s="39"/>
      <c r="M396" s="39"/>
      <c r="N396" s="39"/>
      <c r="O396" s="39"/>
      <c r="P396" s="39"/>
      <c r="Q396" s="39"/>
      <c r="R396" s="39"/>
      <c r="S396" s="39"/>
    </row>
    <row r="397" spans="1:19" s="1" customFormat="1" ht="15" customHeight="1">
      <c r="A397" s="39"/>
      <c r="B397" s="39"/>
      <c r="C397" s="39"/>
      <c r="D397" s="39"/>
      <c r="E397" s="39"/>
      <c r="F397" s="39"/>
      <c r="G397" s="39"/>
      <c r="H397" s="39"/>
      <c r="I397" s="39"/>
      <c r="J397" s="39"/>
      <c r="K397" s="39"/>
      <c r="L397" s="39"/>
      <c r="M397" s="39"/>
      <c r="N397" s="39"/>
      <c r="O397" s="39"/>
      <c r="P397" s="39"/>
      <c r="Q397" s="39"/>
      <c r="R397" s="39"/>
      <c r="S397" s="39"/>
    </row>
    <row r="398" spans="1:19" s="1" customFormat="1" ht="15" customHeight="1">
      <c r="A398" s="39"/>
      <c r="B398" s="39"/>
      <c r="C398" s="39"/>
      <c r="D398" s="39"/>
      <c r="E398" s="39"/>
      <c r="F398" s="39"/>
      <c r="G398" s="39"/>
      <c r="H398" s="39"/>
      <c r="I398" s="39"/>
      <c r="J398" s="39"/>
      <c r="K398" s="39"/>
      <c r="L398" s="39"/>
      <c r="M398" s="39"/>
      <c r="N398" s="39"/>
      <c r="O398" s="39"/>
      <c r="P398" s="39"/>
      <c r="Q398" s="39"/>
      <c r="R398" s="39"/>
      <c r="S398" s="39"/>
    </row>
    <row r="399" spans="1:19" s="1" customFormat="1" ht="15" customHeight="1">
      <c r="A399" s="39"/>
      <c r="B399" s="39"/>
      <c r="C399" s="39"/>
      <c r="D399" s="39"/>
      <c r="E399" s="39"/>
      <c r="F399" s="39"/>
      <c r="G399" s="39"/>
      <c r="H399" s="39"/>
      <c r="I399" s="39"/>
      <c r="J399" s="39"/>
      <c r="K399" s="39"/>
      <c r="L399" s="39"/>
      <c r="M399" s="39"/>
      <c r="N399" s="39"/>
      <c r="O399" s="39"/>
      <c r="P399" s="39"/>
      <c r="Q399" s="39"/>
      <c r="R399" s="39"/>
      <c r="S399" s="39"/>
    </row>
    <row r="400" spans="1:19" s="1" customFormat="1" ht="15" customHeight="1">
      <c r="A400" s="39"/>
      <c r="B400" s="39"/>
      <c r="C400" s="39"/>
      <c r="D400" s="39"/>
      <c r="E400" s="39"/>
      <c r="F400" s="39"/>
      <c r="G400" s="39"/>
      <c r="H400" s="39"/>
      <c r="I400" s="39"/>
      <c r="J400" s="39"/>
      <c r="K400" s="39"/>
      <c r="L400" s="39"/>
      <c r="M400" s="39"/>
      <c r="N400" s="39"/>
      <c r="O400" s="39"/>
      <c r="P400" s="39"/>
      <c r="Q400" s="39"/>
      <c r="R400" s="39"/>
      <c r="S400" s="39"/>
    </row>
    <row r="401" spans="1:19" s="1" customFormat="1" ht="15" customHeight="1">
      <c r="A401" s="39"/>
      <c r="B401" s="39"/>
      <c r="C401" s="39"/>
      <c r="D401" s="39"/>
      <c r="E401" s="39"/>
      <c r="F401" s="39"/>
      <c r="G401" s="39"/>
      <c r="H401" s="39"/>
      <c r="I401" s="39"/>
      <c r="J401" s="39"/>
      <c r="K401" s="39"/>
      <c r="L401" s="39"/>
      <c r="M401" s="39"/>
      <c r="N401" s="39"/>
      <c r="O401" s="39"/>
      <c r="P401" s="39"/>
      <c r="Q401" s="39"/>
      <c r="R401" s="39"/>
      <c r="S401" s="39"/>
    </row>
    <row r="402" spans="1:19" s="1" customFormat="1" ht="15" customHeight="1">
      <c r="A402" s="39"/>
      <c r="B402" s="39"/>
      <c r="C402" s="39"/>
      <c r="D402" s="39"/>
      <c r="E402" s="39"/>
      <c r="F402" s="39"/>
      <c r="G402" s="39"/>
      <c r="H402" s="39"/>
      <c r="I402" s="39"/>
      <c r="J402" s="39"/>
      <c r="K402" s="39"/>
      <c r="L402" s="39"/>
      <c r="M402" s="39"/>
      <c r="N402" s="39"/>
      <c r="O402" s="39"/>
      <c r="P402" s="39"/>
      <c r="Q402" s="39"/>
      <c r="R402" s="39"/>
      <c r="S402" s="39"/>
    </row>
    <row r="403" spans="1:19" s="1" customFormat="1" ht="15" customHeight="1">
      <c r="A403" s="39"/>
      <c r="B403" s="39"/>
      <c r="C403" s="39"/>
      <c r="D403" s="39"/>
      <c r="E403" s="39"/>
      <c r="F403" s="39"/>
      <c r="G403" s="39"/>
      <c r="H403" s="39"/>
      <c r="I403" s="39"/>
      <c r="J403" s="39"/>
      <c r="K403" s="39"/>
      <c r="L403" s="39"/>
      <c r="M403" s="39"/>
      <c r="N403" s="39"/>
      <c r="O403" s="39"/>
      <c r="P403" s="39"/>
      <c r="Q403" s="39"/>
      <c r="R403" s="39"/>
      <c r="S403" s="39"/>
    </row>
    <row r="404" spans="1:19" s="1" customFormat="1" ht="15" customHeight="1">
      <c r="A404" s="39"/>
      <c r="B404" s="39"/>
      <c r="C404" s="39"/>
      <c r="D404" s="39"/>
      <c r="E404" s="39"/>
      <c r="F404" s="39"/>
      <c r="G404" s="39"/>
      <c r="H404" s="39"/>
      <c r="I404" s="39"/>
      <c r="J404" s="39"/>
      <c r="K404" s="39"/>
      <c r="L404" s="39"/>
      <c r="M404" s="39"/>
      <c r="N404" s="39"/>
      <c r="O404" s="39"/>
      <c r="P404" s="39"/>
      <c r="Q404" s="39"/>
      <c r="R404" s="39"/>
      <c r="S404" s="39"/>
    </row>
    <row r="405" spans="1:19" s="1" customFormat="1" ht="15" customHeight="1">
      <c r="A405" s="39"/>
      <c r="B405" s="39"/>
      <c r="C405" s="39"/>
      <c r="D405" s="39"/>
      <c r="E405" s="39"/>
      <c r="F405" s="39"/>
      <c r="G405" s="39"/>
      <c r="H405" s="39"/>
      <c r="I405" s="39"/>
      <c r="J405" s="39"/>
      <c r="K405" s="39"/>
      <c r="L405" s="39"/>
      <c r="M405" s="39"/>
      <c r="N405" s="39"/>
      <c r="O405" s="39"/>
      <c r="P405" s="39"/>
      <c r="Q405" s="39"/>
      <c r="R405" s="39"/>
      <c r="S405" s="39"/>
    </row>
    <row r="406" spans="1:19" s="1" customFormat="1" ht="15" customHeight="1">
      <c r="A406" s="39"/>
      <c r="B406" s="39"/>
      <c r="C406" s="39"/>
      <c r="D406" s="39"/>
      <c r="E406" s="39"/>
      <c r="F406" s="39"/>
      <c r="G406" s="39"/>
      <c r="H406" s="39"/>
      <c r="I406" s="39"/>
      <c r="J406" s="39"/>
      <c r="K406" s="39"/>
      <c r="L406" s="39"/>
      <c r="M406" s="39"/>
      <c r="N406" s="39"/>
      <c r="O406" s="39"/>
      <c r="P406" s="39"/>
      <c r="Q406" s="39"/>
      <c r="R406" s="39"/>
      <c r="S406" s="39"/>
    </row>
    <row r="407" spans="1:19" s="1" customFormat="1" ht="15" customHeight="1">
      <c r="A407" s="39"/>
      <c r="B407" s="39"/>
      <c r="C407" s="39"/>
      <c r="D407" s="39"/>
      <c r="E407" s="39"/>
      <c r="F407" s="39"/>
      <c r="G407" s="39"/>
      <c r="H407" s="39"/>
      <c r="I407" s="39"/>
      <c r="J407" s="39"/>
      <c r="K407" s="39"/>
      <c r="L407" s="39"/>
      <c r="M407" s="39"/>
      <c r="N407" s="39"/>
      <c r="O407" s="39"/>
      <c r="P407" s="39"/>
      <c r="Q407" s="39"/>
      <c r="R407" s="39"/>
      <c r="S407" s="39"/>
    </row>
    <row r="408" spans="1:19" s="1" customFormat="1" ht="15" customHeight="1">
      <c r="A408" s="39"/>
      <c r="B408" s="39"/>
      <c r="C408" s="39"/>
      <c r="D408" s="39"/>
      <c r="E408" s="39"/>
      <c r="F408" s="39"/>
      <c r="G408" s="39"/>
      <c r="H408" s="39"/>
      <c r="I408" s="39"/>
      <c r="J408" s="39"/>
      <c r="K408" s="39"/>
      <c r="L408" s="39"/>
      <c r="M408" s="39"/>
      <c r="N408" s="39"/>
      <c r="O408" s="39"/>
      <c r="P408" s="39"/>
      <c r="Q408" s="39"/>
      <c r="R408" s="39"/>
      <c r="S408" s="39"/>
    </row>
    <row r="409" spans="1:19" s="1" customFormat="1" ht="15" customHeight="1">
      <c r="A409" s="39"/>
      <c r="B409" s="39"/>
      <c r="C409" s="39"/>
      <c r="D409" s="39"/>
      <c r="E409" s="39"/>
      <c r="F409" s="39"/>
      <c r="G409" s="39"/>
      <c r="H409" s="39"/>
      <c r="I409" s="39"/>
      <c r="J409" s="39"/>
      <c r="K409" s="39"/>
      <c r="L409" s="39"/>
      <c r="M409" s="39"/>
      <c r="N409" s="39"/>
      <c r="O409" s="39"/>
      <c r="P409" s="39"/>
      <c r="Q409" s="39"/>
      <c r="R409" s="39"/>
      <c r="S409" s="39"/>
    </row>
    <row r="410" spans="1:19" s="1" customFormat="1" ht="15" customHeight="1">
      <c r="A410" s="39"/>
      <c r="B410" s="39"/>
      <c r="C410" s="39"/>
      <c r="D410" s="39"/>
      <c r="E410" s="39"/>
      <c r="F410" s="39"/>
      <c r="G410" s="39"/>
      <c r="H410" s="39"/>
      <c r="I410" s="39"/>
      <c r="J410" s="39"/>
      <c r="K410" s="39"/>
      <c r="L410" s="39"/>
      <c r="M410" s="39"/>
      <c r="N410" s="39"/>
      <c r="O410" s="39"/>
      <c r="P410" s="39"/>
      <c r="Q410" s="39"/>
      <c r="R410" s="39"/>
      <c r="S410" s="39"/>
    </row>
    <row r="411" spans="1:19" s="1" customFormat="1" ht="15" customHeight="1">
      <c r="A411" s="39"/>
      <c r="B411" s="39"/>
      <c r="C411" s="39"/>
      <c r="D411" s="39"/>
      <c r="E411" s="39"/>
      <c r="F411" s="39"/>
      <c r="G411" s="39"/>
      <c r="H411" s="39"/>
      <c r="I411" s="39"/>
      <c r="J411" s="39"/>
      <c r="K411" s="39"/>
      <c r="L411" s="39"/>
      <c r="M411" s="39"/>
      <c r="N411" s="39"/>
      <c r="O411" s="39"/>
      <c r="P411" s="39"/>
      <c r="Q411" s="39"/>
      <c r="R411" s="39"/>
      <c r="S411" s="39"/>
    </row>
    <row r="412" spans="1:19" s="1" customFormat="1" ht="15" customHeight="1">
      <c r="A412" s="39"/>
      <c r="B412" s="39"/>
      <c r="C412" s="39"/>
      <c r="D412" s="39"/>
      <c r="E412" s="39"/>
      <c r="F412" s="39"/>
      <c r="G412" s="39"/>
      <c r="H412" s="39"/>
      <c r="I412" s="39"/>
      <c r="J412" s="39"/>
      <c r="K412" s="39"/>
      <c r="L412" s="39"/>
      <c r="M412" s="39"/>
      <c r="N412" s="39"/>
      <c r="O412" s="39"/>
      <c r="P412" s="39"/>
      <c r="Q412" s="39"/>
      <c r="R412" s="39"/>
      <c r="S412" s="39"/>
    </row>
    <row r="413" spans="1:19" s="1" customFormat="1" ht="15" customHeight="1">
      <c r="A413" s="39"/>
      <c r="B413" s="39"/>
      <c r="C413" s="39"/>
      <c r="D413" s="39"/>
      <c r="E413" s="39"/>
      <c r="F413" s="39"/>
      <c r="G413" s="39"/>
      <c r="H413" s="39"/>
      <c r="I413" s="39"/>
      <c r="J413" s="39"/>
      <c r="K413" s="39"/>
      <c r="L413" s="39"/>
      <c r="M413" s="39"/>
      <c r="N413" s="39"/>
      <c r="O413" s="39"/>
      <c r="P413" s="39"/>
      <c r="Q413" s="39"/>
      <c r="R413" s="39"/>
      <c r="S413" s="39"/>
    </row>
    <row r="414" spans="1:19" s="1" customFormat="1" ht="15" customHeight="1">
      <c r="A414" s="39"/>
      <c r="B414" s="39"/>
      <c r="C414" s="39"/>
      <c r="D414" s="39"/>
      <c r="E414" s="39"/>
      <c r="F414" s="39"/>
      <c r="G414" s="39"/>
      <c r="H414" s="39"/>
      <c r="I414" s="39"/>
      <c r="J414" s="39"/>
      <c r="K414" s="39"/>
      <c r="L414" s="39"/>
      <c r="M414" s="39"/>
      <c r="N414" s="39"/>
      <c r="O414" s="39"/>
      <c r="P414" s="39"/>
      <c r="Q414" s="39"/>
      <c r="R414" s="39"/>
      <c r="S414" s="39"/>
    </row>
    <row r="415" spans="1:19" s="1" customFormat="1" ht="15" customHeight="1">
      <c r="A415" s="39"/>
      <c r="B415" s="39"/>
      <c r="C415" s="39"/>
      <c r="D415" s="39"/>
      <c r="E415" s="39"/>
      <c r="F415" s="39"/>
      <c r="G415" s="39"/>
      <c r="H415" s="39"/>
      <c r="I415" s="39"/>
      <c r="J415" s="39"/>
      <c r="K415" s="39"/>
      <c r="L415" s="39"/>
      <c r="M415" s="39"/>
      <c r="N415" s="39"/>
      <c r="O415" s="39"/>
      <c r="P415" s="39"/>
      <c r="Q415" s="39"/>
      <c r="R415" s="39"/>
      <c r="S415" s="39"/>
    </row>
    <row r="416" spans="1:19" s="1" customFormat="1" ht="15" customHeight="1">
      <c r="A416" s="39"/>
      <c r="B416" s="39"/>
      <c r="C416" s="39"/>
      <c r="D416" s="39"/>
      <c r="E416" s="39"/>
      <c r="F416" s="39"/>
      <c r="G416" s="39"/>
      <c r="H416" s="39"/>
      <c r="I416" s="39"/>
      <c r="J416" s="39"/>
      <c r="K416" s="39"/>
      <c r="L416" s="39"/>
      <c r="M416" s="39"/>
      <c r="N416" s="39"/>
      <c r="O416" s="39"/>
      <c r="P416" s="39"/>
      <c r="Q416" s="39"/>
      <c r="R416" s="39"/>
      <c r="S416" s="39"/>
    </row>
    <row r="417" spans="1:19" s="1" customFormat="1" ht="15" customHeight="1">
      <c r="A417" s="39"/>
      <c r="B417" s="39"/>
      <c r="C417" s="39"/>
      <c r="D417" s="39"/>
      <c r="E417" s="39"/>
      <c r="F417" s="39"/>
      <c r="G417" s="39"/>
      <c r="H417" s="39"/>
      <c r="I417" s="39"/>
      <c r="J417" s="39"/>
      <c r="K417" s="39"/>
      <c r="L417" s="39"/>
      <c r="M417" s="39"/>
      <c r="N417" s="39"/>
      <c r="O417" s="39"/>
      <c r="P417" s="39"/>
      <c r="Q417" s="39"/>
      <c r="R417" s="39"/>
      <c r="S417" s="39"/>
    </row>
    <row r="418" spans="1:19" s="1" customFormat="1" ht="15" customHeight="1">
      <c r="A418" s="39"/>
      <c r="B418" s="39"/>
      <c r="C418" s="39"/>
      <c r="D418" s="39"/>
      <c r="E418" s="39"/>
      <c r="F418" s="39"/>
      <c r="G418" s="39"/>
      <c r="H418" s="39"/>
      <c r="I418" s="39"/>
      <c r="J418" s="39"/>
      <c r="K418" s="39"/>
      <c r="L418" s="39"/>
      <c r="M418" s="39"/>
      <c r="N418" s="39"/>
      <c r="O418" s="39"/>
      <c r="P418" s="39"/>
      <c r="Q418" s="39"/>
      <c r="R418" s="39"/>
      <c r="S418" s="39"/>
    </row>
    <row r="419" spans="1:19" s="1" customFormat="1" ht="15" customHeight="1">
      <c r="A419" s="39"/>
      <c r="B419" s="39"/>
      <c r="C419" s="39"/>
      <c r="D419" s="39"/>
      <c r="E419" s="39"/>
      <c r="F419" s="39"/>
      <c r="G419" s="39"/>
      <c r="H419" s="39"/>
      <c r="I419" s="39"/>
      <c r="J419" s="39"/>
      <c r="K419" s="39"/>
      <c r="L419" s="39"/>
      <c r="M419" s="39"/>
      <c r="N419" s="39"/>
      <c r="O419" s="39"/>
      <c r="P419" s="39"/>
      <c r="Q419" s="39"/>
      <c r="R419" s="39"/>
      <c r="S419" s="39"/>
    </row>
    <row r="420" spans="1:19" s="1" customFormat="1" ht="15" customHeight="1">
      <c r="A420" s="39"/>
      <c r="B420" s="39"/>
      <c r="C420" s="39"/>
      <c r="D420" s="39"/>
      <c r="E420" s="39"/>
      <c r="F420" s="39"/>
      <c r="G420" s="39"/>
      <c r="H420" s="39"/>
      <c r="I420" s="39"/>
      <c r="J420" s="39"/>
      <c r="K420" s="39"/>
      <c r="L420" s="39"/>
      <c r="M420" s="39"/>
      <c r="N420" s="39"/>
      <c r="O420" s="39"/>
      <c r="P420" s="39"/>
      <c r="Q420" s="39"/>
      <c r="R420" s="39"/>
      <c r="S420" s="39"/>
    </row>
    <row r="421" spans="1:19" s="1" customFormat="1" ht="15" customHeight="1">
      <c r="A421" s="39"/>
      <c r="B421" s="39"/>
      <c r="C421" s="39"/>
      <c r="D421" s="39"/>
      <c r="E421" s="39"/>
      <c r="F421" s="39"/>
      <c r="G421" s="39"/>
      <c r="H421" s="39"/>
      <c r="I421" s="39"/>
      <c r="J421" s="39"/>
      <c r="K421" s="39"/>
      <c r="L421" s="39"/>
      <c r="M421" s="39"/>
      <c r="N421" s="39"/>
      <c r="O421" s="39"/>
      <c r="P421" s="39"/>
      <c r="Q421" s="39"/>
      <c r="R421" s="39"/>
      <c r="S421" s="39"/>
    </row>
    <row r="422" spans="1:19" s="1" customFormat="1" ht="15" customHeight="1">
      <c r="A422" s="39"/>
      <c r="B422" s="39"/>
      <c r="C422" s="39"/>
      <c r="D422" s="39"/>
      <c r="E422" s="39"/>
      <c r="F422" s="39"/>
      <c r="G422" s="39"/>
      <c r="H422" s="39"/>
      <c r="I422" s="39"/>
      <c r="J422" s="39"/>
      <c r="K422" s="39"/>
      <c r="L422" s="39"/>
      <c r="M422" s="39"/>
      <c r="N422" s="39"/>
      <c r="O422" s="39"/>
      <c r="P422" s="39"/>
      <c r="Q422" s="39"/>
      <c r="R422" s="39"/>
      <c r="S422" s="39"/>
    </row>
    <row r="423" spans="1:19" s="1" customFormat="1" ht="15" customHeight="1">
      <c r="A423" s="39"/>
      <c r="B423" s="39"/>
      <c r="C423" s="39"/>
      <c r="D423" s="39"/>
      <c r="E423" s="39"/>
      <c r="F423" s="39"/>
      <c r="G423" s="39"/>
      <c r="H423" s="39"/>
      <c r="I423" s="39"/>
      <c r="J423" s="39"/>
      <c r="K423" s="39"/>
      <c r="L423" s="39"/>
      <c r="M423" s="39"/>
      <c r="N423" s="39"/>
      <c r="O423" s="39"/>
      <c r="P423" s="39"/>
      <c r="Q423" s="39"/>
      <c r="R423" s="39"/>
      <c r="S423" s="39"/>
    </row>
    <row r="424" spans="1:19" s="1" customFormat="1" ht="15" customHeight="1">
      <c r="A424" s="39"/>
      <c r="B424" s="39"/>
      <c r="C424" s="39"/>
      <c r="D424" s="39"/>
      <c r="E424" s="39"/>
      <c r="F424" s="39"/>
      <c r="G424" s="39"/>
      <c r="H424" s="39"/>
      <c r="I424" s="39"/>
      <c r="J424" s="39"/>
      <c r="K424" s="39"/>
      <c r="L424" s="39"/>
      <c r="M424" s="39"/>
      <c r="N424" s="39"/>
      <c r="O424" s="39"/>
      <c r="P424" s="39"/>
      <c r="Q424" s="39"/>
      <c r="R424" s="39"/>
      <c r="S424" s="39"/>
    </row>
    <row r="425" spans="1:19" s="1" customFormat="1" ht="15" customHeight="1">
      <c r="A425" s="39"/>
      <c r="B425" s="39"/>
      <c r="C425" s="39"/>
      <c r="D425" s="39"/>
      <c r="E425" s="39"/>
      <c r="F425" s="39"/>
      <c r="G425" s="39"/>
      <c r="H425" s="39"/>
      <c r="I425" s="39"/>
      <c r="J425" s="39"/>
      <c r="K425" s="39"/>
      <c r="L425" s="39"/>
      <c r="M425" s="39"/>
      <c r="N425" s="39"/>
      <c r="O425" s="39"/>
      <c r="P425" s="39"/>
      <c r="Q425" s="39"/>
      <c r="R425" s="39"/>
      <c r="S425" s="39"/>
    </row>
    <row r="426" spans="1:19" s="1" customFormat="1" ht="15" customHeight="1">
      <c r="A426" s="39"/>
      <c r="B426" s="39"/>
      <c r="C426" s="39"/>
      <c r="D426" s="39"/>
      <c r="E426" s="39"/>
      <c r="F426" s="39"/>
      <c r="G426" s="39"/>
      <c r="H426" s="39"/>
      <c r="I426" s="39"/>
      <c r="J426" s="39"/>
      <c r="K426" s="39"/>
      <c r="L426" s="39"/>
      <c r="M426" s="39"/>
      <c r="N426" s="39"/>
      <c r="O426" s="39"/>
      <c r="P426" s="39"/>
      <c r="Q426" s="39"/>
      <c r="R426" s="39"/>
      <c r="S426" s="39"/>
    </row>
    <row r="427" spans="1:19" s="1" customFormat="1" ht="15" customHeight="1">
      <c r="A427" s="39"/>
      <c r="B427" s="39"/>
      <c r="C427" s="39"/>
      <c r="D427" s="39"/>
      <c r="E427" s="39"/>
      <c r="F427" s="39"/>
      <c r="G427" s="39"/>
      <c r="H427" s="39"/>
      <c r="I427" s="39"/>
      <c r="J427" s="39"/>
      <c r="K427" s="39"/>
      <c r="L427" s="39"/>
      <c r="M427" s="39"/>
      <c r="N427" s="39"/>
      <c r="O427" s="39"/>
      <c r="P427" s="39"/>
      <c r="Q427" s="39"/>
      <c r="R427" s="39"/>
      <c r="S427" s="39"/>
    </row>
    <row r="428" spans="1:19" s="1" customFormat="1" ht="15" customHeight="1">
      <c r="A428" s="39"/>
      <c r="B428" s="39"/>
      <c r="C428" s="39"/>
      <c r="D428" s="39"/>
      <c r="E428" s="39"/>
      <c r="F428" s="39"/>
      <c r="G428" s="39"/>
      <c r="H428" s="39"/>
      <c r="I428" s="39"/>
      <c r="J428" s="39"/>
      <c r="K428" s="39"/>
      <c r="L428" s="39"/>
      <c r="M428" s="39"/>
      <c r="N428" s="39"/>
      <c r="O428" s="39"/>
      <c r="P428" s="39"/>
      <c r="Q428" s="39"/>
      <c r="R428" s="39"/>
      <c r="S428" s="39"/>
    </row>
    <row r="429" spans="1:19" s="1" customFormat="1" ht="15" customHeight="1">
      <c r="A429" s="39"/>
      <c r="B429" s="39"/>
      <c r="C429" s="39"/>
      <c r="D429" s="39"/>
      <c r="E429" s="39"/>
      <c r="F429" s="39"/>
      <c r="G429" s="39"/>
      <c r="H429" s="39"/>
      <c r="I429" s="39"/>
      <c r="J429" s="39"/>
      <c r="K429" s="39"/>
      <c r="L429" s="39"/>
      <c r="M429" s="39"/>
      <c r="N429" s="39"/>
      <c r="O429" s="39"/>
      <c r="P429" s="39"/>
      <c r="Q429" s="39"/>
      <c r="R429" s="39"/>
      <c r="S429" s="39"/>
    </row>
    <row r="430" spans="1:19" s="1" customFormat="1" ht="15" customHeight="1">
      <c r="A430" s="39"/>
      <c r="B430" s="39"/>
      <c r="C430" s="39"/>
      <c r="D430" s="39"/>
      <c r="E430" s="39"/>
      <c r="F430" s="39"/>
      <c r="G430" s="39"/>
      <c r="H430" s="39"/>
      <c r="I430" s="39"/>
      <c r="J430" s="39"/>
      <c r="K430" s="39"/>
      <c r="L430" s="39"/>
      <c r="M430" s="39"/>
      <c r="N430" s="39"/>
      <c r="O430" s="39"/>
      <c r="P430" s="39"/>
      <c r="Q430" s="39"/>
      <c r="R430" s="39"/>
      <c r="S430" s="39"/>
    </row>
    <row r="431" spans="1:19" s="1" customFormat="1" ht="15" customHeight="1">
      <c r="A431" s="39"/>
      <c r="B431" s="39"/>
      <c r="C431" s="39"/>
      <c r="D431" s="39"/>
      <c r="E431" s="39"/>
      <c r="F431" s="39"/>
      <c r="G431" s="39"/>
      <c r="H431" s="39"/>
      <c r="I431" s="39"/>
      <c r="J431" s="39"/>
      <c r="K431" s="39"/>
      <c r="L431" s="39"/>
      <c r="M431" s="39"/>
      <c r="N431" s="39"/>
      <c r="O431" s="39"/>
      <c r="P431" s="39"/>
      <c r="Q431" s="39"/>
      <c r="R431" s="39"/>
      <c r="S431" s="39"/>
    </row>
    <row r="432" spans="1:19" s="1" customFormat="1" ht="15" customHeight="1">
      <c r="A432" s="39"/>
      <c r="B432" s="39"/>
      <c r="C432" s="39"/>
      <c r="D432" s="39"/>
      <c r="E432" s="39"/>
      <c r="F432" s="39"/>
      <c r="G432" s="39"/>
      <c r="H432" s="39"/>
      <c r="I432" s="39"/>
      <c r="J432" s="39"/>
      <c r="K432" s="39"/>
      <c r="L432" s="39"/>
      <c r="M432" s="39"/>
      <c r="N432" s="39"/>
      <c r="O432" s="39"/>
      <c r="P432" s="39"/>
      <c r="Q432" s="39"/>
      <c r="R432" s="39"/>
      <c r="S432" s="39"/>
    </row>
    <row r="433" spans="1:19" s="1" customFormat="1" ht="15" customHeight="1">
      <c r="A433" s="39"/>
      <c r="B433" s="39"/>
      <c r="C433" s="39"/>
      <c r="D433" s="39"/>
      <c r="E433" s="39"/>
      <c r="F433" s="39"/>
      <c r="G433" s="39"/>
      <c r="H433" s="39"/>
      <c r="I433" s="39"/>
      <c r="J433" s="39"/>
      <c r="K433" s="39"/>
      <c r="L433" s="39"/>
      <c r="M433" s="39"/>
      <c r="N433" s="39"/>
      <c r="O433" s="39"/>
      <c r="P433" s="39"/>
      <c r="Q433" s="39"/>
      <c r="R433" s="39"/>
      <c r="S433" s="39"/>
    </row>
    <row r="434" spans="1:19" s="1" customFormat="1" ht="15" customHeight="1">
      <c r="A434" s="39"/>
      <c r="B434" s="39"/>
      <c r="C434" s="39"/>
      <c r="D434" s="39"/>
      <c r="E434" s="39"/>
      <c r="F434" s="39"/>
      <c r="G434" s="39"/>
      <c r="H434" s="39"/>
      <c r="I434" s="39"/>
      <c r="J434" s="39"/>
      <c r="K434" s="39"/>
      <c r="L434" s="39"/>
      <c r="M434" s="39"/>
      <c r="N434" s="39"/>
      <c r="O434" s="39"/>
      <c r="P434" s="39"/>
      <c r="Q434" s="39"/>
      <c r="R434" s="39"/>
      <c r="S434" s="39"/>
    </row>
    <row r="435" spans="1:19" s="1" customFormat="1" ht="15" customHeight="1">
      <c r="A435" s="39"/>
      <c r="B435" s="39"/>
      <c r="C435" s="39"/>
      <c r="D435" s="39"/>
      <c r="E435" s="39"/>
      <c r="F435" s="39"/>
      <c r="G435" s="39"/>
      <c r="H435" s="39"/>
      <c r="I435" s="39"/>
      <c r="J435" s="39"/>
      <c r="K435" s="39"/>
      <c r="L435" s="39"/>
      <c r="M435" s="39"/>
      <c r="N435" s="39"/>
      <c r="O435" s="39"/>
      <c r="P435" s="39"/>
      <c r="Q435" s="39"/>
      <c r="R435" s="39"/>
      <c r="S435" s="39"/>
    </row>
    <row r="436" spans="1:19" s="1" customFormat="1" ht="15" customHeight="1">
      <c r="A436" s="39"/>
      <c r="B436" s="39"/>
      <c r="C436" s="39"/>
      <c r="D436" s="39"/>
      <c r="E436" s="39"/>
      <c r="F436" s="39"/>
      <c r="G436" s="39"/>
      <c r="H436" s="39"/>
      <c r="I436" s="39"/>
      <c r="J436" s="39"/>
      <c r="K436" s="39"/>
      <c r="L436" s="39"/>
      <c r="M436" s="39"/>
      <c r="N436" s="39"/>
      <c r="O436" s="39"/>
      <c r="P436" s="39"/>
      <c r="Q436" s="39"/>
      <c r="R436" s="39"/>
      <c r="S436" s="39"/>
    </row>
    <row r="437" spans="1:19" s="1" customFormat="1" ht="15" customHeight="1">
      <c r="A437" s="39"/>
      <c r="B437" s="39"/>
      <c r="C437" s="39"/>
      <c r="D437" s="39"/>
      <c r="E437" s="39"/>
      <c r="F437" s="39"/>
      <c r="G437" s="39"/>
      <c r="H437" s="39"/>
      <c r="I437" s="39"/>
      <c r="J437" s="39"/>
      <c r="K437" s="39"/>
      <c r="L437" s="39"/>
      <c r="M437" s="39"/>
      <c r="N437" s="39"/>
      <c r="O437" s="39"/>
      <c r="P437" s="39"/>
      <c r="Q437" s="39"/>
      <c r="R437" s="39"/>
      <c r="S437" s="39"/>
    </row>
    <row r="438" spans="1:19" s="1" customFormat="1" ht="15" customHeight="1">
      <c r="A438" s="39"/>
      <c r="B438" s="39"/>
      <c r="C438" s="39"/>
      <c r="D438" s="39"/>
      <c r="E438" s="39"/>
      <c r="F438" s="39"/>
      <c r="G438" s="39"/>
      <c r="H438" s="39"/>
      <c r="I438" s="39"/>
      <c r="J438" s="39"/>
      <c r="K438" s="39"/>
      <c r="L438" s="39"/>
      <c r="M438" s="39"/>
      <c r="N438" s="39"/>
      <c r="O438" s="39"/>
      <c r="P438" s="39"/>
      <c r="Q438" s="39"/>
      <c r="R438" s="39"/>
      <c r="S438" s="39"/>
    </row>
    <row r="439" spans="1:19" s="1" customFormat="1" ht="15" customHeight="1">
      <c r="A439" s="39"/>
      <c r="B439" s="39"/>
      <c r="C439" s="39"/>
      <c r="D439" s="39"/>
      <c r="E439" s="39"/>
      <c r="F439" s="39"/>
      <c r="G439" s="39"/>
      <c r="H439" s="39"/>
      <c r="I439" s="39"/>
      <c r="J439" s="39"/>
      <c r="K439" s="39"/>
      <c r="L439" s="39"/>
      <c r="M439" s="39"/>
      <c r="N439" s="39"/>
      <c r="O439" s="39"/>
      <c r="P439" s="39"/>
      <c r="Q439" s="39"/>
      <c r="R439" s="39"/>
      <c r="S439" s="39"/>
    </row>
    <row r="440" spans="1:19" s="1" customFormat="1" ht="15" customHeight="1">
      <c r="A440" s="39"/>
      <c r="B440" s="39"/>
      <c r="C440" s="39"/>
      <c r="D440" s="39"/>
      <c r="E440" s="39"/>
      <c r="F440" s="39"/>
      <c r="G440" s="39"/>
      <c r="H440" s="39"/>
      <c r="I440" s="39"/>
      <c r="J440" s="39"/>
      <c r="K440" s="39"/>
      <c r="L440" s="39"/>
      <c r="M440" s="39"/>
      <c r="N440" s="39"/>
      <c r="O440" s="39"/>
      <c r="P440" s="39"/>
      <c r="Q440" s="39"/>
      <c r="R440" s="39"/>
      <c r="S440" s="39"/>
    </row>
    <row r="441" spans="1:19" s="1" customFormat="1" ht="15" customHeight="1">
      <c r="A441" s="39"/>
      <c r="B441" s="39"/>
      <c r="C441" s="39"/>
      <c r="D441" s="39"/>
      <c r="E441" s="39"/>
      <c r="F441" s="39"/>
      <c r="G441" s="39"/>
      <c r="H441" s="39"/>
      <c r="I441" s="39"/>
      <c r="J441" s="39"/>
      <c r="K441" s="39"/>
      <c r="L441" s="39"/>
      <c r="M441" s="39"/>
      <c r="N441" s="39"/>
      <c r="O441" s="39"/>
      <c r="P441" s="39"/>
      <c r="Q441" s="39"/>
      <c r="R441" s="39"/>
      <c r="S441" s="39"/>
    </row>
    <row r="442" spans="1:19" s="1" customFormat="1" ht="15" customHeight="1">
      <c r="A442" s="39"/>
      <c r="B442" s="39"/>
      <c r="C442" s="39"/>
      <c r="D442" s="39"/>
      <c r="E442" s="39"/>
      <c r="F442" s="39"/>
      <c r="G442" s="39"/>
      <c r="H442" s="39"/>
      <c r="I442" s="39"/>
      <c r="J442" s="39"/>
      <c r="K442" s="39"/>
      <c r="L442" s="39"/>
      <c r="M442" s="39"/>
      <c r="N442" s="39"/>
      <c r="O442" s="39"/>
      <c r="P442" s="39"/>
      <c r="Q442" s="39"/>
      <c r="R442" s="39"/>
      <c r="S442" s="39"/>
    </row>
    <row r="443" spans="1:19" s="1" customFormat="1" ht="15" customHeight="1">
      <c r="A443" s="39"/>
      <c r="B443" s="39"/>
      <c r="C443" s="39"/>
      <c r="D443" s="39"/>
      <c r="E443" s="39"/>
      <c r="F443" s="39"/>
      <c r="G443" s="39"/>
      <c r="H443" s="39"/>
      <c r="I443" s="39"/>
      <c r="J443" s="39"/>
      <c r="K443" s="39"/>
      <c r="L443" s="39"/>
      <c r="M443" s="39"/>
      <c r="N443" s="39"/>
      <c r="O443" s="39"/>
      <c r="P443" s="39"/>
      <c r="Q443" s="39"/>
      <c r="R443" s="39"/>
      <c r="S443" s="39"/>
    </row>
    <row r="444" spans="1:19" s="1" customFormat="1" ht="15" customHeight="1">
      <c r="A444" s="39"/>
      <c r="B444" s="39"/>
      <c r="C444" s="39"/>
      <c r="D444" s="39"/>
      <c r="E444" s="39"/>
      <c r="F444" s="39"/>
      <c r="G444" s="39"/>
      <c r="H444" s="39"/>
      <c r="I444" s="39"/>
      <c r="J444" s="39"/>
      <c r="K444" s="39"/>
      <c r="L444" s="39"/>
      <c r="M444" s="39"/>
      <c r="N444" s="39"/>
      <c r="O444" s="39"/>
      <c r="P444" s="39"/>
      <c r="Q444" s="39"/>
      <c r="R444" s="39"/>
      <c r="S444" s="39"/>
    </row>
    <row r="445" spans="1:19" s="1" customFormat="1" ht="15" customHeight="1">
      <c r="A445" s="39"/>
      <c r="B445" s="39"/>
      <c r="C445" s="39"/>
      <c r="D445" s="39"/>
      <c r="E445" s="39"/>
      <c r="F445" s="39"/>
      <c r="G445" s="39"/>
      <c r="H445" s="39"/>
      <c r="I445" s="39"/>
      <c r="J445" s="39"/>
      <c r="K445" s="39"/>
      <c r="L445" s="39"/>
      <c r="M445" s="39"/>
      <c r="N445" s="39"/>
      <c r="O445" s="39"/>
      <c r="P445" s="39"/>
      <c r="Q445" s="39"/>
      <c r="R445" s="39"/>
      <c r="S445" s="39"/>
    </row>
    <row r="446" spans="1:19" s="1" customFormat="1" ht="15" customHeight="1">
      <c r="A446" s="39"/>
      <c r="B446" s="39"/>
      <c r="C446" s="39"/>
      <c r="D446" s="39"/>
      <c r="E446" s="39"/>
      <c r="F446" s="39"/>
      <c r="G446" s="39"/>
      <c r="H446" s="39"/>
      <c r="I446" s="39"/>
      <c r="J446" s="39"/>
      <c r="K446" s="39"/>
      <c r="L446" s="39"/>
      <c r="M446" s="39"/>
      <c r="N446" s="39"/>
      <c r="O446" s="39"/>
      <c r="P446" s="39"/>
      <c r="Q446" s="39"/>
      <c r="R446" s="39"/>
      <c r="S446" s="39"/>
    </row>
    <row r="447" spans="1:19" s="1" customFormat="1" ht="15" customHeight="1">
      <c r="A447" s="39"/>
      <c r="B447" s="39"/>
      <c r="C447" s="39"/>
      <c r="D447" s="39"/>
      <c r="E447" s="39"/>
      <c r="F447" s="39"/>
      <c r="G447" s="39"/>
      <c r="H447" s="39"/>
      <c r="I447" s="39"/>
      <c r="J447" s="39"/>
      <c r="K447" s="39"/>
      <c r="L447" s="39"/>
      <c r="M447" s="39"/>
      <c r="N447" s="39"/>
      <c r="O447" s="39"/>
      <c r="P447" s="39"/>
      <c r="Q447" s="39"/>
      <c r="R447" s="39"/>
      <c r="S447" s="39"/>
    </row>
    <row r="448" spans="1:19" s="1" customFormat="1" ht="15" customHeight="1">
      <c r="A448" s="39"/>
      <c r="B448" s="39"/>
      <c r="C448" s="39"/>
      <c r="D448" s="39"/>
      <c r="E448" s="39"/>
      <c r="F448" s="39"/>
      <c r="G448" s="39"/>
      <c r="H448" s="39"/>
      <c r="I448" s="39"/>
      <c r="J448" s="39"/>
      <c r="K448" s="39"/>
      <c r="L448" s="39"/>
      <c r="M448" s="39"/>
      <c r="N448" s="39"/>
      <c r="O448" s="39"/>
      <c r="P448" s="39"/>
      <c r="Q448" s="39"/>
      <c r="R448" s="39"/>
      <c r="S448" s="39"/>
    </row>
    <row r="449" spans="1:19" s="1" customFormat="1" ht="15" customHeight="1">
      <c r="A449" s="39"/>
      <c r="B449" s="39"/>
      <c r="C449" s="39"/>
      <c r="D449" s="39"/>
      <c r="E449" s="39"/>
      <c r="F449" s="39"/>
      <c r="G449" s="39"/>
      <c r="H449" s="39"/>
      <c r="I449" s="39"/>
      <c r="J449" s="39"/>
      <c r="K449" s="39"/>
      <c r="L449" s="39"/>
      <c r="M449" s="39"/>
      <c r="N449" s="39"/>
      <c r="O449" s="39"/>
      <c r="P449" s="39"/>
      <c r="Q449" s="39"/>
      <c r="R449" s="39"/>
      <c r="S449" s="39"/>
    </row>
    <row r="450" spans="1:19" s="1" customFormat="1" ht="15" customHeight="1">
      <c r="A450" s="39"/>
      <c r="B450" s="39"/>
      <c r="C450" s="39"/>
      <c r="D450" s="39"/>
      <c r="E450" s="39"/>
      <c r="F450" s="39"/>
      <c r="G450" s="39"/>
      <c r="H450" s="39"/>
      <c r="I450" s="39"/>
      <c r="J450" s="39"/>
      <c r="K450" s="39"/>
      <c r="L450" s="39"/>
      <c r="M450" s="39"/>
      <c r="N450" s="39"/>
      <c r="O450" s="39"/>
      <c r="P450" s="39"/>
      <c r="Q450" s="39"/>
      <c r="R450" s="39"/>
      <c r="S450" s="39"/>
    </row>
    <row r="451" spans="1:19" s="1" customFormat="1" ht="15" customHeight="1">
      <c r="A451" s="39"/>
      <c r="B451" s="39"/>
      <c r="C451" s="39"/>
      <c r="D451" s="39"/>
      <c r="E451" s="39"/>
      <c r="F451" s="39"/>
      <c r="G451" s="39"/>
      <c r="H451" s="39"/>
      <c r="I451" s="39"/>
      <c r="J451" s="39"/>
      <c r="K451" s="39"/>
      <c r="L451" s="39"/>
      <c r="M451" s="39"/>
      <c r="N451" s="39"/>
      <c r="O451" s="39"/>
      <c r="P451" s="39"/>
      <c r="Q451" s="39"/>
      <c r="R451" s="39"/>
      <c r="S451" s="39"/>
    </row>
    <row r="452" spans="1:19" s="1" customFormat="1" ht="15" customHeight="1">
      <c r="A452" s="39"/>
      <c r="B452" s="39"/>
      <c r="C452" s="39"/>
      <c r="D452" s="39"/>
      <c r="E452" s="39"/>
      <c r="F452" s="39"/>
      <c r="G452" s="39"/>
      <c r="H452" s="39"/>
      <c r="I452" s="39"/>
      <c r="J452" s="39"/>
      <c r="K452" s="39"/>
      <c r="L452" s="39"/>
      <c r="M452" s="39"/>
      <c r="N452" s="39"/>
      <c r="O452" s="39"/>
      <c r="P452" s="39"/>
      <c r="Q452" s="39"/>
      <c r="R452" s="39"/>
      <c r="S452" s="39"/>
    </row>
    <row r="453" spans="1:19" s="1" customFormat="1" ht="15" customHeight="1">
      <c r="A453" s="39"/>
      <c r="B453" s="39"/>
      <c r="C453" s="39"/>
      <c r="D453" s="39"/>
      <c r="E453" s="39"/>
      <c r="F453" s="39"/>
      <c r="G453" s="39"/>
      <c r="H453" s="39"/>
      <c r="I453" s="39"/>
      <c r="J453" s="39"/>
      <c r="K453" s="39"/>
      <c r="L453" s="39"/>
      <c r="M453" s="39"/>
      <c r="N453" s="39"/>
      <c r="O453" s="39"/>
      <c r="P453" s="39"/>
      <c r="Q453" s="39"/>
      <c r="R453" s="39"/>
      <c r="S453" s="39"/>
    </row>
    <row r="454" spans="1:19" s="1" customFormat="1" ht="15" customHeight="1">
      <c r="A454" s="39"/>
      <c r="B454" s="39"/>
      <c r="C454" s="39"/>
      <c r="D454" s="39"/>
      <c r="E454" s="39"/>
      <c r="F454" s="39"/>
      <c r="G454" s="39"/>
      <c r="H454" s="39"/>
      <c r="I454" s="39"/>
      <c r="J454" s="39"/>
      <c r="K454" s="39"/>
      <c r="L454" s="39"/>
      <c r="M454" s="39"/>
      <c r="N454" s="39"/>
      <c r="O454" s="39"/>
      <c r="P454" s="39"/>
      <c r="Q454" s="39"/>
      <c r="R454" s="39"/>
      <c r="S454" s="39"/>
    </row>
    <row r="455" spans="1:19" s="1" customFormat="1" ht="15" customHeight="1">
      <c r="A455" s="39"/>
      <c r="B455" s="39"/>
      <c r="C455" s="39"/>
      <c r="D455" s="39"/>
      <c r="E455" s="39"/>
      <c r="F455" s="39"/>
      <c r="G455" s="39"/>
      <c r="H455" s="39"/>
      <c r="I455" s="39"/>
      <c r="J455" s="39"/>
      <c r="K455" s="39"/>
      <c r="L455" s="39"/>
      <c r="M455" s="39"/>
      <c r="N455" s="39"/>
      <c r="O455" s="39"/>
      <c r="P455" s="39"/>
      <c r="Q455" s="39"/>
      <c r="R455" s="39"/>
      <c r="S455" s="39"/>
    </row>
    <row r="456" spans="1:19" s="1" customFormat="1" ht="15" customHeight="1">
      <c r="A456" s="39"/>
      <c r="B456" s="39"/>
      <c r="C456" s="39"/>
      <c r="D456" s="39"/>
      <c r="E456" s="39"/>
      <c r="F456" s="39"/>
      <c r="G456" s="39"/>
      <c r="H456" s="39"/>
      <c r="I456" s="39"/>
      <c r="J456" s="39"/>
      <c r="K456" s="39"/>
      <c r="L456" s="39"/>
      <c r="M456" s="39"/>
      <c r="N456" s="39"/>
      <c r="O456" s="39"/>
      <c r="P456" s="39"/>
      <c r="Q456" s="39"/>
      <c r="R456" s="39"/>
      <c r="S456" s="39"/>
    </row>
    <row r="457" spans="1:19" s="1" customFormat="1" ht="15" customHeight="1">
      <c r="A457" s="39"/>
      <c r="B457" s="39"/>
      <c r="C457" s="39"/>
      <c r="D457" s="39"/>
      <c r="E457" s="39"/>
      <c r="F457" s="39"/>
      <c r="G457" s="39"/>
      <c r="H457" s="39"/>
      <c r="I457" s="39"/>
      <c r="J457" s="39"/>
      <c r="K457" s="39"/>
      <c r="L457" s="39"/>
      <c r="M457" s="39"/>
      <c r="N457" s="39"/>
      <c r="O457" s="39"/>
      <c r="P457" s="39"/>
      <c r="Q457" s="39"/>
      <c r="R457" s="39"/>
      <c r="S457" s="39"/>
    </row>
    <row r="458" spans="1:19" s="1" customFormat="1" ht="15" customHeight="1">
      <c r="A458" s="39"/>
      <c r="B458" s="39"/>
      <c r="C458" s="39"/>
      <c r="D458" s="39"/>
      <c r="E458" s="39"/>
      <c r="F458" s="39"/>
      <c r="G458" s="39"/>
      <c r="H458" s="39"/>
      <c r="I458" s="39"/>
      <c r="J458" s="39"/>
      <c r="K458" s="39"/>
      <c r="L458" s="39"/>
      <c r="M458" s="39"/>
      <c r="N458" s="39"/>
      <c r="O458" s="39"/>
      <c r="P458" s="39"/>
      <c r="Q458" s="39"/>
      <c r="R458" s="39"/>
      <c r="S458" s="39"/>
    </row>
    <row r="459" spans="1:19" s="1" customFormat="1" ht="15" customHeight="1">
      <c r="A459" s="39"/>
      <c r="B459" s="39"/>
      <c r="C459" s="39"/>
      <c r="D459" s="39"/>
      <c r="E459" s="39"/>
      <c r="F459" s="39"/>
      <c r="G459" s="39"/>
      <c r="H459" s="39"/>
      <c r="I459" s="39"/>
      <c r="J459" s="39"/>
      <c r="K459" s="39"/>
      <c r="L459" s="39"/>
      <c r="M459" s="39"/>
      <c r="N459" s="39"/>
      <c r="O459" s="39"/>
      <c r="P459" s="39"/>
      <c r="Q459" s="39"/>
      <c r="R459" s="39"/>
      <c r="S459" s="39"/>
    </row>
    <row r="460" spans="1:19" s="1" customFormat="1" ht="15" customHeight="1">
      <c r="A460" s="39"/>
      <c r="B460" s="39"/>
      <c r="C460" s="39"/>
      <c r="D460" s="39"/>
      <c r="E460" s="39"/>
      <c r="F460" s="39"/>
      <c r="G460" s="39"/>
      <c r="H460" s="39"/>
      <c r="I460" s="39"/>
      <c r="J460" s="39"/>
      <c r="K460" s="39"/>
      <c r="L460" s="39"/>
      <c r="M460" s="39"/>
      <c r="N460" s="39"/>
      <c r="O460" s="39"/>
      <c r="P460" s="39"/>
      <c r="Q460" s="39"/>
      <c r="R460" s="39"/>
      <c r="S460" s="39"/>
    </row>
    <row r="461" spans="1:19" s="1" customFormat="1" ht="15" customHeight="1">
      <c r="A461" s="39"/>
      <c r="B461" s="39"/>
      <c r="C461" s="39"/>
      <c r="D461" s="39"/>
      <c r="E461" s="39"/>
      <c r="F461" s="39"/>
      <c r="G461" s="39"/>
      <c r="H461" s="39"/>
      <c r="I461" s="39"/>
      <c r="J461" s="39"/>
      <c r="K461" s="39"/>
      <c r="L461" s="39"/>
      <c r="M461" s="39"/>
      <c r="N461" s="39"/>
      <c r="O461" s="39"/>
      <c r="P461" s="39"/>
      <c r="Q461" s="39"/>
      <c r="R461" s="39"/>
      <c r="S461" s="39"/>
    </row>
    <row r="462" spans="1:19" s="1" customFormat="1" ht="15" customHeight="1">
      <c r="A462" s="39"/>
      <c r="B462" s="39"/>
      <c r="C462" s="39"/>
      <c r="D462" s="39"/>
      <c r="E462" s="39"/>
      <c r="F462" s="39"/>
      <c r="G462" s="39"/>
      <c r="H462" s="39"/>
      <c r="I462" s="39"/>
      <c r="J462" s="39"/>
      <c r="K462" s="39"/>
      <c r="L462" s="39"/>
      <c r="M462" s="39"/>
      <c r="N462" s="39"/>
      <c r="O462" s="39"/>
      <c r="P462" s="39"/>
      <c r="Q462" s="39"/>
      <c r="R462" s="39"/>
      <c r="S462" s="39"/>
    </row>
    <row r="463" spans="1:19" s="1" customFormat="1" ht="15" customHeight="1">
      <c r="A463" s="39"/>
      <c r="B463" s="39"/>
      <c r="C463" s="39"/>
      <c r="D463" s="39"/>
      <c r="E463" s="39"/>
      <c r="F463" s="39"/>
      <c r="G463" s="39"/>
      <c r="H463" s="39"/>
      <c r="I463" s="39"/>
      <c r="J463" s="39"/>
      <c r="K463" s="39"/>
      <c r="L463" s="39"/>
      <c r="M463" s="39"/>
      <c r="N463" s="39"/>
      <c r="O463" s="39"/>
      <c r="P463" s="39"/>
      <c r="Q463" s="39"/>
      <c r="R463" s="39"/>
      <c r="S463" s="39"/>
    </row>
    <row r="464" spans="1:19" s="1" customFormat="1" ht="15" customHeight="1">
      <c r="A464" s="39"/>
      <c r="B464" s="39"/>
      <c r="C464" s="39"/>
      <c r="D464" s="39"/>
      <c r="E464" s="39"/>
      <c r="F464" s="39"/>
      <c r="G464" s="39"/>
      <c r="H464" s="39"/>
      <c r="I464" s="39"/>
      <c r="J464" s="39"/>
      <c r="K464" s="39"/>
      <c r="L464" s="39"/>
      <c r="M464" s="39"/>
      <c r="N464" s="39"/>
      <c r="O464" s="39"/>
      <c r="P464" s="39"/>
      <c r="Q464" s="39"/>
      <c r="R464" s="39"/>
      <c r="S464" s="39"/>
    </row>
    <row r="465" spans="1:19" s="1" customFormat="1" ht="15" customHeight="1">
      <c r="A465" s="39"/>
      <c r="B465" s="39"/>
      <c r="C465" s="39"/>
      <c r="D465" s="39"/>
      <c r="E465" s="39"/>
      <c r="F465" s="39"/>
      <c r="G465" s="39"/>
      <c r="H465" s="39"/>
      <c r="I465" s="39"/>
      <c r="J465" s="39"/>
      <c r="K465" s="39"/>
      <c r="L465" s="39"/>
      <c r="M465" s="39"/>
      <c r="N465" s="39"/>
      <c r="O465" s="39"/>
      <c r="P465" s="39"/>
      <c r="Q465" s="39"/>
      <c r="R465" s="39"/>
      <c r="S465" s="39"/>
    </row>
    <row r="466" spans="1:19" s="1" customFormat="1" ht="15" customHeight="1">
      <c r="A466" s="39"/>
      <c r="B466" s="39"/>
      <c r="C466" s="39"/>
      <c r="D466" s="39"/>
      <c r="E466" s="39"/>
      <c r="F466" s="39"/>
      <c r="G466" s="39"/>
      <c r="H466" s="39"/>
      <c r="I466" s="39"/>
      <c r="J466" s="39"/>
      <c r="K466" s="39"/>
      <c r="L466" s="39"/>
      <c r="M466" s="39"/>
      <c r="N466" s="39"/>
      <c r="O466" s="39"/>
      <c r="P466" s="39"/>
      <c r="Q466" s="39"/>
      <c r="R466" s="39"/>
      <c r="S466" s="39"/>
    </row>
    <row r="467" spans="1:19" s="1" customFormat="1" ht="15" customHeight="1">
      <c r="A467" s="39"/>
      <c r="B467" s="39"/>
      <c r="C467" s="39"/>
      <c r="D467" s="39"/>
      <c r="E467" s="39"/>
      <c r="F467" s="39"/>
      <c r="G467" s="39"/>
      <c r="H467" s="39"/>
      <c r="I467" s="39"/>
      <c r="J467" s="39"/>
      <c r="K467" s="39"/>
      <c r="L467" s="39"/>
      <c r="M467" s="39"/>
      <c r="N467" s="39"/>
      <c r="O467" s="39"/>
      <c r="P467" s="39"/>
      <c r="Q467" s="39"/>
      <c r="R467" s="39"/>
      <c r="S467" s="39"/>
    </row>
    <row r="468" spans="1:19" s="1" customFormat="1" ht="15" customHeight="1">
      <c r="A468" s="39"/>
      <c r="B468" s="39"/>
      <c r="C468" s="39"/>
      <c r="D468" s="39"/>
      <c r="E468" s="39"/>
      <c r="F468" s="39"/>
      <c r="G468" s="39"/>
      <c r="H468" s="39"/>
      <c r="I468" s="39"/>
      <c r="J468" s="39"/>
      <c r="K468" s="39"/>
      <c r="L468" s="39"/>
      <c r="M468" s="39"/>
      <c r="N468" s="39"/>
      <c r="O468" s="39"/>
      <c r="P468" s="39"/>
      <c r="Q468" s="39"/>
      <c r="R468" s="39"/>
      <c r="S468" s="39"/>
    </row>
    <row r="469" spans="1:19" s="1" customFormat="1" ht="15" customHeight="1">
      <c r="A469" s="39"/>
      <c r="B469" s="39"/>
      <c r="C469" s="39"/>
      <c r="D469" s="39"/>
      <c r="E469" s="39"/>
      <c r="F469" s="39"/>
      <c r="G469" s="39"/>
      <c r="H469" s="39"/>
      <c r="I469" s="39"/>
      <c r="J469" s="39"/>
      <c r="K469" s="39"/>
      <c r="L469" s="39"/>
      <c r="M469" s="39"/>
      <c r="N469" s="39"/>
      <c r="O469" s="39"/>
      <c r="P469" s="39"/>
      <c r="Q469" s="39"/>
      <c r="R469" s="39"/>
      <c r="S469" s="39"/>
    </row>
    <row r="470" spans="1:19" s="1" customFormat="1" ht="15" customHeight="1">
      <c r="A470" s="39"/>
      <c r="B470" s="39"/>
      <c r="C470" s="39"/>
      <c r="D470" s="39"/>
      <c r="E470" s="39"/>
      <c r="F470" s="39"/>
      <c r="G470" s="39"/>
      <c r="H470" s="39"/>
      <c r="I470" s="39"/>
      <c r="J470" s="39"/>
      <c r="K470" s="39"/>
      <c r="L470" s="39"/>
      <c r="M470" s="39"/>
      <c r="N470" s="39"/>
      <c r="O470" s="39"/>
      <c r="P470" s="39"/>
      <c r="Q470" s="39"/>
      <c r="R470" s="39"/>
      <c r="S470" s="39"/>
    </row>
    <row r="471" spans="1:19" s="1" customFormat="1" ht="15" customHeight="1">
      <c r="A471" s="39"/>
      <c r="B471" s="39"/>
      <c r="C471" s="39"/>
      <c r="D471" s="39"/>
      <c r="E471" s="39"/>
      <c r="F471" s="39"/>
      <c r="G471" s="39"/>
      <c r="H471" s="39"/>
      <c r="I471" s="39"/>
      <c r="J471" s="39"/>
      <c r="K471" s="39"/>
      <c r="L471" s="39"/>
      <c r="M471" s="39"/>
      <c r="N471" s="39"/>
      <c r="O471" s="39"/>
      <c r="P471" s="39"/>
      <c r="Q471" s="39"/>
      <c r="R471" s="39"/>
      <c r="S471" s="39"/>
    </row>
    <row r="472" spans="1:19" s="1" customFormat="1" ht="15" customHeight="1">
      <c r="A472" s="39"/>
      <c r="B472" s="39"/>
      <c r="C472" s="39"/>
      <c r="D472" s="39"/>
      <c r="E472" s="39"/>
      <c r="F472" s="39"/>
      <c r="G472" s="39"/>
      <c r="H472" s="39"/>
      <c r="I472" s="39"/>
      <c r="J472" s="39"/>
      <c r="K472" s="39"/>
      <c r="L472" s="39"/>
      <c r="M472" s="39"/>
      <c r="N472" s="39"/>
      <c r="O472" s="39"/>
      <c r="P472" s="39"/>
      <c r="Q472" s="39"/>
      <c r="R472" s="39"/>
      <c r="S472" s="39"/>
    </row>
    <row r="473" spans="1:19" s="1" customFormat="1" ht="15" customHeight="1">
      <c r="A473" s="39"/>
      <c r="B473" s="39"/>
      <c r="C473" s="39"/>
      <c r="D473" s="39"/>
      <c r="E473" s="39"/>
      <c r="F473" s="39"/>
      <c r="G473" s="39"/>
      <c r="H473" s="39"/>
      <c r="I473" s="39"/>
      <c r="J473" s="39"/>
      <c r="K473" s="39"/>
      <c r="L473" s="39"/>
      <c r="M473" s="39"/>
      <c r="N473" s="39"/>
      <c r="O473" s="39"/>
      <c r="P473" s="39"/>
      <c r="Q473" s="39"/>
      <c r="R473" s="39"/>
      <c r="S473" s="39"/>
    </row>
    <row r="474" spans="1:19" s="1" customFormat="1" ht="15" customHeight="1">
      <c r="A474" s="39"/>
      <c r="B474" s="39"/>
      <c r="C474" s="39"/>
      <c r="D474" s="39"/>
      <c r="E474" s="39"/>
      <c r="F474" s="39"/>
      <c r="G474" s="39"/>
      <c r="H474" s="39"/>
      <c r="I474" s="39"/>
      <c r="J474" s="39"/>
      <c r="K474" s="39"/>
      <c r="L474" s="39"/>
      <c r="M474" s="39"/>
      <c r="N474" s="39"/>
      <c r="O474" s="39"/>
      <c r="P474" s="39"/>
      <c r="Q474" s="39"/>
      <c r="R474" s="39"/>
      <c r="S474" s="39"/>
    </row>
    <row r="475" spans="1:19" s="1" customFormat="1" ht="15" customHeight="1">
      <c r="A475" s="39"/>
      <c r="B475" s="39"/>
      <c r="C475" s="39"/>
      <c r="D475" s="39"/>
      <c r="E475" s="39"/>
      <c r="F475" s="39"/>
      <c r="G475" s="39"/>
      <c r="H475" s="39"/>
      <c r="I475" s="39"/>
      <c r="J475" s="39"/>
      <c r="K475" s="39"/>
      <c r="L475" s="39"/>
      <c r="M475" s="39"/>
      <c r="N475" s="39"/>
      <c r="O475" s="39"/>
      <c r="P475" s="39"/>
      <c r="Q475" s="39"/>
      <c r="R475" s="39"/>
      <c r="S475" s="39"/>
    </row>
    <row r="476" spans="1:19" s="1" customFormat="1" ht="15" customHeight="1">
      <c r="A476" s="39"/>
      <c r="B476" s="39"/>
      <c r="C476" s="39"/>
      <c r="D476" s="39"/>
      <c r="E476" s="39"/>
      <c r="F476" s="39"/>
      <c r="G476" s="39"/>
      <c r="H476" s="39"/>
      <c r="I476" s="39"/>
      <c r="J476" s="39"/>
      <c r="K476" s="39"/>
      <c r="L476" s="39"/>
      <c r="M476" s="39"/>
      <c r="N476" s="39"/>
      <c r="O476" s="39"/>
      <c r="P476" s="39"/>
      <c r="Q476" s="39"/>
      <c r="R476" s="39"/>
      <c r="S476" s="39"/>
    </row>
    <row r="477" spans="1:19" s="1" customFormat="1" ht="15" customHeight="1">
      <c r="A477" s="39"/>
      <c r="B477" s="39"/>
      <c r="C477" s="39"/>
      <c r="D477" s="39"/>
      <c r="E477" s="39"/>
      <c r="F477" s="39"/>
      <c r="G477" s="39"/>
      <c r="H477" s="39"/>
      <c r="I477" s="39"/>
      <c r="J477" s="39"/>
      <c r="K477" s="39"/>
      <c r="L477" s="39"/>
      <c r="M477" s="39"/>
      <c r="N477" s="39"/>
      <c r="O477" s="39"/>
      <c r="P477" s="39"/>
      <c r="Q477" s="39"/>
      <c r="R477" s="39"/>
      <c r="S477" s="39"/>
    </row>
    <row r="478" spans="1:19" s="1" customFormat="1" ht="15" customHeight="1">
      <c r="A478" s="39"/>
      <c r="B478" s="39"/>
      <c r="C478" s="39"/>
      <c r="D478" s="39"/>
      <c r="E478" s="39"/>
      <c r="F478" s="39"/>
      <c r="G478" s="39"/>
      <c r="H478" s="39"/>
      <c r="I478" s="39"/>
      <c r="J478" s="39"/>
      <c r="K478" s="39"/>
      <c r="L478" s="39"/>
      <c r="M478" s="39"/>
      <c r="N478" s="39"/>
      <c r="O478" s="39"/>
      <c r="P478" s="39"/>
      <c r="Q478" s="39"/>
      <c r="R478" s="39"/>
      <c r="S478" s="39"/>
    </row>
    <row r="479" spans="1:19" s="1" customFormat="1" ht="15" customHeight="1">
      <c r="A479" s="39"/>
      <c r="B479" s="39"/>
      <c r="C479" s="39"/>
      <c r="D479" s="39"/>
      <c r="E479" s="39"/>
      <c r="F479" s="39"/>
      <c r="G479" s="39"/>
      <c r="H479" s="39"/>
      <c r="I479" s="39"/>
      <c r="J479" s="39"/>
      <c r="K479" s="39"/>
      <c r="L479" s="39"/>
      <c r="M479" s="39"/>
      <c r="N479" s="39"/>
      <c r="O479" s="39"/>
      <c r="P479" s="39"/>
      <c r="Q479" s="39"/>
      <c r="R479" s="39"/>
      <c r="S479" s="39"/>
    </row>
    <row r="480" spans="1:19" s="1" customFormat="1" ht="15" customHeight="1">
      <c r="A480" s="39"/>
      <c r="B480" s="39"/>
      <c r="C480" s="39"/>
      <c r="D480" s="39"/>
      <c r="E480" s="39"/>
      <c r="F480" s="39"/>
      <c r="G480" s="39"/>
      <c r="H480" s="39"/>
      <c r="I480" s="39"/>
      <c r="J480" s="39"/>
      <c r="K480" s="39"/>
      <c r="L480" s="39"/>
      <c r="M480" s="39"/>
      <c r="N480" s="39"/>
      <c r="O480" s="39"/>
      <c r="P480" s="39"/>
      <c r="Q480" s="39"/>
      <c r="R480" s="39"/>
      <c r="S480" s="39"/>
    </row>
    <row r="481" spans="1:19" s="1" customFormat="1" ht="15" customHeight="1">
      <c r="A481" s="39"/>
      <c r="B481" s="39"/>
      <c r="C481" s="39"/>
      <c r="D481" s="39"/>
      <c r="E481" s="39"/>
      <c r="F481" s="39"/>
      <c r="G481" s="39"/>
      <c r="H481" s="39"/>
      <c r="I481" s="39"/>
      <c r="J481" s="39"/>
      <c r="K481" s="39"/>
      <c r="L481" s="39"/>
      <c r="M481" s="39"/>
      <c r="N481" s="39"/>
      <c r="O481" s="39"/>
      <c r="P481" s="39"/>
      <c r="Q481" s="39"/>
      <c r="R481" s="39"/>
      <c r="S481" s="39"/>
    </row>
    <row r="482" spans="1:19" s="1" customFormat="1" ht="15" customHeight="1">
      <c r="A482" s="39"/>
      <c r="B482" s="39"/>
      <c r="C482" s="39"/>
      <c r="D482" s="39"/>
      <c r="E482" s="39"/>
      <c r="F482" s="39"/>
      <c r="G482" s="39"/>
      <c r="H482" s="39"/>
      <c r="I482" s="39"/>
      <c r="J482" s="39"/>
      <c r="K482" s="39"/>
      <c r="L482" s="39"/>
      <c r="M482" s="39"/>
      <c r="N482" s="39"/>
      <c r="O482" s="39"/>
      <c r="P482" s="39"/>
      <c r="Q482" s="39"/>
      <c r="R482" s="39"/>
      <c r="S482" s="39"/>
    </row>
    <row r="483" spans="1:19" s="1" customFormat="1" ht="15" customHeight="1">
      <c r="A483" s="39"/>
      <c r="B483" s="39"/>
      <c r="C483" s="39"/>
      <c r="D483" s="39"/>
      <c r="E483" s="39"/>
      <c r="F483" s="39"/>
      <c r="G483" s="39"/>
      <c r="H483" s="39"/>
      <c r="I483" s="39"/>
      <c r="J483" s="39"/>
      <c r="K483" s="39"/>
      <c r="L483" s="39"/>
      <c r="M483" s="39"/>
      <c r="N483" s="39"/>
      <c r="O483" s="39"/>
      <c r="P483" s="39"/>
      <c r="Q483" s="39"/>
      <c r="R483" s="39"/>
      <c r="S483" s="39"/>
    </row>
    <row r="484" spans="1:19" s="1" customFormat="1" ht="15" customHeight="1">
      <c r="A484" s="39"/>
      <c r="B484" s="39"/>
      <c r="C484" s="39"/>
      <c r="D484" s="39"/>
      <c r="E484" s="39"/>
      <c r="F484" s="39"/>
      <c r="G484" s="39"/>
      <c r="H484" s="39"/>
      <c r="I484" s="39"/>
      <c r="J484" s="39"/>
      <c r="K484" s="39"/>
      <c r="L484" s="39"/>
      <c r="M484" s="39"/>
      <c r="N484" s="39"/>
      <c r="O484" s="39"/>
      <c r="P484" s="39"/>
      <c r="Q484" s="39"/>
      <c r="R484" s="39"/>
      <c r="S484" s="39"/>
    </row>
    <row r="485" spans="1:19" s="1" customFormat="1" ht="15" customHeight="1">
      <c r="A485" s="39"/>
      <c r="B485" s="39"/>
      <c r="C485" s="39"/>
      <c r="D485" s="39"/>
      <c r="E485" s="39"/>
      <c r="F485" s="39"/>
      <c r="G485" s="39"/>
      <c r="H485" s="39"/>
      <c r="I485" s="39"/>
      <c r="J485" s="39"/>
      <c r="K485" s="39"/>
      <c r="L485" s="39"/>
      <c r="M485" s="39"/>
      <c r="N485" s="39"/>
      <c r="O485" s="39"/>
      <c r="P485" s="39"/>
      <c r="Q485" s="39"/>
      <c r="R485" s="39"/>
      <c r="S485" s="39"/>
    </row>
    <row r="486" spans="1:19" s="1" customFormat="1" ht="15" customHeight="1">
      <c r="A486" s="39"/>
      <c r="B486" s="39"/>
      <c r="C486" s="39"/>
      <c r="D486" s="39"/>
      <c r="E486" s="39"/>
      <c r="F486" s="39"/>
      <c r="G486" s="39"/>
      <c r="H486" s="39"/>
      <c r="I486" s="39"/>
      <c r="J486" s="39"/>
      <c r="K486" s="39"/>
      <c r="L486" s="39"/>
      <c r="M486" s="39"/>
      <c r="N486" s="39"/>
      <c r="O486" s="39"/>
      <c r="P486" s="39"/>
      <c r="Q486" s="39"/>
      <c r="R486" s="39"/>
      <c r="S486" s="39"/>
    </row>
    <row r="487" spans="1:19" s="1" customFormat="1" ht="15" customHeight="1">
      <c r="A487" s="39"/>
      <c r="B487" s="39"/>
      <c r="C487" s="39"/>
      <c r="D487" s="39"/>
      <c r="E487" s="39"/>
      <c r="F487" s="39"/>
      <c r="G487" s="39"/>
      <c r="H487" s="39"/>
      <c r="I487" s="39"/>
      <c r="J487" s="39"/>
      <c r="K487" s="39"/>
      <c r="L487" s="39"/>
      <c r="M487" s="39"/>
      <c r="N487" s="39"/>
      <c r="O487" s="39"/>
      <c r="P487" s="39"/>
      <c r="Q487" s="39"/>
      <c r="R487" s="39"/>
      <c r="S487" s="39"/>
    </row>
    <row r="488" spans="1:19" s="1" customFormat="1" ht="15" customHeight="1">
      <c r="A488" s="39"/>
      <c r="B488" s="39"/>
      <c r="C488" s="39"/>
      <c r="D488" s="39"/>
      <c r="E488" s="39"/>
      <c r="F488" s="39"/>
      <c r="G488" s="39"/>
      <c r="H488" s="39"/>
      <c r="I488" s="39"/>
      <c r="J488" s="39"/>
      <c r="K488" s="39"/>
      <c r="L488" s="39"/>
      <c r="M488" s="39"/>
      <c r="N488" s="39"/>
      <c r="O488" s="39"/>
      <c r="P488" s="39"/>
      <c r="Q488" s="39"/>
      <c r="R488" s="39"/>
      <c r="S488" s="39"/>
    </row>
    <row r="489" spans="1:19" s="1" customFormat="1" ht="15" customHeight="1">
      <c r="A489" s="39"/>
      <c r="B489" s="39"/>
      <c r="C489" s="39"/>
      <c r="D489" s="39"/>
      <c r="E489" s="39"/>
      <c r="F489" s="39"/>
      <c r="G489" s="39"/>
      <c r="H489" s="39"/>
      <c r="I489" s="39"/>
      <c r="J489" s="39"/>
      <c r="K489" s="39"/>
      <c r="L489" s="39"/>
      <c r="M489" s="39"/>
      <c r="N489" s="39"/>
      <c r="O489" s="39"/>
      <c r="P489" s="39"/>
      <c r="Q489" s="39"/>
      <c r="R489" s="39"/>
      <c r="S489" s="39"/>
    </row>
    <row r="490" spans="1:19" s="1" customFormat="1" ht="15" customHeight="1">
      <c r="A490" s="39"/>
      <c r="B490" s="39"/>
      <c r="C490" s="39"/>
      <c r="D490" s="39"/>
      <c r="E490" s="39"/>
      <c r="F490" s="39"/>
      <c r="G490" s="39"/>
      <c r="H490" s="39"/>
      <c r="I490" s="39"/>
      <c r="J490" s="39"/>
      <c r="K490" s="39"/>
      <c r="L490" s="39"/>
      <c r="M490" s="39"/>
      <c r="N490" s="39"/>
      <c r="O490" s="39"/>
      <c r="P490" s="39"/>
      <c r="Q490" s="39"/>
      <c r="R490" s="39"/>
      <c r="S490" s="39"/>
    </row>
    <row r="491" spans="1:19" s="1" customFormat="1" ht="15" customHeight="1">
      <c r="A491" s="39"/>
      <c r="B491" s="39"/>
      <c r="C491" s="39"/>
      <c r="D491" s="39"/>
      <c r="E491" s="39"/>
      <c r="F491" s="39"/>
      <c r="G491" s="39"/>
      <c r="H491" s="39"/>
      <c r="I491" s="39"/>
      <c r="J491" s="39"/>
      <c r="K491" s="39"/>
      <c r="L491" s="39"/>
      <c r="M491" s="39"/>
      <c r="N491" s="39"/>
      <c r="O491" s="39"/>
      <c r="P491" s="39"/>
      <c r="Q491" s="39"/>
      <c r="R491" s="39"/>
      <c r="S491" s="39"/>
    </row>
    <row r="492" spans="1:19" s="1" customFormat="1" ht="15" customHeight="1">
      <c r="A492" s="39"/>
      <c r="B492" s="39"/>
      <c r="C492" s="39"/>
      <c r="D492" s="39"/>
      <c r="E492" s="39"/>
      <c r="F492" s="39"/>
      <c r="G492" s="39"/>
      <c r="H492" s="39"/>
      <c r="I492" s="39"/>
      <c r="J492" s="39"/>
      <c r="K492" s="39"/>
      <c r="L492" s="39"/>
      <c r="M492" s="39"/>
      <c r="N492" s="39"/>
      <c r="O492" s="39"/>
      <c r="P492" s="39"/>
      <c r="Q492" s="39"/>
      <c r="R492" s="39"/>
      <c r="S492" s="39"/>
    </row>
    <row r="493" spans="1:19" s="1" customFormat="1" ht="15" customHeight="1">
      <c r="A493" s="39"/>
      <c r="B493" s="39"/>
      <c r="C493" s="39"/>
      <c r="D493" s="39"/>
      <c r="E493" s="39"/>
      <c r="F493" s="39"/>
      <c r="G493" s="39"/>
      <c r="H493" s="39"/>
      <c r="I493" s="39"/>
      <c r="J493" s="39"/>
      <c r="K493" s="39"/>
      <c r="L493" s="39"/>
      <c r="M493" s="39"/>
      <c r="N493" s="39"/>
      <c r="O493" s="39"/>
      <c r="P493" s="39"/>
      <c r="Q493" s="39"/>
      <c r="R493" s="39"/>
      <c r="S493" s="39"/>
    </row>
    <row r="494" spans="1:19" s="1" customFormat="1" ht="15" customHeight="1">
      <c r="A494" s="39"/>
      <c r="B494" s="39"/>
      <c r="C494" s="39"/>
      <c r="D494" s="39"/>
      <c r="E494" s="39"/>
      <c r="F494" s="39"/>
      <c r="G494" s="39"/>
      <c r="H494" s="39"/>
      <c r="I494" s="39"/>
      <c r="J494" s="39"/>
      <c r="K494" s="39"/>
      <c r="L494" s="39"/>
      <c r="M494" s="39"/>
      <c r="N494" s="39"/>
      <c r="O494" s="39"/>
      <c r="P494" s="39"/>
      <c r="Q494" s="39"/>
      <c r="R494" s="39"/>
      <c r="S494" s="39"/>
    </row>
    <row r="495" spans="1:19" s="1" customFormat="1" ht="15" customHeight="1">
      <c r="A495" s="39"/>
      <c r="B495" s="39"/>
      <c r="C495" s="39"/>
      <c r="D495" s="39"/>
      <c r="E495" s="39"/>
      <c r="F495" s="39"/>
      <c r="G495" s="39"/>
      <c r="H495" s="39"/>
      <c r="I495" s="39"/>
      <c r="J495" s="39"/>
      <c r="K495" s="39"/>
      <c r="L495" s="39"/>
      <c r="M495" s="39"/>
      <c r="N495" s="39"/>
      <c r="O495" s="39"/>
      <c r="P495" s="39"/>
      <c r="Q495" s="39"/>
      <c r="R495" s="39"/>
      <c r="S495" s="39"/>
    </row>
    <row r="496" spans="1:19" s="1" customFormat="1" ht="15" customHeight="1">
      <c r="A496" s="39"/>
      <c r="B496" s="39"/>
      <c r="C496" s="39"/>
      <c r="D496" s="39"/>
      <c r="E496" s="39"/>
      <c r="F496" s="39"/>
      <c r="G496" s="39"/>
      <c r="H496" s="39"/>
      <c r="I496" s="39"/>
      <c r="J496" s="39"/>
      <c r="K496" s="39"/>
      <c r="L496" s="39"/>
      <c r="M496" s="39"/>
      <c r="N496" s="39"/>
      <c r="O496" s="39"/>
      <c r="P496" s="39"/>
      <c r="Q496" s="39"/>
      <c r="R496" s="39"/>
      <c r="S496" s="39"/>
    </row>
    <row r="497" spans="1:19" s="1" customFormat="1" ht="15" customHeight="1">
      <c r="A497" s="39"/>
      <c r="B497" s="39"/>
      <c r="C497" s="39"/>
      <c r="D497" s="39"/>
      <c r="E497" s="39"/>
      <c r="F497" s="39"/>
      <c r="G497" s="39"/>
      <c r="H497" s="39"/>
      <c r="I497" s="39"/>
      <c r="J497" s="39"/>
      <c r="K497" s="39"/>
      <c r="L497" s="39"/>
      <c r="M497" s="39"/>
      <c r="N497" s="39"/>
      <c r="O497" s="39"/>
      <c r="P497" s="39"/>
      <c r="Q497" s="39"/>
      <c r="R497" s="39"/>
      <c r="S497" s="39"/>
    </row>
    <row r="498" spans="1:19" s="1" customFormat="1" ht="15" customHeight="1">
      <c r="A498" s="39"/>
      <c r="B498" s="39"/>
      <c r="C498" s="39"/>
      <c r="D498" s="39"/>
      <c r="E498" s="39"/>
      <c r="F498" s="39"/>
      <c r="G498" s="39"/>
      <c r="H498" s="39"/>
      <c r="I498" s="39"/>
      <c r="J498" s="39"/>
      <c r="K498" s="39"/>
      <c r="L498" s="39"/>
      <c r="M498" s="39"/>
      <c r="N498" s="39"/>
      <c r="O498" s="39"/>
      <c r="P498" s="39"/>
      <c r="Q498" s="39"/>
      <c r="R498" s="39"/>
      <c r="S498" s="39"/>
    </row>
    <row r="499" spans="1:19" s="1" customFormat="1" ht="15" customHeight="1">
      <c r="A499" s="39"/>
      <c r="B499" s="39"/>
      <c r="C499" s="39"/>
      <c r="D499" s="39"/>
      <c r="E499" s="39"/>
      <c r="F499" s="39"/>
      <c r="G499" s="39"/>
      <c r="H499" s="39"/>
      <c r="I499" s="39"/>
      <c r="J499" s="39"/>
      <c r="K499" s="39"/>
      <c r="L499" s="39"/>
      <c r="M499" s="39"/>
      <c r="N499" s="39"/>
      <c r="O499" s="39"/>
      <c r="P499" s="39"/>
      <c r="Q499" s="39"/>
      <c r="R499" s="39"/>
      <c r="S499" s="39"/>
    </row>
    <row r="500" spans="1:19" s="1" customFormat="1" ht="15" customHeight="1">
      <c r="A500" s="39"/>
      <c r="B500" s="39"/>
      <c r="C500" s="39"/>
      <c r="D500" s="39"/>
      <c r="E500" s="39"/>
      <c r="F500" s="39"/>
      <c r="G500" s="39"/>
      <c r="H500" s="39"/>
      <c r="I500" s="39"/>
      <c r="J500" s="39"/>
      <c r="K500" s="39"/>
      <c r="L500" s="39"/>
      <c r="M500" s="39"/>
      <c r="N500" s="39"/>
      <c r="O500" s="39"/>
      <c r="P500" s="39"/>
      <c r="Q500" s="39"/>
      <c r="R500" s="39"/>
      <c r="S500" s="39"/>
    </row>
    <row r="501" spans="1:19" s="1" customFormat="1" ht="15" customHeight="1">
      <c r="A501" s="39"/>
      <c r="B501" s="39"/>
      <c r="C501" s="39"/>
      <c r="D501" s="39"/>
      <c r="E501" s="39"/>
      <c r="F501" s="39"/>
      <c r="G501" s="39"/>
      <c r="H501" s="39"/>
      <c r="I501" s="39"/>
      <c r="J501" s="39"/>
      <c r="K501" s="39"/>
      <c r="L501" s="39"/>
      <c r="M501" s="39"/>
      <c r="N501" s="39"/>
      <c r="O501" s="39"/>
      <c r="P501" s="39"/>
      <c r="Q501" s="39"/>
      <c r="R501" s="39"/>
      <c r="S501" s="39"/>
    </row>
    <row r="502" spans="1:19" s="1" customFormat="1" ht="15" customHeight="1">
      <c r="A502" s="39"/>
      <c r="B502" s="39"/>
      <c r="C502" s="39"/>
      <c r="D502" s="39"/>
      <c r="E502" s="39"/>
      <c r="F502" s="39"/>
      <c r="G502" s="39"/>
      <c r="H502" s="39"/>
      <c r="I502" s="39"/>
      <c r="J502" s="39"/>
      <c r="K502" s="39"/>
      <c r="L502" s="39"/>
      <c r="M502" s="39"/>
      <c r="N502" s="39"/>
      <c r="O502" s="39"/>
      <c r="P502" s="39"/>
      <c r="Q502" s="39"/>
      <c r="R502" s="39"/>
      <c r="S502" s="39"/>
    </row>
    <row r="503" spans="1:19" s="1" customFormat="1" ht="15" customHeight="1">
      <c r="A503" s="39"/>
      <c r="B503" s="39"/>
      <c r="C503" s="39"/>
      <c r="D503" s="39"/>
      <c r="E503" s="39"/>
      <c r="F503" s="39"/>
      <c r="G503" s="39"/>
      <c r="H503" s="39"/>
      <c r="I503" s="39"/>
      <c r="J503" s="39"/>
      <c r="K503" s="39"/>
      <c r="L503" s="39"/>
      <c r="M503" s="39"/>
      <c r="N503" s="39"/>
      <c r="O503" s="39"/>
      <c r="P503" s="39"/>
      <c r="Q503" s="39"/>
      <c r="R503" s="39"/>
      <c r="S503" s="39"/>
    </row>
    <row r="504" spans="1:19" s="1" customFormat="1" ht="15" customHeight="1">
      <c r="A504" s="39"/>
      <c r="B504" s="39"/>
      <c r="C504" s="39"/>
      <c r="D504" s="39"/>
      <c r="E504" s="39"/>
      <c r="F504" s="39"/>
      <c r="G504" s="39"/>
      <c r="H504" s="39"/>
      <c r="I504" s="39"/>
      <c r="J504" s="39"/>
      <c r="K504" s="39"/>
      <c r="L504" s="39"/>
      <c r="M504" s="39"/>
      <c r="N504" s="39"/>
      <c r="O504" s="39"/>
      <c r="P504" s="39"/>
      <c r="Q504" s="39"/>
      <c r="R504" s="39"/>
      <c r="S504" s="39"/>
    </row>
    <row r="505" spans="1:19" s="1" customFormat="1" ht="15" customHeight="1">
      <c r="A505" s="39"/>
      <c r="B505" s="39"/>
      <c r="C505" s="39"/>
      <c r="D505" s="39"/>
      <c r="E505" s="39"/>
      <c r="F505" s="39"/>
      <c r="G505" s="39"/>
      <c r="H505" s="39"/>
      <c r="I505" s="39"/>
      <c r="J505" s="39"/>
      <c r="K505" s="39"/>
      <c r="L505" s="39"/>
      <c r="M505" s="39"/>
      <c r="N505" s="39"/>
      <c r="O505" s="39"/>
      <c r="P505" s="39"/>
      <c r="Q505" s="39"/>
      <c r="R505" s="39"/>
      <c r="S505" s="39"/>
    </row>
    <row r="506" spans="1:19" s="1" customFormat="1" ht="15" customHeight="1">
      <c r="A506" s="39"/>
      <c r="B506" s="39"/>
      <c r="C506" s="39"/>
      <c r="D506" s="39"/>
      <c r="E506" s="39"/>
      <c r="F506" s="39"/>
      <c r="G506" s="39"/>
      <c r="H506" s="39"/>
      <c r="I506" s="39"/>
      <c r="J506" s="39"/>
      <c r="K506" s="39"/>
      <c r="L506" s="39"/>
      <c r="M506" s="39"/>
      <c r="N506" s="39"/>
      <c r="O506" s="39"/>
      <c r="P506" s="39"/>
      <c r="Q506" s="39"/>
      <c r="R506" s="39"/>
      <c r="S506" s="39"/>
    </row>
    <row r="507" spans="1:19" s="1" customFormat="1" ht="15" customHeight="1">
      <c r="A507" s="39"/>
      <c r="B507" s="39"/>
      <c r="C507" s="39"/>
      <c r="D507" s="39"/>
      <c r="E507" s="39"/>
      <c r="F507" s="39"/>
      <c r="G507" s="39"/>
      <c r="H507" s="39"/>
      <c r="I507" s="39"/>
      <c r="J507" s="39"/>
      <c r="K507" s="39"/>
      <c r="L507" s="39"/>
      <c r="M507" s="39"/>
      <c r="N507" s="39"/>
      <c r="O507" s="39"/>
      <c r="P507" s="39"/>
      <c r="Q507" s="39"/>
      <c r="R507" s="39"/>
      <c r="S507" s="39"/>
    </row>
    <row r="508" spans="1:19" s="1" customFormat="1" ht="15" customHeight="1">
      <c r="A508" s="39"/>
      <c r="B508" s="39"/>
      <c r="C508" s="39"/>
      <c r="D508" s="39"/>
      <c r="E508" s="39"/>
      <c r="F508" s="39"/>
      <c r="G508" s="39"/>
      <c r="H508" s="39"/>
      <c r="I508" s="39"/>
      <c r="J508" s="39"/>
      <c r="K508" s="39"/>
      <c r="L508" s="39"/>
      <c r="M508" s="39"/>
      <c r="N508" s="39"/>
      <c r="O508" s="39"/>
      <c r="P508" s="39"/>
      <c r="Q508" s="39"/>
      <c r="R508" s="39"/>
      <c r="S508" s="39"/>
    </row>
    <row r="509" spans="1:19" s="1" customFormat="1" ht="15" customHeight="1">
      <c r="A509" s="39"/>
      <c r="B509" s="39"/>
      <c r="C509" s="39"/>
      <c r="D509" s="39"/>
      <c r="E509" s="39"/>
      <c r="F509" s="39"/>
      <c r="G509" s="39"/>
      <c r="H509" s="39"/>
      <c r="I509" s="39"/>
      <c r="J509" s="39"/>
      <c r="K509" s="39"/>
      <c r="L509" s="39"/>
      <c r="M509" s="39"/>
      <c r="N509" s="39"/>
      <c r="O509" s="39"/>
      <c r="P509" s="39"/>
      <c r="Q509" s="39"/>
      <c r="R509" s="39"/>
      <c r="S509" s="39"/>
    </row>
    <row r="510" spans="1:19" s="1" customFormat="1" ht="15" customHeight="1">
      <c r="A510" s="39"/>
      <c r="B510" s="39"/>
      <c r="C510" s="39"/>
      <c r="D510" s="39"/>
      <c r="E510" s="39"/>
      <c r="F510" s="39"/>
      <c r="G510" s="39"/>
      <c r="H510" s="39"/>
      <c r="I510" s="39"/>
      <c r="J510" s="39"/>
      <c r="K510" s="39"/>
      <c r="L510" s="39"/>
      <c r="M510" s="39"/>
      <c r="N510" s="39"/>
      <c r="O510" s="39"/>
      <c r="P510" s="39"/>
      <c r="Q510" s="39"/>
      <c r="R510" s="39"/>
      <c r="S510" s="39"/>
    </row>
    <row r="511" spans="1:19" s="1" customFormat="1" ht="15" customHeight="1">
      <c r="A511" s="39"/>
      <c r="B511" s="39"/>
      <c r="C511" s="39"/>
      <c r="D511" s="39"/>
      <c r="E511" s="39"/>
      <c r="F511" s="39"/>
      <c r="G511" s="39"/>
      <c r="H511" s="39"/>
      <c r="I511" s="39"/>
      <c r="J511" s="39"/>
      <c r="K511" s="39"/>
      <c r="L511" s="39"/>
      <c r="M511" s="39"/>
      <c r="N511" s="39"/>
      <c r="O511" s="39"/>
      <c r="P511" s="39"/>
      <c r="Q511" s="39"/>
      <c r="R511" s="39"/>
      <c r="S511" s="39"/>
    </row>
    <row r="512" spans="1:19" s="1" customFormat="1" ht="15" customHeight="1">
      <c r="A512" s="39"/>
      <c r="B512" s="39"/>
      <c r="C512" s="39"/>
      <c r="D512" s="39"/>
      <c r="E512" s="39"/>
      <c r="F512" s="39"/>
      <c r="G512" s="39"/>
      <c r="H512" s="39"/>
      <c r="I512" s="39"/>
      <c r="J512" s="39"/>
      <c r="K512" s="39"/>
      <c r="L512" s="39"/>
      <c r="M512" s="39"/>
      <c r="N512" s="39"/>
      <c r="O512" s="39"/>
      <c r="P512" s="39"/>
      <c r="Q512" s="39"/>
      <c r="R512" s="39"/>
      <c r="S512" s="39"/>
    </row>
    <row r="513" spans="1:19" s="1" customFormat="1" ht="15" customHeight="1">
      <c r="A513" s="39"/>
      <c r="B513" s="39"/>
      <c r="C513" s="39"/>
      <c r="D513" s="39"/>
      <c r="E513" s="39"/>
      <c r="F513" s="39"/>
      <c r="G513" s="39"/>
      <c r="H513" s="39"/>
      <c r="I513" s="39"/>
      <c r="J513" s="39"/>
      <c r="K513" s="39"/>
      <c r="L513" s="39"/>
      <c r="M513" s="39"/>
      <c r="N513" s="39"/>
      <c r="O513" s="39"/>
      <c r="P513" s="39"/>
      <c r="Q513" s="39"/>
      <c r="R513" s="39"/>
      <c r="S513" s="39"/>
    </row>
    <row r="514" spans="1:19" s="1" customFormat="1" ht="15" customHeight="1">
      <c r="A514" s="39"/>
      <c r="B514" s="39"/>
      <c r="C514" s="39"/>
      <c r="D514" s="39"/>
      <c r="E514" s="39"/>
      <c r="F514" s="39"/>
      <c r="G514" s="39"/>
      <c r="H514" s="39"/>
      <c r="I514" s="39"/>
      <c r="J514" s="39"/>
      <c r="K514" s="39"/>
      <c r="L514" s="39"/>
      <c r="M514" s="39"/>
      <c r="N514" s="39"/>
      <c r="O514" s="39"/>
      <c r="P514" s="39"/>
      <c r="Q514" s="39"/>
      <c r="R514" s="39"/>
      <c r="S514" s="39"/>
    </row>
    <row r="515" spans="1:19" s="1" customFormat="1" ht="15" customHeight="1">
      <c r="A515" s="39"/>
      <c r="B515" s="39"/>
      <c r="C515" s="39"/>
      <c r="D515" s="39"/>
      <c r="E515" s="39"/>
      <c r="F515" s="39"/>
      <c r="G515" s="39"/>
      <c r="H515" s="39"/>
      <c r="I515" s="39"/>
      <c r="J515" s="39"/>
      <c r="K515" s="39"/>
      <c r="L515" s="39"/>
      <c r="M515" s="39"/>
      <c r="N515" s="39"/>
      <c r="O515" s="39"/>
      <c r="P515" s="39"/>
      <c r="Q515" s="39"/>
      <c r="R515" s="39"/>
      <c r="S515" s="39"/>
    </row>
    <row r="516" spans="1:19" s="1" customFormat="1" ht="15" customHeight="1">
      <c r="A516" s="39"/>
      <c r="B516" s="39"/>
      <c r="C516" s="39"/>
      <c r="D516" s="39"/>
      <c r="E516" s="39"/>
      <c r="F516" s="39"/>
      <c r="G516" s="39"/>
      <c r="H516" s="39"/>
      <c r="I516" s="39"/>
      <c r="J516" s="39"/>
      <c r="K516" s="39"/>
      <c r="L516" s="39"/>
      <c r="M516" s="39"/>
      <c r="N516" s="39"/>
      <c r="O516" s="39"/>
      <c r="P516" s="39"/>
      <c r="Q516" s="39"/>
      <c r="R516" s="39"/>
      <c r="S516" s="39"/>
    </row>
    <row r="517" spans="1:19" s="1" customFormat="1" ht="15" customHeight="1">
      <c r="A517" s="39"/>
      <c r="B517" s="39"/>
      <c r="C517" s="39"/>
      <c r="D517" s="39"/>
      <c r="E517" s="39"/>
      <c r="F517" s="39"/>
      <c r="G517" s="39"/>
      <c r="H517" s="39"/>
      <c r="I517" s="39"/>
      <c r="J517" s="39"/>
      <c r="K517" s="39"/>
      <c r="L517" s="39"/>
      <c r="M517" s="39"/>
      <c r="N517" s="39"/>
      <c r="O517" s="39"/>
      <c r="P517" s="39"/>
      <c r="Q517" s="39"/>
      <c r="R517" s="39"/>
      <c r="S517" s="39"/>
    </row>
    <row r="518" spans="1:19" s="1" customFormat="1" ht="15" customHeight="1">
      <c r="A518" s="39"/>
      <c r="B518" s="39"/>
      <c r="C518" s="39"/>
      <c r="D518" s="39"/>
      <c r="E518" s="39"/>
      <c r="F518" s="39"/>
      <c r="G518" s="39"/>
      <c r="H518" s="39"/>
      <c r="I518" s="39"/>
      <c r="J518" s="39"/>
      <c r="K518" s="39"/>
      <c r="L518" s="39"/>
      <c r="M518" s="39"/>
      <c r="N518" s="39"/>
      <c r="O518" s="39"/>
      <c r="P518" s="39"/>
      <c r="Q518" s="39"/>
      <c r="R518" s="39"/>
      <c r="S518" s="39"/>
    </row>
    <row r="519" spans="1:19" s="1" customFormat="1" ht="15" customHeight="1">
      <c r="A519" s="39"/>
      <c r="B519" s="39"/>
      <c r="C519" s="39"/>
      <c r="D519" s="39"/>
      <c r="E519" s="39"/>
      <c r="F519" s="39"/>
      <c r="G519" s="39"/>
      <c r="H519" s="39"/>
      <c r="I519" s="39"/>
      <c r="J519" s="39"/>
      <c r="K519" s="39"/>
      <c r="L519" s="39"/>
      <c r="M519" s="39"/>
      <c r="N519" s="39"/>
      <c r="O519" s="39"/>
      <c r="P519" s="39"/>
      <c r="Q519" s="39"/>
      <c r="R519" s="39"/>
      <c r="S519" s="39"/>
    </row>
    <row r="520" spans="1:19" s="1" customFormat="1" ht="15" customHeight="1">
      <c r="A520" s="39"/>
      <c r="B520" s="39"/>
      <c r="C520" s="39"/>
      <c r="D520" s="39"/>
      <c r="E520" s="39"/>
      <c r="F520" s="39"/>
      <c r="G520" s="39"/>
      <c r="H520" s="39"/>
      <c r="I520" s="39"/>
      <c r="J520" s="39"/>
      <c r="K520" s="39"/>
      <c r="L520" s="39"/>
      <c r="M520" s="39"/>
      <c r="N520" s="39"/>
      <c r="O520" s="39"/>
      <c r="P520" s="39"/>
      <c r="Q520" s="39"/>
      <c r="R520" s="39"/>
      <c r="S520" s="39"/>
    </row>
    <row r="521" spans="1:19" s="1" customFormat="1" ht="15" customHeight="1">
      <c r="A521" s="39"/>
      <c r="B521" s="39"/>
      <c r="C521" s="39"/>
      <c r="D521" s="39"/>
      <c r="E521" s="39"/>
      <c r="F521" s="39"/>
      <c r="G521" s="39"/>
      <c r="H521" s="39"/>
      <c r="I521" s="39"/>
      <c r="J521" s="39"/>
      <c r="K521" s="39"/>
      <c r="L521" s="39"/>
      <c r="M521" s="39"/>
      <c r="N521" s="39"/>
      <c r="O521" s="39"/>
      <c r="P521" s="39"/>
      <c r="Q521" s="39"/>
      <c r="R521" s="39"/>
      <c r="S521" s="39"/>
    </row>
    <row r="522" spans="1:19" s="1" customFormat="1" ht="15" customHeight="1">
      <c r="A522" s="39"/>
      <c r="B522" s="39"/>
      <c r="C522" s="39"/>
      <c r="D522" s="39"/>
      <c r="E522" s="39"/>
      <c r="F522" s="39"/>
      <c r="G522" s="39"/>
      <c r="H522" s="39"/>
      <c r="I522" s="39"/>
      <c r="J522" s="39"/>
      <c r="K522" s="39"/>
      <c r="L522" s="39"/>
      <c r="M522" s="39"/>
      <c r="N522" s="39"/>
      <c r="O522" s="39"/>
      <c r="P522" s="39"/>
      <c r="Q522" s="39"/>
      <c r="R522" s="39"/>
      <c r="S522" s="39"/>
    </row>
    <row r="523" spans="1:19" s="1" customFormat="1" ht="15" customHeight="1">
      <c r="A523" s="39"/>
      <c r="B523" s="39"/>
      <c r="C523" s="39"/>
      <c r="D523" s="39"/>
      <c r="E523" s="39"/>
      <c r="F523" s="39"/>
      <c r="G523" s="39"/>
      <c r="H523" s="39"/>
      <c r="I523" s="39"/>
      <c r="J523" s="39"/>
      <c r="K523" s="39"/>
      <c r="L523" s="39"/>
      <c r="M523" s="39"/>
      <c r="N523" s="39"/>
      <c r="O523" s="39"/>
      <c r="P523" s="39"/>
      <c r="Q523" s="39"/>
      <c r="R523" s="39"/>
      <c r="S523" s="39"/>
    </row>
    <row r="524" spans="1:19" s="1" customFormat="1" ht="15" customHeight="1">
      <c r="A524" s="39"/>
      <c r="B524" s="39"/>
      <c r="C524" s="39"/>
      <c r="D524" s="39"/>
      <c r="E524" s="39"/>
      <c r="F524" s="39"/>
      <c r="G524" s="39"/>
      <c r="H524" s="39"/>
      <c r="I524" s="39"/>
      <c r="J524" s="39"/>
      <c r="K524" s="39"/>
      <c r="L524" s="39"/>
      <c r="M524" s="39"/>
      <c r="N524" s="39"/>
      <c r="O524" s="39"/>
      <c r="P524" s="39"/>
      <c r="Q524" s="39"/>
      <c r="R524" s="39"/>
      <c r="S524" s="39"/>
    </row>
    <row r="525" spans="1:19" s="1" customFormat="1" ht="15" customHeight="1">
      <c r="A525" s="39"/>
      <c r="B525" s="39"/>
      <c r="C525" s="39"/>
      <c r="D525" s="39"/>
      <c r="E525" s="39"/>
      <c r="F525" s="39"/>
      <c r="G525" s="39"/>
      <c r="H525" s="39"/>
      <c r="I525" s="39"/>
      <c r="J525" s="39"/>
      <c r="K525" s="39"/>
      <c r="L525" s="39"/>
      <c r="M525" s="39"/>
      <c r="N525" s="39"/>
      <c r="O525" s="39"/>
      <c r="P525" s="39"/>
      <c r="Q525" s="39"/>
      <c r="R525" s="39"/>
      <c r="S525" s="39"/>
    </row>
    <row r="526" spans="1:19" s="1" customFormat="1" ht="15" customHeight="1">
      <c r="A526" s="39"/>
      <c r="B526" s="39"/>
      <c r="C526" s="39"/>
      <c r="D526" s="39"/>
      <c r="E526" s="39"/>
      <c r="F526" s="39"/>
      <c r="G526" s="39"/>
      <c r="H526" s="39"/>
      <c r="I526" s="39"/>
      <c r="J526" s="39"/>
      <c r="K526" s="39"/>
      <c r="L526" s="39"/>
      <c r="M526" s="39"/>
      <c r="N526" s="39"/>
      <c r="O526" s="39"/>
      <c r="P526" s="39"/>
      <c r="Q526" s="39"/>
      <c r="R526" s="39"/>
      <c r="S526" s="39"/>
    </row>
    <row r="527" spans="1:19" s="1" customFormat="1" ht="15" customHeight="1">
      <c r="A527" s="39"/>
      <c r="B527" s="39"/>
      <c r="C527" s="39"/>
      <c r="D527" s="39"/>
      <c r="E527" s="39"/>
      <c r="F527" s="39"/>
      <c r="G527" s="39"/>
      <c r="H527" s="39"/>
      <c r="I527" s="39"/>
      <c r="J527" s="39"/>
      <c r="K527" s="39"/>
      <c r="L527" s="39"/>
      <c r="M527" s="39"/>
      <c r="N527" s="39"/>
      <c r="O527" s="39"/>
      <c r="P527" s="39"/>
      <c r="Q527" s="39"/>
      <c r="R527" s="39"/>
      <c r="S527" s="39"/>
    </row>
    <row r="528" spans="1:19" s="1" customFormat="1" ht="15" customHeight="1">
      <c r="A528" s="39"/>
      <c r="B528" s="39"/>
      <c r="C528" s="39"/>
      <c r="D528" s="39"/>
      <c r="E528" s="39"/>
      <c r="F528" s="39"/>
      <c r="G528" s="39"/>
      <c r="H528" s="39"/>
      <c r="I528" s="39"/>
      <c r="J528" s="39"/>
      <c r="K528" s="39"/>
      <c r="L528" s="39"/>
      <c r="M528" s="39"/>
      <c r="N528" s="39"/>
      <c r="O528" s="39"/>
      <c r="P528" s="39"/>
      <c r="Q528" s="39"/>
      <c r="R528" s="39"/>
      <c r="S528" s="39"/>
    </row>
    <row r="529" spans="1:19" s="1" customFormat="1" ht="15" customHeight="1">
      <c r="A529" s="39"/>
      <c r="B529" s="39"/>
      <c r="C529" s="39"/>
      <c r="D529" s="39"/>
      <c r="E529" s="39"/>
      <c r="F529" s="39"/>
      <c r="G529" s="39"/>
      <c r="H529" s="39"/>
      <c r="I529" s="39"/>
      <c r="J529" s="39"/>
      <c r="K529" s="39"/>
      <c r="L529" s="39"/>
      <c r="M529" s="39"/>
      <c r="N529" s="39"/>
      <c r="O529" s="39"/>
      <c r="P529" s="39"/>
      <c r="Q529" s="39"/>
      <c r="R529" s="39"/>
      <c r="S529" s="39"/>
    </row>
    <row r="530" spans="1:19" s="1" customFormat="1" ht="15" customHeight="1">
      <c r="A530" s="39"/>
      <c r="B530" s="39"/>
      <c r="C530" s="39"/>
      <c r="D530" s="39"/>
      <c r="E530" s="39"/>
      <c r="F530" s="39"/>
      <c r="G530" s="39"/>
      <c r="H530" s="39"/>
      <c r="I530" s="39"/>
      <c r="J530" s="39"/>
      <c r="K530" s="39"/>
      <c r="L530" s="39"/>
      <c r="M530" s="39"/>
      <c r="N530" s="39"/>
      <c r="O530" s="39"/>
      <c r="P530" s="39"/>
      <c r="Q530" s="39"/>
      <c r="R530" s="39"/>
      <c r="S530" s="39"/>
    </row>
    <row r="531" spans="1:19" s="1" customFormat="1" ht="15" customHeight="1">
      <c r="A531" s="39"/>
      <c r="B531" s="39"/>
      <c r="C531" s="39"/>
      <c r="D531" s="39"/>
      <c r="E531" s="39"/>
      <c r="F531" s="39"/>
      <c r="G531" s="39"/>
      <c r="H531" s="39"/>
      <c r="I531" s="39"/>
      <c r="J531" s="39"/>
      <c r="K531" s="39"/>
      <c r="L531" s="39"/>
      <c r="M531" s="39"/>
      <c r="N531" s="39"/>
      <c r="O531" s="39"/>
      <c r="P531" s="39"/>
      <c r="Q531" s="39"/>
      <c r="R531" s="39"/>
      <c r="S531" s="39"/>
    </row>
    <row r="532" spans="1:19" s="1" customFormat="1" ht="15" customHeight="1">
      <c r="A532" s="39"/>
      <c r="B532" s="39"/>
      <c r="C532" s="39"/>
      <c r="D532" s="39"/>
      <c r="E532" s="39"/>
      <c r="F532" s="39"/>
      <c r="G532" s="39"/>
      <c r="H532" s="39"/>
      <c r="I532" s="39"/>
      <c r="J532" s="39"/>
      <c r="K532" s="39"/>
      <c r="L532" s="39"/>
      <c r="M532" s="39"/>
      <c r="N532" s="39"/>
      <c r="O532" s="39"/>
      <c r="P532" s="39"/>
      <c r="Q532" s="39"/>
      <c r="R532" s="39"/>
      <c r="S532" s="39"/>
    </row>
    <row r="533" spans="1:19" s="1" customFormat="1" ht="15" customHeight="1">
      <c r="A533" s="39"/>
      <c r="B533" s="39"/>
      <c r="C533" s="39"/>
      <c r="D533" s="39"/>
      <c r="E533" s="39"/>
      <c r="F533" s="39"/>
      <c r="G533" s="39"/>
      <c r="H533" s="39"/>
      <c r="I533" s="39"/>
      <c r="J533" s="39"/>
      <c r="K533" s="39"/>
      <c r="L533" s="39"/>
      <c r="M533" s="39"/>
      <c r="N533" s="39"/>
      <c r="O533" s="39"/>
      <c r="P533" s="39"/>
      <c r="Q533" s="39"/>
      <c r="R533" s="39"/>
      <c r="S533" s="39"/>
    </row>
    <row r="534" spans="1:19" s="1" customFormat="1" ht="15" customHeight="1">
      <c r="A534" s="39"/>
      <c r="B534" s="39"/>
      <c r="C534" s="39"/>
      <c r="D534" s="39"/>
      <c r="E534" s="39"/>
      <c r="F534" s="39"/>
      <c r="G534" s="39"/>
      <c r="H534" s="39"/>
      <c r="I534" s="39"/>
      <c r="J534" s="39"/>
      <c r="K534" s="39"/>
      <c r="L534" s="39"/>
      <c r="M534" s="39"/>
      <c r="N534" s="39"/>
      <c r="O534" s="39"/>
      <c r="P534" s="39"/>
      <c r="Q534" s="39"/>
      <c r="R534" s="39"/>
      <c r="S534" s="39"/>
    </row>
    <row r="535" spans="1:19" s="1" customFormat="1" ht="15" customHeight="1">
      <c r="A535" s="39"/>
      <c r="B535" s="39"/>
      <c r="C535" s="39"/>
      <c r="D535" s="39"/>
      <c r="E535" s="39"/>
      <c r="F535" s="39"/>
      <c r="G535" s="39"/>
      <c r="H535" s="39"/>
      <c r="I535" s="39"/>
      <c r="J535" s="39"/>
      <c r="K535" s="39"/>
      <c r="L535" s="39"/>
      <c r="M535" s="39"/>
      <c r="N535" s="39"/>
      <c r="O535" s="39"/>
      <c r="P535" s="39"/>
      <c r="Q535" s="39"/>
      <c r="R535" s="39"/>
      <c r="S535" s="39"/>
    </row>
    <row r="536" spans="1:19" s="1" customFormat="1" ht="15" customHeight="1">
      <c r="A536" s="39"/>
      <c r="B536" s="39"/>
      <c r="C536" s="39"/>
      <c r="D536" s="39"/>
      <c r="E536" s="39"/>
      <c r="F536" s="39"/>
      <c r="G536" s="39"/>
      <c r="H536" s="39"/>
      <c r="I536" s="39"/>
      <c r="J536" s="39"/>
      <c r="K536" s="39"/>
      <c r="L536" s="39"/>
      <c r="M536" s="39"/>
      <c r="N536" s="39"/>
      <c r="O536" s="39"/>
      <c r="P536" s="39"/>
      <c r="Q536" s="39"/>
      <c r="R536" s="39"/>
      <c r="S536" s="39"/>
    </row>
    <row r="537" spans="1:19" s="1" customFormat="1" ht="15" customHeight="1">
      <c r="A537" s="39"/>
      <c r="B537" s="39"/>
      <c r="C537" s="39"/>
      <c r="D537" s="39"/>
      <c r="E537" s="39"/>
      <c r="F537" s="39"/>
      <c r="G537" s="39"/>
      <c r="H537" s="39"/>
      <c r="I537" s="39"/>
      <c r="J537" s="39"/>
      <c r="K537" s="39"/>
      <c r="L537" s="39"/>
      <c r="M537" s="39"/>
      <c r="N537" s="39"/>
      <c r="O537" s="39"/>
      <c r="P537" s="39"/>
      <c r="Q537" s="39"/>
      <c r="R537" s="39"/>
      <c r="S537" s="39"/>
    </row>
    <row r="538" spans="1:19" s="1" customFormat="1" ht="15" customHeight="1">
      <c r="A538" s="39"/>
      <c r="B538" s="39"/>
      <c r="C538" s="39"/>
      <c r="D538" s="39"/>
      <c r="E538" s="39"/>
      <c r="F538" s="39"/>
      <c r="G538" s="39"/>
      <c r="H538" s="39"/>
      <c r="I538" s="39"/>
      <c r="J538" s="39"/>
      <c r="K538" s="39"/>
      <c r="L538" s="39"/>
      <c r="M538" s="39"/>
      <c r="N538" s="39"/>
      <c r="O538" s="39"/>
      <c r="P538" s="39"/>
      <c r="Q538" s="39"/>
      <c r="R538" s="39"/>
      <c r="S538" s="39"/>
    </row>
    <row r="539" spans="1:19" s="1" customFormat="1" ht="15" customHeight="1">
      <c r="A539" s="39"/>
      <c r="B539" s="39"/>
      <c r="C539" s="39"/>
      <c r="D539" s="39"/>
      <c r="E539" s="39"/>
      <c r="F539" s="39"/>
      <c r="G539" s="39"/>
      <c r="H539" s="39"/>
      <c r="I539" s="39"/>
      <c r="J539" s="39"/>
      <c r="K539" s="39"/>
      <c r="L539" s="39"/>
      <c r="M539" s="39"/>
      <c r="N539" s="39"/>
      <c r="O539" s="39"/>
      <c r="P539" s="39"/>
      <c r="Q539" s="39"/>
      <c r="R539" s="39"/>
      <c r="S539" s="39"/>
    </row>
    <row r="540" spans="1:19" s="1" customFormat="1" ht="15" customHeight="1">
      <c r="A540" s="39"/>
      <c r="B540" s="39"/>
      <c r="C540" s="39"/>
      <c r="D540" s="39"/>
      <c r="E540" s="39"/>
      <c r="F540" s="39"/>
      <c r="G540" s="39"/>
      <c r="H540" s="39"/>
      <c r="I540" s="39"/>
      <c r="J540" s="39"/>
      <c r="K540" s="39"/>
      <c r="L540" s="39"/>
      <c r="M540" s="39"/>
      <c r="N540" s="39"/>
      <c r="O540" s="39"/>
      <c r="P540" s="39"/>
      <c r="Q540" s="39"/>
      <c r="R540" s="39"/>
      <c r="S540" s="39"/>
    </row>
    <row r="541" spans="1:19" s="1" customFormat="1" ht="15" customHeight="1">
      <c r="A541" s="39"/>
      <c r="B541" s="39"/>
      <c r="C541" s="39"/>
      <c r="D541" s="39"/>
      <c r="E541" s="39"/>
      <c r="F541" s="39"/>
      <c r="G541" s="39"/>
      <c r="H541" s="39"/>
      <c r="I541" s="39"/>
      <c r="J541" s="39"/>
      <c r="K541" s="39"/>
      <c r="L541" s="39"/>
      <c r="M541" s="39"/>
      <c r="N541" s="39"/>
      <c r="O541" s="39"/>
      <c r="P541" s="39"/>
      <c r="Q541" s="39"/>
      <c r="R541" s="39"/>
      <c r="S541" s="39"/>
    </row>
    <row r="542" spans="1:19" s="1" customFormat="1" ht="15" customHeight="1">
      <c r="A542" s="39"/>
      <c r="B542" s="39"/>
      <c r="C542" s="39"/>
      <c r="D542" s="39"/>
      <c r="E542" s="39"/>
      <c r="F542" s="39"/>
      <c r="G542" s="39"/>
      <c r="H542" s="39"/>
      <c r="I542" s="39"/>
      <c r="J542" s="39"/>
      <c r="K542" s="39"/>
      <c r="L542" s="39"/>
      <c r="M542" s="39"/>
      <c r="N542" s="39"/>
      <c r="O542" s="39"/>
      <c r="P542" s="39"/>
      <c r="Q542" s="39"/>
      <c r="R542" s="39"/>
      <c r="S542" s="39"/>
    </row>
    <row r="543" spans="1:19" s="1" customFormat="1" ht="15" customHeight="1">
      <c r="A543" s="39"/>
      <c r="B543" s="39"/>
      <c r="C543" s="39"/>
      <c r="D543" s="39"/>
      <c r="E543" s="39"/>
      <c r="F543" s="39"/>
      <c r="G543" s="39"/>
      <c r="H543" s="39"/>
      <c r="I543" s="39"/>
      <c r="J543" s="39"/>
      <c r="K543" s="39"/>
      <c r="L543" s="39"/>
      <c r="M543" s="39"/>
      <c r="N543" s="39"/>
      <c r="O543" s="39"/>
      <c r="P543" s="39"/>
      <c r="Q543" s="39"/>
      <c r="R543" s="39"/>
      <c r="S543" s="39"/>
    </row>
    <row r="544" spans="1:19" s="1" customFormat="1" ht="15" customHeight="1">
      <c r="A544" s="39"/>
      <c r="B544" s="39"/>
      <c r="C544" s="39"/>
      <c r="D544" s="39"/>
      <c r="E544" s="39"/>
      <c r="F544" s="39"/>
      <c r="G544" s="39"/>
      <c r="H544" s="39"/>
      <c r="I544" s="39"/>
      <c r="J544" s="39"/>
      <c r="K544" s="39"/>
      <c r="L544" s="39"/>
      <c r="M544" s="39"/>
      <c r="N544" s="39"/>
      <c r="O544" s="39"/>
      <c r="P544" s="39"/>
      <c r="Q544" s="39"/>
      <c r="R544" s="39"/>
      <c r="S544" s="39"/>
    </row>
    <row r="545" spans="1:19" s="1" customFormat="1" ht="15" customHeight="1">
      <c r="A545" s="39"/>
      <c r="B545" s="39"/>
      <c r="C545" s="39"/>
      <c r="D545" s="39"/>
      <c r="E545" s="39"/>
      <c r="F545" s="39"/>
      <c r="G545" s="39"/>
      <c r="H545" s="39"/>
      <c r="I545" s="39"/>
      <c r="J545" s="39"/>
      <c r="K545" s="39"/>
      <c r="L545" s="39"/>
      <c r="M545" s="39"/>
      <c r="N545" s="39"/>
      <c r="O545" s="39"/>
      <c r="P545" s="39"/>
      <c r="Q545" s="39"/>
      <c r="R545" s="39"/>
      <c r="S545" s="39"/>
    </row>
    <row r="546" spans="1:19" s="1" customFormat="1" ht="15" customHeight="1">
      <c r="A546" s="39"/>
      <c r="B546" s="39"/>
      <c r="C546" s="39"/>
      <c r="D546" s="39"/>
      <c r="E546" s="39"/>
      <c r="F546" s="39"/>
      <c r="G546" s="39"/>
      <c r="H546" s="39"/>
      <c r="I546" s="39"/>
      <c r="J546" s="39"/>
      <c r="K546" s="39"/>
      <c r="L546" s="39"/>
      <c r="M546" s="39"/>
      <c r="N546" s="39"/>
      <c r="O546" s="39"/>
      <c r="P546" s="39"/>
      <c r="Q546" s="39"/>
      <c r="R546" s="39"/>
      <c r="S546" s="39"/>
    </row>
    <row r="547" spans="1:19" s="1" customFormat="1" ht="15" customHeight="1">
      <c r="A547" s="39"/>
      <c r="B547" s="39"/>
      <c r="C547" s="39"/>
      <c r="D547" s="39"/>
      <c r="E547" s="39"/>
      <c r="F547" s="39"/>
      <c r="G547" s="39"/>
      <c r="H547" s="39"/>
      <c r="I547" s="39"/>
      <c r="J547" s="39"/>
      <c r="K547" s="39"/>
      <c r="L547" s="39"/>
      <c r="M547" s="39"/>
      <c r="N547" s="39"/>
      <c r="O547" s="39"/>
      <c r="P547" s="39"/>
      <c r="Q547" s="39"/>
      <c r="R547" s="39"/>
      <c r="S547" s="39"/>
    </row>
    <row r="548" spans="1:19" s="1" customFormat="1" ht="15" customHeight="1">
      <c r="A548" s="39"/>
      <c r="B548" s="39"/>
      <c r="C548" s="39"/>
      <c r="D548" s="39"/>
      <c r="E548" s="39"/>
      <c r="F548" s="39"/>
      <c r="G548" s="39"/>
      <c r="H548" s="39"/>
      <c r="I548" s="39"/>
      <c r="J548" s="39"/>
      <c r="K548" s="39"/>
      <c r="L548" s="39"/>
      <c r="M548" s="39"/>
      <c r="N548" s="39"/>
      <c r="O548" s="39"/>
      <c r="P548" s="39"/>
      <c r="Q548" s="39"/>
      <c r="R548" s="39"/>
      <c r="S548" s="39"/>
    </row>
    <row r="549" spans="1:19" s="1" customFormat="1" ht="15" customHeight="1">
      <c r="A549" s="39"/>
      <c r="B549" s="39"/>
      <c r="C549" s="39"/>
      <c r="D549" s="39"/>
      <c r="E549" s="39"/>
      <c r="F549" s="39"/>
      <c r="G549" s="39"/>
      <c r="H549" s="39"/>
      <c r="I549" s="39"/>
      <c r="J549" s="39"/>
      <c r="K549" s="39"/>
      <c r="L549" s="39"/>
      <c r="M549" s="39"/>
      <c r="N549" s="39"/>
      <c r="O549" s="39"/>
      <c r="P549" s="39"/>
      <c r="Q549" s="39"/>
      <c r="R549" s="39"/>
      <c r="S549" s="39"/>
    </row>
    <row r="550" spans="1:19" s="1" customFormat="1" ht="15" customHeight="1">
      <c r="A550" s="39"/>
      <c r="B550" s="39"/>
      <c r="C550" s="39"/>
      <c r="D550" s="39"/>
      <c r="E550" s="39"/>
      <c r="F550" s="39"/>
      <c r="G550" s="39"/>
      <c r="H550" s="39"/>
      <c r="I550" s="39"/>
      <c r="J550" s="39"/>
      <c r="K550" s="39"/>
      <c r="L550" s="39"/>
      <c r="M550" s="39"/>
      <c r="N550" s="39"/>
      <c r="O550" s="39"/>
      <c r="P550" s="39"/>
      <c r="Q550" s="39"/>
      <c r="R550" s="39"/>
      <c r="S550" s="39"/>
    </row>
    <row r="551" spans="1:19" s="1" customFormat="1" ht="15" customHeight="1">
      <c r="A551" s="39"/>
      <c r="B551" s="39"/>
      <c r="C551" s="39"/>
      <c r="D551" s="39"/>
      <c r="E551" s="39"/>
      <c r="F551" s="39"/>
      <c r="G551" s="39"/>
      <c r="H551" s="39"/>
      <c r="I551" s="39"/>
      <c r="J551" s="39"/>
      <c r="K551" s="39"/>
      <c r="L551" s="39"/>
      <c r="M551" s="39"/>
      <c r="N551" s="39"/>
      <c r="O551" s="39"/>
      <c r="P551" s="39"/>
      <c r="Q551" s="39"/>
      <c r="R551" s="39"/>
      <c r="S551" s="39"/>
    </row>
    <row r="552" spans="1:19" s="1" customFormat="1" ht="15" customHeight="1">
      <c r="A552" s="39"/>
      <c r="B552" s="39"/>
      <c r="C552" s="39"/>
      <c r="D552" s="39"/>
      <c r="E552" s="39"/>
      <c r="F552" s="39"/>
      <c r="G552" s="39"/>
      <c r="H552" s="39"/>
      <c r="I552" s="39"/>
      <c r="J552" s="39"/>
      <c r="K552" s="39"/>
      <c r="L552" s="39"/>
      <c r="M552" s="39"/>
      <c r="N552" s="39"/>
      <c r="O552" s="39"/>
      <c r="P552" s="39"/>
      <c r="Q552" s="39"/>
      <c r="R552" s="39"/>
      <c r="S552" s="39"/>
    </row>
    <row r="553" spans="1:19" s="1" customFormat="1" ht="15" customHeight="1">
      <c r="A553" s="39"/>
      <c r="B553" s="39"/>
      <c r="C553" s="39"/>
      <c r="D553" s="39"/>
      <c r="E553" s="39"/>
      <c r="F553" s="39"/>
      <c r="G553" s="39"/>
      <c r="H553" s="39"/>
      <c r="I553" s="39"/>
      <c r="J553" s="39"/>
      <c r="K553" s="39"/>
      <c r="L553" s="39"/>
      <c r="M553" s="39"/>
      <c r="N553" s="39"/>
      <c r="O553" s="39"/>
      <c r="P553" s="39"/>
      <c r="Q553" s="39"/>
      <c r="R553" s="39"/>
      <c r="S553" s="39"/>
    </row>
    <row r="554" spans="1:19" s="1" customFormat="1" ht="15" customHeight="1">
      <c r="A554" s="39"/>
      <c r="B554" s="39"/>
      <c r="C554" s="39"/>
      <c r="D554" s="39"/>
      <c r="E554" s="39"/>
      <c r="F554" s="39"/>
      <c r="G554" s="39"/>
      <c r="H554" s="39"/>
      <c r="I554" s="39"/>
      <c r="J554" s="39"/>
      <c r="K554" s="39"/>
      <c r="L554" s="39"/>
      <c r="M554" s="39"/>
      <c r="N554" s="39"/>
      <c r="O554" s="39"/>
      <c r="P554" s="39"/>
      <c r="Q554" s="39"/>
      <c r="R554" s="39"/>
      <c r="S554" s="39"/>
    </row>
    <row r="555" spans="1:19" s="1" customFormat="1" ht="15" customHeight="1">
      <c r="A555" s="39"/>
      <c r="B555" s="39"/>
      <c r="C555" s="39"/>
      <c r="D555" s="39"/>
      <c r="E555" s="39"/>
      <c r="F555" s="39"/>
      <c r="G555" s="39"/>
      <c r="H555" s="39"/>
      <c r="I555" s="39"/>
      <c r="J555" s="39"/>
      <c r="K555" s="39"/>
      <c r="L555" s="39"/>
      <c r="M555" s="39"/>
      <c r="N555" s="39"/>
      <c r="O555" s="39"/>
      <c r="P555" s="39"/>
      <c r="Q555" s="39"/>
      <c r="R555" s="39"/>
      <c r="S555" s="39"/>
    </row>
    <row r="556" spans="1:19" s="1" customFormat="1" ht="15" customHeight="1">
      <c r="A556" s="39"/>
      <c r="B556" s="39"/>
      <c r="C556" s="39"/>
      <c r="D556" s="39"/>
      <c r="E556" s="39"/>
      <c r="F556" s="39"/>
      <c r="G556" s="39"/>
      <c r="H556" s="39"/>
      <c r="I556" s="39"/>
      <c r="J556" s="39"/>
      <c r="K556" s="39"/>
      <c r="L556" s="39"/>
      <c r="M556" s="39"/>
      <c r="N556" s="39"/>
      <c r="O556" s="39"/>
      <c r="P556" s="39"/>
      <c r="Q556" s="39"/>
      <c r="R556" s="39"/>
      <c r="S556" s="39"/>
    </row>
    <row r="557" spans="1:19" s="1" customFormat="1" ht="15" customHeight="1">
      <c r="A557" s="39"/>
      <c r="B557" s="39"/>
      <c r="C557" s="39"/>
      <c r="D557" s="39"/>
      <c r="E557" s="39"/>
      <c r="F557" s="39"/>
      <c r="G557" s="39"/>
      <c r="H557" s="39"/>
      <c r="I557" s="39"/>
      <c r="J557" s="39"/>
      <c r="K557" s="39"/>
      <c r="L557" s="39"/>
      <c r="M557" s="39"/>
      <c r="N557" s="39"/>
      <c r="O557" s="39"/>
      <c r="P557" s="39"/>
      <c r="Q557" s="39"/>
      <c r="R557" s="39"/>
      <c r="S557" s="39"/>
    </row>
    <row r="558" spans="1:19" s="1" customFormat="1" ht="15" customHeight="1">
      <c r="A558" s="39"/>
      <c r="B558" s="39"/>
      <c r="C558" s="39"/>
      <c r="D558" s="39"/>
      <c r="E558" s="39"/>
      <c r="F558" s="39"/>
      <c r="G558" s="39"/>
      <c r="H558" s="39"/>
      <c r="I558" s="39"/>
      <c r="J558" s="39"/>
      <c r="K558" s="39"/>
      <c r="L558" s="39"/>
      <c r="M558" s="39"/>
      <c r="N558" s="39"/>
      <c r="O558" s="39"/>
      <c r="P558" s="39"/>
      <c r="Q558" s="39"/>
      <c r="R558" s="39"/>
      <c r="S558" s="39"/>
    </row>
    <row r="559" spans="1:19" s="1" customFormat="1" ht="15" customHeight="1">
      <c r="A559" s="39"/>
      <c r="B559" s="39"/>
      <c r="C559" s="39"/>
      <c r="D559" s="39"/>
      <c r="E559" s="39"/>
      <c r="F559" s="39"/>
      <c r="G559" s="39"/>
      <c r="H559" s="39"/>
      <c r="I559" s="39"/>
      <c r="J559" s="39"/>
      <c r="K559" s="39"/>
      <c r="L559" s="39"/>
      <c r="M559" s="39"/>
      <c r="N559" s="39"/>
      <c r="O559" s="39"/>
      <c r="P559" s="39"/>
      <c r="Q559" s="39"/>
      <c r="R559" s="39"/>
      <c r="S559" s="39"/>
    </row>
    <row r="560" spans="1:19" s="1" customFormat="1" ht="15" customHeight="1">
      <c r="A560" s="39"/>
      <c r="B560" s="39"/>
      <c r="C560" s="39"/>
      <c r="D560" s="39"/>
      <c r="E560" s="39"/>
      <c r="F560" s="39"/>
      <c r="G560" s="39"/>
      <c r="H560" s="39"/>
      <c r="I560" s="39"/>
      <c r="J560" s="39"/>
      <c r="K560" s="39"/>
      <c r="L560" s="39"/>
      <c r="M560" s="39"/>
      <c r="N560" s="39"/>
      <c r="O560" s="39"/>
      <c r="P560" s="39"/>
      <c r="Q560" s="39"/>
      <c r="R560" s="39"/>
      <c r="S560" s="39"/>
    </row>
    <row r="561" spans="1:19" s="1" customFormat="1" ht="15" customHeight="1">
      <c r="A561" s="39"/>
      <c r="B561" s="39"/>
      <c r="C561" s="39"/>
      <c r="D561" s="39"/>
      <c r="E561" s="39"/>
      <c r="F561" s="39"/>
      <c r="G561" s="39"/>
      <c r="H561" s="39"/>
      <c r="I561" s="39"/>
      <c r="J561" s="39"/>
      <c r="K561" s="39"/>
      <c r="L561" s="39"/>
      <c r="M561" s="39"/>
      <c r="N561" s="39"/>
      <c r="O561" s="39"/>
      <c r="P561" s="39"/>
      <c r="Q561" s="39"/>
      <c r="R561" s="39"/>
      <c r="S561" s="39"/>
    </row>
    <row r="562" spans="1:19" s="1" customFormat="1" ht="15" customHeight="1">
      <c r="A562" s="39"/>
      <c r="B562" s="39"/>
      <c r="C562" s="39"/>
      <c r="D562" s="39"/>
      <c r="E562" s="39"/>
      <c r="F562" s="39"/>
      <c r="G562" s="39"/>
      <c r="H562" s="39"/>
      <c r="I562" s="39"/>
      <c r="J562" s="39"/>
      <c r="K562" s="39"/>
      <c r="L562" s="39"/>
      <c r="M562" s="39"/>
      <c r="N562" s="39"/>
      <c r="O562" s="39"/>
      <c r="P562" s="39"/>
      <c r="Q562" s="39"/>
      <c r="R562" s="39"/>
      <c r="S562" s="39"/>
    </row>
    <row r="563" spans="1:19" s="1" customFormat="1" ht="15" customHeight="1">
      <c r="A563" s="39"/>
      <c r="B563" s="39"/>
      <c r="C563" s="39"/>
      <c r="D563" s="39"/>
      <c r="E563" s="39"/>
      <c r="F563" s="39"/>
      <c r="G563" s="39"/>
      <c r="H563" s="39"/>
      <c r="I563" s="39"/>
      <c r="J563" s="39"/>
      <c r="K563" s="39"/>
      <c r="L563" s="39"/>
      <c r="M563" s="39"/>
      <c r="N563" s="39"/>
      <c r="O563" s="39"/>
      <c r="P563" s="39"/>
      <c r="Q563" s="39"/>
      <c r="R563" s="39"/>
      <c r="S563" s="39"/>
    </row>
    <row r="564" spans="1:19" s="1" customFormat="1" ht="15" customHeight="1">
      <c r="A564" s="39"/>
      <c r="B564" s="39"/>
      <c r="C564" s="39"/>
      <c r="D564" s="39"/>
      <c r="E564" s="39"/>
      <c r="F564" s="39"/>
      <c r="G564" s="39"/>
      <c r="H564" s="39"/>
      <c r="I564" s="39"/>
      <c r="J564" s="39"/>
      <c r="K564" s="39"/>
      <c r="L564" s="39"/>
      <c r="M564" s="39"/>
      <c r="N564" s="39"/>
      <c r="O564" s="39"/>
      <c r="P564" s="39"/>
      <c r="Q564" s="39"/>
      <c r="R564" s="39"/>
      <c r="S564" s="39"/>
    </row>
    <row r="565" spans="1:19" s="1" customFormat="1" ht="15" customHeight="1">
      <c r="A565" s="39"/>
      <c r="B565" s="39"/>
      <c r="C565" s="39"/>
      <c r="D565" s="39"/>
      <c r="E565" s="39"/>
      <c r="F565" s="39"/>
      <c r="G565" s="39"/>
      <c r="H565" s="39"/>
      <c r="I565" s="39"/>
      <c r="J565" s="39"/>
      <c r="K565" s="39"/>
      <c r="L565" s="39"/>
      <c r="M565" s="39"/>
      <c r="N565" s="39"/>
      <c r="O565" s="39"/>
      <c r="P565" s="39"/>
      <c r="Q565" s="39"/>
      <c r="R565" s="39"/>
      <c r="S565" s="39"/>
    </row>
    <row r="566" spans="1:19" s="1" customFormat="1" ht="15" customHeight="1">
      <c r="A566" s="39"/>
      <c r="B566" s="39"/>
      <c r="C566" s="39"/>
      <c r="D566" s="39"/>
      <c r="E566" s="39"/>
      <c r="F566" s="39"/>
      <c r="G566" s="39"/>
      <c r="H566" s="39"/>
      <c r="I566" s="39"/>
      <c r="J566" s="39"/>
      <c r="K566" s="39"/>
      <c r="L566" s="39"/>
      <c r="M566" s="39"/>
      <c r="N566" s="39"/>
      <c r="O566" s="39"/>
      <c r="P566" s="39"/>
      <c r="Q566" s="39"/>
      <c r="R566" s="39"/>
      <c r="S566" s="39"/>
    </row>
    <row r="567" spans="1:19" s="1" customFormat="1" ht="15" customHeight="1">
      <c r="A567" s="39"/>
      <c r="B567" s="39"/>
      <c r="C567" s="39"/>
      <c r="D567" s="39"/>
      <c r="E567" s="39"/>
      <c r="F567" s="39"/>
      <c r="G567" s="39"/>
      <c r="H567" s="39"/>
      <c r="I567" s="39"/>
      <c r="J567" s="39"/>
      <c r="K567" s="39"/>
      <c r="L567" s="39"/>
      <c r="M567" s="39"/>
      <c r="N567" s="39"/>
      <c r="O567" s="39"/>
      <c r="P567" s="39"/>
      <c r="Q567" s="39"/>
      <c r="R567" s="39"/>
      <c r="S567" s="39"/>
    </row>
    <row r="568" spans="1:19" s="1" customFormat="1" ht="15" customHeight="1">
      <c r="A568" s="39"/>
      <c r="B568" s="39"/>
      <c r="C568" s="39"/>
      <c r="D568" s="39"/>
      <c r="E568" s="39"/>
      <c r="F568" s="39"/>
      <c r="G568" s="39"/>
      <c r="H568" s="39"/>
      <c r="I568" s="39"/>
      <c r="J568" s="39"/>
      <c r="K568" s="39"/>
      <c r="L568" s="39"/>
      <c r="M568" s="39"/>
      <c r="N568" s="39"/>
      <c r="O568" s="39"/>
      <c r="P568" s="39"/>
      <c r="Q568" s="39"/>
      <c r="R568" s="39"/>
      <c r="S568" s="39"/>
    </row>
    <row r="569" spans="1:19" s="1" customFormat="1" ht="15" customHeight="1">
      <c r="A569" s="39"/>
      <c r="B569" s="39"/>
      <c r="C569" s="39"/>
      <c r="D569" s="39"/>
      <c r="E569" s="39"/>
      <c r="F569" s="39"/>
      <c r="G569" s="39"/>
      <c r="H569" s="39"/>
      <c r="I569" s="39"/>
      <c r="J569" s="39"/>
      <c r="K569" s="39"/>
      <c r="L569" s="39"/>
      <c r="M569" s="39"/>
      <c r="N569" s="39"/>
      <c r="O569" s="39"/>
      <c r="P569" s="39"/>
      <c r="Q569" s="39"/>
      <c r="R569" s="39"/>
      <c r="S569" s="39"/>
    </row>
    <row r="570" spans="1:19" s="1" customFormat="1" ht="15" customHeight="1">
      <c r="A570" s="39"/>
      <c r="B570" s="39"/>
      <c r="C570" s="39"/>
      <c r="D570" s="39"/>
      <c r="E570" s="39"/>
      <c r="F570" s="39"/>
      <c r="G570" s="39"/>
      <c r="H570" s="39"/>
      <c r="I570" s="39"/>
      <c r="J570" s="39"/>
      <c r="K570" s="39"/>
      <c r="L570" s="39"/>
      <c r="M570" s="39"/>
      <c r="N570" s="39"/>
      <c r="O570" s="39"/>
      <c r="P570" s="39"/>
      <c r="Q570" s="39"/>
      <c r="R570" s="39"/>
      <c r="S570" s="39"/>
    </row>
    <row r="571" spans="1:19" s="1" customFormat="1" ht="15" customHeight="1">
      <c r="A571" s="39"/>
      <c r="B571" s="39"/>
      <c r="C571" s="39"/>
      <c r="D571" s="39"/>
      <c r="E571" s="39"/>
      <c r="F571" s="39"/>
      <c r="G571" s="39"/>
      <c r="H571" s="39"/>
      <c r="I571" s="39"/>
      <c r="J571" s="39"/>
      <c r="K571" s="39"/>
      <c r="L571" s="39"/>
      <c r="M571" s="39"/>
      <c r="N571" s="39"/>
      <c r="O571" s="39"/>
      <c r="P571" s="39"/>
      <c r="Q571" s="39"/>
      <c r="R571" s="39"/>
      <c r="S571" s="39"/>
    </row>
    <row r="572" spans="1:19" s="1" customFormat="1" ht="15" customHeight="1">
      <c r="A572" s="39"/>
      <c r="B572" s="39"/>
      <c r="C572" s="39"/>
      <c r="D572" s="39"/>
      <c r="E572" s="39"/>
      <c r="F572" s="39"/>
      <c r="G572" s="39"/>
      <c r="H572" s="39"/>
      <c r="I572" s="39"/>
      <c r="J572" s="39"/>
      <c r="K572" s="39"/>
      <c r="L572" s="39"/>
      <c r="M572" s="39"/>
      <c r="N572" s="39"/>
      <c r="O572" s="39"/>
      <c r="P572" s="39"/>
      <c r="Q572" s="39"/>
      <c r="R572" s="39"/>
      <c r="S572" s="39"/>
    </row>
    <row r="573" spans="1:19" s="1" customFormat="1" ht="15" customHeight="1">
      <c r="A573" s="39"/>
      <c r="B573" s="39"/>
      <c r="C573" s="39"/>
      <c r="D573" s="39"/>
      <c r="E573" s="39"/>
      <c r="F573" s="39"/>
      <c r="G573" s="39"/>
      <c r="H573" s="39"/>
      <c r="I573" s="39"/>
      <c r="J573" s="39"/>
      <c r="K573" s="39"/>
      <c r="L573" s="39"/>
      <c r="M573" s="39"/>
      <c r="N573" s="39"/>
      <c r="O573" s="39"/>
      <c r="P573" s="39"/>
      <c r="Q573" s="39"/>
      <c r="R573" s="39"/>
      <c r="S573" s="39"/>
    </row>
    <row r="574" spans="1:19" s="1" customFormat="1" ht="15" customHeight="1">
      <c r="A574" s="39"/>
      <c r="B574" s="39"/>
      <c r="C574" s="39"/>
      <c r="D574" s="39"/>
      <c r="E574" s="39"/>
      <c r="F574" s="39"/>
      <c r="G574" s="39"/>
      <c r="H574" s="39"/>
      <c r="I574" s="39"/>
      <c r="J574" s="39"/>
      <c r="K574" s="39"/>
      <c r="L574" s="39"/>
      <c r="M574" s="39"/>
      <c r="N574" s="39"/>
      <c r="O574" s="39"/>
      <c r="P574" s="39"/>
      <c r="Q574" s="39"/>
      <c r="R574" s="39"/>
      <c r="S574" s="39"/>
    </row>
    <row r="575" spans="1:19" s="1" customFormat="1" ht="15" customHeight="1">
      <c r="A575" s="39"/>
      <c r="B575" s="39"/>
      <c r="C575" s="39"/>
      <c r="D575" s="39"/>
      <c r="E575" s="39"/>
      <c r="F575" s="39"/>
      <c r="G575" s="39"/>
      <c r="H575" s="39"/>
      <c r="I575" s="39"/>
      <c r="J575" s="39"/>
      <c r="K575" s="39"/>
      <c r="L575" s="39"/>
      <c r="M575" s="39"/>
      <c r="N575" s="39"/>
      <c r="O575" s="39"/>
      <c r="P575" s="39"/>
      <c r="Q575" s="39"/>
      <c r="R575" s="39"/>
      <c r="S575" s="39"/>
    </row>
    <row r="576" spans="1:19" s="1" customFormat="1" ht="15" customHeight="1">
      <c r="A576" s="39"/>
      <c r="B576" s="39"/>
      <c r="C576" s="39"/>
      <c r="D576" s="39"/>
      <c r="E576" s="39"/>
      <c r="F576" s="39"/>
      <c r="G576" s="39"/>
      <c r="H576" s="39"/>
      <c r="I576" s="39"/>
      <c r="J576" s="39"/>
      <c r="K576" s="39"/>
      <c r="L576" s="39"/>
      <c r="M576" s="39"/>
      <c r="N576" s="39"/>
      <c r="O576" s="39"/>
      <c r="P576" s="39"/>
      <c r="Q576" s="39"/>
      <c r="R576" s="39"/>
      <c r="S576" s="39"/>
    </row>
    <row r="577" spans="1:19" s="1" customFormat="1" ht="15" customHeight="1">
      <c r="A577" s="39"/>
      <c r="B577" s="39"/>
      <c r="C577" s="39"/>
      <c r="D577" s="39"/>
      <c r="E577" s="39"/>
      <c r="F577" s="39"/>
      <c r="G577" s="39"/>
      <c r="H577" s="39"/>
      <c r="I577" s="39"/>
      <c r="J577" s="39"/>
      <c r="K577" s="39"/>
      <c r="L577" s="39"/>
      <c r="M577" s="39"/>
      <c r="N577" s="39"/>
      <c r="O577" s="39"/>
      <c r="P577" s="39"/>
      <c r="Q577" s="39"/>
      <c r="R577" s="39"/>
      <c r="S577" s="39"/>
    </row>
    <row r="578" spans="1:19" s="1" customFormat="1" ht="15" customHeight="1">
      <c r="A578" s="39"/>
      <c r="B578" s="39"/>
      <c r="C578" s="39"/>
      <c r="D578" s="39"/>
      <c r="E578" s="39"/>
      <c r="F578" s="39"/>
      <c r="G578" s="39"/>
      <c r="H578" s="39"/>
      <c r="I578" s="39"/>
      <c r="J578" s="39"/>
      <c r="K578" s="39"/>
      <c r="L578" s="39"/>
      <c r="M578" s="39"/>
      <c r="N578" s="39"/>
      <c r="O578" s="39"/>
      <c r="P578" s="39"/>
      <c r="Q578" s="39"/>
      <c r="R578" s="39"/>
      <c r="S578" s="39"/>
    </row>
    <row r="579" spans="1:19" s="1" customFormat="1" ht="15" customHeight="1">
      <c r="A579" s="39"/>
      <c r="B579" s="39"/>
      <c r="C579" s="39"/>
      <c r="D579" s="39"/>
      <c r="E579" s="39"/>
      <c r="F579" s="39"/>
      <c r="G579" s="39"/>
      <c r="H579" s="39"/>
      <c r="I579" s="39"/>
      <c r="J579" s="39"/>
      <c r="K579" s="39"/>
      <c r="L579" s="39"/>
      <c r="M579" s="39"/>
      <c r="N579" s="39"/>
      <c r="O579" s="39"/>
      <c r="P579" s="39"/>
      <c r="Q579" s="39"/>
      <c r="R579" s="39"/>
      <c r="S579" s="39"/>
    </row>
    <row r="580" spans="1:19" s="1" customFormat="1" ht="15" customHeight="1">
      <c r="A580" s="39"/>
      <c r="B580" s="39"/>
      <c r="C580" s="39"/>
      <c r="D580" s="39"/>
      <c r="E580" s="39"/>
      <c r="F580" s="39"/>
      <c r="G580" s="39"/>
      <c r="H580" s="39"/>
      <c r="I580" s="39"/>
      <c r="J580" s="39"/>
      <c r="K580" s="39"/>
      <c r="L580" s="39"/>
      <c r="M580" s="39"/>
      <c r="N580" s="39"/>
      <c r="O580" s="39"/>
      <c r="P580" s="39"/>
      <c r="Q580" s="39"/>
      <c r="R580" s="39"/>
      <c r="S580" s="39"/>
    </row>
    <row r="581" spans="1:19" s="1" customFormat="1" ht="15" customHeight="1">
      <c r="A581" s="39"/>
      <c r="B581" s="39"/>
      <c r="C581" s="39"/>
      <c r="D581" s="39"/>
      <c r="E581" s="39"/>
      <c r="F581" s="39"/>
      <c r="G581" s="39"/>
      <c r="H581" s="39"/>
      <c r="I581" s="39"/>
      <c r="J581" s="39"/>
      <c r="K581" s="39"/>
      <c r="L581" s="39"/>
      <c r="M581" s="39"/>
      <c r="N581" s="39"/>
      <c r="O581" s="39"/>
      <c r="P581" s="39"/>
      <c r="Q581" s="39"/>
      <c r="R581" s="39"/>
      <c r="S581" s="39"/>
    </row>
    <row r="582" spans="1:19" s="1" customFormat="1" ht="15" customHeight="1">
      <c r="A582" s="39"/>
      <c r="B582" s="39"/>
      <c r="C582" s="39"/>
      <c r="D582" s="39"/>
      <c r="E582" s="39"/>
      <c r="F582" s="39"/>
      <c r="G582" s="39"/>
      <c r="H582" s="39"/>
      <c r="I582" s="39"/>
      <c r="J582" s="39"/>
      <c r="K582" s="39"/>
      <c r="L582" s="39"/>
      <c r="M582" s="39"/>
      <c r="N582" s="39"/>
      <c r="O582" s="39"/>
      <c r="P582" s="39"/>
      <c r="Q582" s="39"/>
      <c r="R582" s="39"/>
      <c r="S582" s="39"/>
    </row>
    <row r="583" spans="1:19" s="1" customFormat="1" ht="15" customHeight="1">
      <c r="A583" s="39"/>
      <c r="B583" s="39"/>
      <c r="C583" s="39"/>
      <c r="D583" s="39"/>
      <c r="E583" s="39"/>
      <c r="F583" s="39"/>
      <c r="G583" s="39"/>
      <c r="H583" s="39"/>
      <c r="I583" s="39"/>
      <c r="J583" s="39"/>
      <c r="K583" s="39"/>
      <c r="L583" s="39"/>
      <c r="M583" s="39"/>
      <c r="N583" s="39"/>
      <c r="O583" s="39"/>
      <c r="P583" s="39"/>
      <c r="Q583" s="39"/>
      <c r="R583" s="39"/>
      <c r="S583" s="39"/>
    </row>
    <row r="584" spans="1:19" s="1" customFormat="1" ht="15" customHeight="1">
      <c r="A584" s="39"/>
      <c r="B584" s="39"/>
      <c r="C584" s="39"/>
      <c r="D584" s="39"/>
      <c r="E584" s="39"/>
      <c r="F584" s="39"/>
      <c r="G584" s="39"/>
      <c r="H584" s="39"/>
      <c r="I584" s="39"/>
      <c r="J584" s="39"/>
      <c r="K584" s="39"/>
      <c r="L584" s="39"/>
      <c r="M584" s="39"/>
      <c r="N584" s="39"/>
      <c r="O584" s="39"/>
      <c r="P584" s="39"/>
      <c r="Q584" s="39"/>
      <c r="R584" s="39"/>
      <c r="S584" s="39"/>
    </row>
    <row r="585" spans="1:19" s="1" customFormat="1" ht="15" customHeight="1">
      <c r="A585" s="39"/>
      <c r="B585" s="39"/>
      <c r="C585" s="39"/>
      <c r="D585" s="39"/>
      <c r="E585" s="39"/>
      <c r="F585" s="39"/>
      <c r="G585" s="39"/>
      <c r="H585" s="39"/>
      <c r="I585" s="39"/>
      <c r="J585" s="39"/>
      <c r="K585" s="39"/>
      <c r="L585" s="39"/>
      <c r="M585" s="39"/>
      <c r="N585" s="39"/>
      <c r="O585" s="39"/>
      <c r="P585" s="39"/>
      <c r="Q585" s="39"/>
      <c r="R585" s="39"/>
      <c r="S585" s="39"/>
    </row>
    <row r="586" spans="1:19" s="1" customFormat="1" ht="15" customHeight="1">
      <c r="A586" s="39"/>
      <c r="B586" s="39"/>
      <c r="C586" s="39"/>
      <c r="D586" s="39"/>
      <c r="E586" s="39"/>
      <c r="F586" s="39"/>
      <c r="G586" s="39"/>
      <c r="H586" s="39"/>
      <c r="I586" s="39"/>
      <c r="J586" s="39"/>
      <c r="K586" s="39"/>
      <c r="L586" s="39"/>
      <c r="M586" s="39"/>
      <c r="N586" s="39"/>
      <c r="O586" s="39"/>
      <c r="P586" s="39"/>
      <c r="Q586" s="39"/>
      <c r="R586" s="39"/>
      <c r="S586" s="39"/>
    </row>
    <row r="587" spans="1:19" s="1" customFormat="1" ht="15" customHeight="1">
      <c r="A587" s="39"/>
      <c r="B587" s="39"/>
      <c r="C587" s="39"/>
      <c r="D587" s="39"/>
      <c r="E587" s="39"/>
      <c r="F587" s="39"/>
      <c r="G587" s="39"/>
      <c r="H587" s="39"/>
      <c r="I587" s="39"/>
      <c r="J587" s="39"/>
      <c r="K587" s="39"/>
      <c r="L587" s="39"/>
      <c r="M587" s="39"/>
      <c r="N587" s="39"/>
      <c r="O587" s="39"/>
      <c r="P587" s="39"/>
      <c r="Q587" s="39"/>
      <c r="R587" s="39"/>
      <c r="S587" s="39"/>
    </row>
    <row r="588" spans="1:19" s="1" customFormat="1" ht="15" customHeight="1">
      <c r="A588" s="39"/>
      <c r="B588" s="39"/>
      <c r="C588" s="39"/>
      <c r="D588" s="39"/>
      <c r="E588" s="39"/>
      <c r="F588" s="39"/>
      <c r="G588" s="39"/>
      <c r="H588" s="39"/>
      <c r="I588" s="39"/>
      <c r="J588" s="39"/>
      <c r="K588" s="39"/>
      <c r="L588" s="39"/>
      <c r="M588" s="39"/>
      <c r="N588" s="39"/>
      <c r="O588" s="39"/>
      <c r="P588" s="39"/>
      <c r="Q588" s="39"/>
      <c r="R588" s="39"/>
      <c r="S588" s="39"/>
    </row>
    <row r="589" spans="1:19" s="1" customFormat="1" ht="15" customHeight="1">
      <c r="A589" s="39"/>
      <c r="B589" s="39"/>
      <c r="C589" s="39"/>
      <c r="D589" s="39"/>
      <c r="E589" s="39"/>
      <c r="F589" s="39"/>
      <c r="G589" s="39"/>
      <c r="H589" s="39"/>
      <c r="I589" s="39"/>
      <c r="J589" s="39"/>
      <c r="K589" s="39"/>
      <c r="L589" s="39"/>
      <c r="M589" s="39"/>
      <c r="N589" s="39"/>
      <c r="O589" s="39"/>
      <c r="P589" s="39"/>
      <c r="Q589" s="39"/>
      <c r="R589" s="39"/>
      <c r="S589" s="39"/>
    </row>
    <row r="590" spans="1:19" s="1" customFormat="1" ht="15" customHeight="1">
      <c r="A590" s="39"/>
      <c r="B590" s="39"/>
      <c r="C590" s="39"/>
      <c r="D590" s="39"/>
      <c r="E590" s="39"/>
      <c r="F590" s="39"/>
      <c r="G590" s="39"/>
      <c r="H590" s="39"/>
      <c r="I590" s="39"/>
      <c r="J590" s="39"/>
      <c r="K590" s="39"/>
      <c r="L590" s="39"/>
      <c r="M590" s="39"/>
      <c r="N590" s="39"/>
      <c r="O590" s="39"/>
      <c r="P590" s="39"/>
      <c r="Q590" s="39"/>
      <c r="R590" s="39"/>
      <c r="S590" s="39"/>
    </row>
    <row r="591" spans="1:19" s="1" customFormat="1" ht="15" customHeight="1">
      <c r="A591" s="39"/>
      <c r="B591" s="39"/>
      <c r="C591" s="39"/>
      <c r="D591" s="39"/>
      <c r="E591" s="39"/>
      <c r="F591" s="39"/>
      <c r="G591" s="39"/>
      <c r="H591" s="39"/>
      <c r="I591" s="39"/>
      <c r="J591" s="39"/>
      <c r="K591" s="39"/>
      <c r="L591" s="39"/>
      <c r="M591" s="39"/>
      <c r="N591" s="39"/>
      <c r="O591" s="39"/>
      <c r="P591" s="39"/>
      <c r="Q591" s="39"/>
      <c r="R591" s="39"/>
      <c r="S591" s="39"/>
    </row>
    <row r="592" spans="1:19" s="1" customFormat="1" ht="15" customHeight="1">
      <c r="A592" s="39"/>
      <c r="B592" s="39"/>
      <c r="C592" s="39"/>
      <c r="D592" s="39"/>
      <c r="E592" s="39"/>
      <c r="F592" s="39"/>
      <c r="G592" s="39"/>
      <c r="H592" s="39"/>
      <c r="I592" s="39"/>
      <c r="J592" s="39"/>
      <c r="K592" s="39"/>
      <c r="L592" s="39"/>
      <c r="M592" s="39"/>
      <c r="N592" s="39"/>
      <c r="O592" s="39"/>
      <c r="P592" s="39"/>
      <c r="Q592" s="39"/>
      <c r="R592" s="39"/>
      <c r="S592" s="39"/>
    </row>
    <row r="593" spans="1:19" s="1" customFormat="1" ht="15" customHeight="1">
      <c r="A593" s="39"/>
      <c r="B593" s="39"/>
      <c r="C593" s="39"/>
      <c r="D593" s="39"/>
      <c r="E593" s="39"/>
      <c r="F593" s="39"/>
      <c r="G593" s="39"/>
      <c r="H593" s="39"/>
      <c r="I593" s="39"/>
      <c r="J593" s="39"/>
      <c r="K593" s="39"/>
      <c r="L593" s="39"/>
      <c r="M593" s="39"/>
      <c r="N593" s="39"/>
      <c r="O593" s="39"/>
      <c r="P593" s="39"/>
      <c r="Q593" s="39"/>
      <c r="R593" s="39"/>
      <c r="S593" s="39"/>
    </row>
    <row r="594" spans="1:19" s="1" customFormat="1" ht="15" customHeight="1">
      <c r="A594" s="39"/>
      <c r="B594" s="39"/>
      <c r="C594" s="39"/>
      <c r="D594" s="39"/>
      <c r="E594" s="39"/>
      <c r="F594" s="39"/>
      <c r="G594" s="39"/>
      <c r="H594" s="39"/>
      <c r="I594" s="39"/>
      <c r="J594" s="39"/>
      <c r="K594" s="39"/>
      <c r="L594" s="39"/>
      <c r="M594" s="39"/>
      <c r="N594" s="39"/>
      <c r="O594" s="39"/>
      <c r="P594" s="39"/>
      <c r="Q594" s="39"/>
      <c r="R594" s="39"/>
      <c r="S594" s="39"/>
    </row>
    <row r="595" spans="1:19" s="1" customFormat="1" ht="15" customHeight="1">
      <c r="A595" s="39"/>
      <c r="B595" s="39"/>
      <c r="C595" s="39"/>
      <c r="D595" s="39"/>
      <c r="E595" s="39"/>
      <c r="F595" s="39"/>
      <c r="G595" s="39"/>
      <c r="H595" s="39"/>
      <c r="I595" s="39"/>
      <c r="J595" s="39"/>
      <c r="K595" s="39"/>
      <c r="L595" s="39"/>
      <c r="M595" s="39"/>
      <c r="N595" s="39"/>
      <c r="O595" s="39"/>
      <c r="P595" s="39"/>
      <c r="Q595" s="39"/>
      <c r="R595" s="39"/>
      <c r="S595" s="39"/>
    </row>
    <row r="596" spans="1:19" s="1" customFormat="1" ht="15" customHeight="1">
      <c r="A596" s="39"/>
      <c r="B596" s="39"/>
      <c r="C596" s="39"/>
      <c r="D596" s="39"/>
      <c r="E596" s="39"/>
      <c r="F596" s="39"/>
      <c r="G596" s="39"/>
      <c r="H596" s="39"/>
      <c r="I596" s="39"/>
      <c r="J596" s="39"/>
      <c r="K596" s="39"/>
      <c r="L596" s="39"/>
      <c r="M596" s="39"/>
      <c r="N596" s="39"/>
      <c r="O596" s="39"/>
      <c r="P596" s="39"/>
      <c r="Q596" s="39"/>
      <c r="R596" s="39"/>
      <c r="S596" s="39"/>
    </row>
    <row r="597" spans="1:19" s="1" customFormat="1" ht="15" customHeight="1">
      <c r="A597" s="39"/>
      <c r="B597" s="39"/>
      <c r="C597" s="39"/>
      <c r="D597" s="39"/>
      <c r="E597" s="39"/>
      <c r="F597" s="39"/>
      <c r="G597" s="39"/>
      <c r="H597" s="39"/>
      <c r="I597" s="39"/>
      <c r="J597" s="39"/>
      <c r="K597" s="39"/>
      <c r="L597" s="39"/>
      <c r="M597" s="39"/>
      <c r="N597" s="39"/>
      <c r="O597" s="39"/>
      <c r="P597" s="39"/>
      <c r="Q597" s="39"/>
      <c r="R597" s="39"/>
      <c r="S597" s="39"/>
    </row>
    <row r="598" spans="1:19" s="1" customFormat="1" ht="15" customHeight="1">
      <c r="A598" s="39"/>
      <c r="B598" s="39"/>
      <c r="C598" s="39"/>
      <c r="D598" s="39"/>
      <c r="E598" s="39"/>
      <c r="F598" s="39"/>
      <c r="G598" s="39"/>
      <c r="H598" s="39"/>
      <c r="I598" s="39"/>
      <c r="J598" s="39"/>
      <c r="K598" s="39"/>
      <c r="L598" s="39"/>
      <c r="M598" s="39"/>
      <c r="N598" s="39"/>
      <c r="O598" s="39"/>
      <c r="P598" s="39"/>
      <c r="Q598" s="39"/>
      <c r="R598" s="39"/>
      <c r="S598" s="39"/>
    </row>
    <row r="599" spans="1:19" s="1" customFormat="1" ht="15" customHeight="1">
      <c r="A599" s="39"/>
      <c r="B599" s="39"/>
      <c r="C599" s="39"/>
      <c r="D599" s="39"/>
      <c r="E599" s="39"/>
      <c r="F599" s="39"/>
      <c r="G599" s="39"/>
      <c r="H599" s="39"/>
      <c r="I599" s="39"/>
      <c r="J599" s="39"/>
      <c r="K599" s="39"/>
      <c r="L599" s="39"/>
      <c r="M599" s="39"/>
      <c r="N599" s="39"/>
      <c r="O599" s="39"/>
      <c r="P599" s="39"/>
      <c r="Q599" s="39"/>
      <c r="R599" s="39"/>
      <c r="S599" s="39"/>
    </row>
    <row r="600" spans="1:19" s="1" customFormat="1" ht="15" customHeight="1">
      <c r="A600" s="39"/>
      <c r="B600" s="39"/>
      <c r="C600" s="39"/>
      <c r="D600" s="39"/>
      <c r="E600" s="39"/>
      <c r="F600" s="39"/>
      <c r="G600" s="39"/>
      <c r="H600" s="39"/>
      <c r="I600" s="39"/>
      <c r="J600" s="39"/>
      <c r="K600" s="39"/>
      <c r="L600" s="39"/>
      <c r="M600" s="39"/>
      <c r="N600" s="39"/>
      <c r="O600" s="39"/>
      <c r="P600" s="39"/>
      <c r="Q600" s="39"/>
      <c r="R600" s="39"/>
      <c r="S600" s="39"/>
    </row>
    <row r="601" spans="1:19" s="1" customFormat="1" ht="15" customHeight="1">
      <c r="A601" s="39"/>
      <c r="B601" s="39"/>
      <c r="C601" s="39"/>
      <c r="D601" s="39"/>
      <c r="E601" s="39"/>
      <c r="F601" s="39"/>
      <c r="G601" s="39"/>
      <c r="H601" s="39"/>
      <c r="I601" s="39"/>
      <c r="J601" s="39"/>
      <c r="K601" s="39"/>
      <c r="L601" s="39"/>
      <c r="M601" s="39"/>
      <c r="N601" s="39"/>
      <c r="O601" s="39"/>
      <c r="P601" s="39"/>
      <c r="Q601" s="39"/>
      <c r="R601" s="39"/>
      <c r="S601" s="39"/>
    </row>
    <row r="602" spans="1:19" s="1" customFormat="1" ht="15" customHeight="1">
      <c r="A602" s="39"/>
      <c r="B602" s="39"/>
      <c r="C602" s="39"/>
      <c r="D602" s="39"/>
      <c r="E602" s="39"/>
      <c r="F602" s="39"/>
      <c r="G602" s="39"/>
      <c r="H602" s="39"/>
      <c r="I602" s="39"/>
      <c r="J602" s="39"/>
      <c r="K602" s="39"/>
      <c r="L602" s="39"/>
      <c r="M602" s="39"/>
      <c r="N602" s="39"/>
      <c r="O602" s="39"/>
      <c r="P602" s="39"/>
      <c r="Q602" s="39"/>
      <c r="R602" s="39"/>
      <c r="S602" s="39"/>
    </row>
    <row r="603" spans="1:19" s="1" customFormat="1" ht="15" customHeight="1">
      <c r="A603" s="39"/>
      <c r="B603" s="39"/>
      <c r="C603" s="39"/>
      <c r="D603" s="39"/>
      <c r="E603" s="39"/>
      <c r="F603" s="39"/>
      <c r="G603" s="39"/>
      <c r="H603" s="39"/>
      <c r="I603" s="39"/>
      <c r="J603" s="39"/>
      <c r="K603" s="39"/>
      <c r="L603" s="39"/>
      <c r="M603" s="39"/>
      <c r="N603" s="39"/>
      <c r="O603" s="39"/>
      <c r="P603" s="39"/>
      <c r="Q603" s="39"/>
      <c r="R603" s="39"/>
      <c r="S603" s="39"/>
    </row>
    <row r="604" spans="1:19" s="1" customFormat="1" ht="15" customHeight="1">
      <c r="A604" s="39"/>
      <c r="B604" s="39"/>
      <c r="C604" s="39"/>
      <c r="D604" s="39"/>
      <c r="E604" s="39"/>
      <c r="F604" s="39"/>
      <c r="G604" s="39"/>
      <c r="H604" s="39"/>
      <c r="I604" s="39"/>
      <c r="J604" s="39"/>
      <c r="K604" s="39"/>
      <c r="L604" s="39"/>
      <c r="M604" s="39"/>
      <c r="N604" s="39"/>
      <c r="O604" s="39"/>
      <c r="P604" s="39"/>
      <c r="Q604" s="39"/>
      <c r="R604" s="39"/>
      <c r="S604" s="39"/>
    </row>
    <row r="605" spans="1:19" s="1" customFormat="1" ht="15" customHeight="1">
      <c r="A605" s="39"/>
      <c r="B605" s="39"/>
      <c r="C605" s="39"/>
      <c r="D605" s="39"/>
      <c r="E605" s="39"/>
      <c r="F605" s="39"/>
      <c r="G605" s="39"/>
      <c r="H605" s="39"/>
      <c r="I605" s="39"/>
      <c r="J605" s="39"/>
      <c r="K605" s="39"/>
      <c r="L605" s="39"/>
      <c r="M605" s="39"/>
      <c r="N605" s="39"/>
      <c r="O605" s="39"/>
      <c r="P605" s="39"/>
      <c r="Q605" s="39"/>
      <c r="R605" s="39"/>
      <c r="S605" s="39"/>
    </row>
    <row r="606" spans="1:19" s="1" customFormat="1" ht="15" customHeight="1">
      <c r="A606" s="39"/>
      <c r="B606" s="39"/>
      <c r="C606" s="39"/>
      <c r="D606" s="39"/>
      <c r="E606" s="39"/>
      <c r="F606" s="39"/>
      <c r="G606" s="39"/>
      <c r="H606" s="39"/>
      <c r="I606" s="39"/>
      <c r="J606" s="39"/>
      <c r="K606" s="39"/>
      <c r="L606" s="39"/>
      <c r="M606" s="39"/>
      <c r="N606" s="39"/>
      <c r="O606" s="39"/>
      <c r="P606" s="39"/>
      <c r="Q606" s="39"/>
      <c r="R606" s="39"/>
      <c r="S606" s="39"/>
    </row>
    <row r="607" spans="1:19" s="1" customFormat="1" ht="15" customHeight="1">
      <c r="A607" s="39"/>
      <c r="B607" s="39"/>
      <c r="C607" s="39"/>
      <c r="D607" s="39"/>
      <c r="E607" s="39"/>
      <c r="F607" s="39"/>
      <c r="G607" s="39"/>
      <c r="H607" s="39"/>
      <c r="I607" s="39"/>
      <c r="J607" s="39"/>
      <c r="K607" s="39"/>
      <c r="L607" s="39"/>
      <c r="M607" s="39"/>
      <c r="N607" s="39"/>
      <c r="O607" s="39"/>
      <c r="P607" s="39"/>
      <c r="Q607" s="39"/>
      <c r="R607" s="39"/>
      <c r="S607" s="39"/>
    </row>
    <row r="608" spans="1:19" s="1" customFormat="1" ht="15" customHeight="1">
      <c r="A608" s="39"/>
      <c r="B608" s="39"/>
      <c r="C608" s="39"/>
      <c r="D608" s="39"/>
      <c r="E608" s="39"/>
      <c r="F608" s="39"/>
      <c r="G608" s="39"/>
      <c r="H608" s="39"/>
      <c r="I608" s="39"/>
      <c r="J608" s="39"/>
      <c r="K608" s="39"/>
      <c r="L608" s="39"/>
      <c r="M608" s="39"/>
      <c r="N608" s="39"/>
      <c r="O608" s="39"/>
      <c r="P608" s="39"/>
      <c r="Q608" s="39"/>
      <c r="R608" s="39"/>
      <c r="S608" s="39"/>
    </row>
    <row r="609" spans="1:19" s="1" customFormat="1" ht="15" customHeight="1">
      <c r="A609" s="39"/>
      <c r="B609" s="39"/>
      <c r="C609" s="39"/>
      <c r="D609" s="39"/>
      <c r="E609" s="39"/>
      <c r="F609" s="39"/>
      <c r="G609" s="39"/>
      <c r="H609" s="39"/>
      <c r="I609" s="39"/>
      <c r="J609" s="39"/>
      <c r="K609" s="39"/>
      <c r="L609" s="39"/>
      <c r="M609" s="39"/>
      <c r="N609" s="39"/>
      <c r="O609" s="39"/>
      <c r="P609" s="39"/>
      <c r="Q609" s="39"/>
      <c r="R609" s="39"/>
      <c r="S609" s="39"/>
    </row>
    <row r="610" spans="1:19" s="1" customFormat="1" ht="15" customHeight="1">
      <c r="A610" s="39"/>
      <c r="B610" s="39"/>
      <c r="C610" s="39"/>
      <c r="D610" s="39"/>
      <c r="E610" s="39"/>
      <c r="F610" s="39"/>
      <c r="G610" s="39"/>
      <c r="H610" s="39"/>
      <c r="I610" s="39"/>
      <c r="J610" s="39"/>
      <c r="K610" s="39"/>
      <c r="L610" s="39"/>
      <c r="M610" s="39"/>
      <c r="N610" s="39"/>
      <c r="O610" s="39"/>
      <c r="P610" s="39"/>
      <c r="Q610" s="39"/>
      <c r="R610" s="39"/>
      <c r="S610" s="39"/>
    </row>
    <row r="611" spans="1:19" s="1" customFormat="1" ht="15" customHeight="1">
      <c r="A611" s="39"/>
      <c r="B611" s="39"/>
      <c r="C611" s="39"/>
      <c r="D611" s="39"/>
      <c r="E611" s="39"/>
      <c r="F611" s="39"/>
      <c r="G611" s="39"/>
      <c r="H611" s="39"/>
      <c r="I611" s="39"/>
      <c r="J611" s="39"/>
      <c r="K611" s="39"/>
      <c r="L611" s="39"/>
      <c r="M611" s="39"/>
      <c r="N611" s="39"/>
      <c r="O611" s="39"/>
      <c r="P611" s="39"/>
      <c r="Q611" s="39"/>
      <c r="R611" s="39"/>
      <c r="S611" s="39"/>
    </row>
    <row r="612" spans="1:19" s="1" customFormat="1" ht="15" customHeight="1">
      <c r="A612" s="39"/>
      <c r="B612" s="39"/>
      <c r="C612" s="39"/>
      <c r="D612" s="39"/>
      <c r="E612" s="39"/>
      <c r="F612" s="39"/>
      <c r="G612" s="39"/>
      <c r="H612" s="39"/>
      <c r="I612" s="39"/>
      <c r="J612" s="39"/>
      <c r="K612" s="39"/>
      <c r="L612" s="39"/>
      <c r="M612" s="39"/>
      <c r="N612" s="39"/>
      <c r="O612" s="39"/>
      <c r="P612" s="39"/>
      <c r="Q612" s="39"/>
      <c r="R612" s="39"/>
      <c r="S612" s="39"/>
    </row>
    <row r="613" spans="1:19" s="1" customFormat="1" ht="15" customHeight="1">
      <c r="A613" s="39"/>
      <c r="B613" s="39"/>
      <c r="C613" s="39"/>
      <c r="D613" s="39"/>
      <c r="E613" s="39"/>
      <c r="F613" s="39"/>
      <c r="G613" s="39"/>
      <c r="H613" s="39"/>
      <c r="I613" s="39"/>
      <c r="J613" s="39"/>
      <c r="K613" s="39"/>
      <c r="L613" s="39"/>
      <c r="M613" s="39"/>
      <c r="N613" s="39"/>
      <c r="O613" s="39"/>
      <c r="P613" s="39"/>
      <c r="Q613" s="39"/>
      <c r="R613" s="39"/>
      <c r="S613" s="39"/>
    </row>
    <row r="614" spans="1:19" s="1" customFormat="1" ht="15" customHeight="1">
      <c r="A614" s="39"/>
      <c r="B614" s="39"/>
      <c r="C614" s="39"/>
      <c r="D614" s="39"/>
      <c r="E614" s="39"/>
      <c r="F614" s="39"/>
      <c r="G614" s="39"/>
      <c r="H614" s="39"/>
      <c r="I614" s="39"/>
      <c r="J614" s="39"/>
      <c r="K614" s="39"/>
      <c r="L614" s="39"/>
      <c r="M614" s="39"/>
      <c r="N614" s="39"/>
      <c r="O614" s="39"/>
      <c r="P614" s="39"/>
      <c r="Q614" s="39"/>
      <c r="R614" s="39"/>
      <c r="S614" s="39"/>
    </row>
    <row r="615" spans="1:19" s="1" customFormat="1" ht="15" customHeight="1">
      <c r="A615" s="39"/>
      <c r="B615" s="39"/>
      <c r="C615" s="39"/>
      <c r="D615" s="39"/>
      <c r="E615" s="39"/>
      <c r="F615" s="39"/>
      <c r="G615" s="39"/>
      <c r="H615" s="39"/>
      <c r="I615" s="39"/>
      <c r="J615" s="39"/>
      <c r="K615" s="39"/>
      <c r="L615" s="39"/>
      <c r="M615" s="39"/>
      <c r="N615" s="39"/>
      <c r="O615" s="39"/>
      <c r="P615" s="39"/>
      <c r="Q615" s="39"/>
      <c r="R615" s="39"/>
      <c r="S615" s="39"/>
    </row>
    <row r="616" spans="1:19" s="1" customFormat="1" ht="15" customHeight="1">
      <c r="A616" s="39"/>
      <c r="B616" s="39"/>
      <c r="C616" s="39"/>
      <c r="D616" s="39"/>
      <c r="E616" s="39"/>
      <c r="F616" s="39"/>
      <c r="G616" s="39"/>
      <c r="H616" s="39"/>
      <c r="I616" s="39"/>
      <c r="J616" s="39"/>
      <c r="K616" s="39"/>
      <c r="L616" s="39"/>
      <c r="M616" s="39"/>
      <c r="N616" s="39"/>
      <c r="O616" s="39"/>
      <c r="P616" s="39"/>
      <c r="Q616" s="39"/>
      <c r="R616" s="39"/>
      <c r="S616" s="39"/>
    </row>
    <row r="617" spans="1:19" s="1" customFormat="1" ht="15" customHeight="1">
      <c r="A617" s="39"/>
      <c r="B617" s="39"/>
      <c r="C617" s="39"/>
      <c r="D617" s="39"/>
      <c r="E617" s="39"/>
      <c r="F617" s="39"/>
      <c r="G617" s="39"/>
      <c r="H617" s="39"/>
      <c r="I617" s="39"/>
      <c r="J617" s="39"/>
      <c r="K617" s="39"/>
      <c r="L617" s="39"/>
      <c r="M617" s="39"/>
      <c r="N617" s="39"/>
      <c r="O617" s="39"/>
      <c r="P617" s="39"/>
      <c r="Q617" s="39"/>
      <c r="R617" s="39"/>
      <c r="S617" s="39"/>
    </row>
    <row r="618" spans="1:19" s="1" customFormat="1" ht="15" customHeight="1">
      <c r="A618" s="39"/>
      <c r="B618" s="39"/>
      <c r="C618" s="39"/>
      <c r="D618" s="39"/>
      <c r="E618" s="39"/>
      <c r="F618" s="39"/>
      <c r="G618" s="39"/>
      <c r="H618" s="39"/>
      <c r="I618" s="39"/>
      <c r="J618" s="39"/>
      <c r="K618" s="39"/>
      <c r="L618" s="39"/>
      <c r="M618" s="39"/>
      <c r="N618" s="39"/>
      <c r="O618" s="39"/>
      <c r="P618" s="39"/>
      <c r="Q618" s="39"/>
      <c r="R618" s="39"/>
      <c r="S618" s="39"/>
    </row>
    <row r="619" spans="1:19" s="1" customFormat="1" ht="15" customHeight="1">
      <c r="A619" s="39"/>
      <c r="B619" s="39"/>
      <c r="C619" s="39"/>
      <c r="D619" s="39"/>
      <c r="E619" s="39"/>
      <c r="F619" s="39"/>
      <c r="G619" s="39"/>
      <c r="H619" s="39"/>
      <c r="I619" s="39"/>
      <c r="J619" s="39"/>
      <c r="K619" s="39"/>
      <c r="L619" s="39"/>
      <c r="M619" s="39"/>
      <c r="N619" s="39"/>
      <c r="O619" s="39"/>
      <c r="P619" s="39"/>
      <c r="Q619" s="39"/>
      <c r="R619" s="39"/>
      <c r="S619" s="39"/>
    </row>
    <row r="620" spans="1:19" s="1" customFormat="1" ht="15" customHeight="1">
      <c r="A620" s="39"/>
      <c r="B620" s="39"/>
      <c r="C620" s="39"/>
      <c r="D620" s="39"/>
      <c r="E620" s="39"/>
      <c r="F620" s="39"/>
      <c r="G620" s="39"/>
      <c r="H620" s="39"/>
      <c r="I620" s="39"/>
      <c r="J620" s="39"/>
      <c r="K620" s="39"/>
      <c r="L620" s="39"/>
      <c r="M620" s="39"/>
      <c r="N620" s="39"/>
      <c r="O620" s="39"/>
      <c r="P620" s="39"/>
      <c r="Q620" s="39"/>
      <c r="R620" s="39"/>
      <c r="S620" s="39"/>
    </row>
    <row r="621" spans="1:19" s="1" customFormat="1" ht="15" customHeight="1">
      <c r="A621" s="39"/>
      <c r="B621" s="39"/>
      <c r="C621" s="39"/>
      <c r="D621" s="39"/>
      <c r="E621" s="39"/>
      <c r="F621" s="39"/>
      <c r="G621" s="39"/>
      <c r="H621" s="39"/>
      <c r="I621" s="39"/>
      <c r="J621" s="39"/>
      <c r="K621" s="39"/>
      <c r="L621" s="39"/>
      <c r="M621" s="39"/>
      <c r="N621" s="39"/>
      <c r="O621" s="39"/>
      <c r="P621" s="39"/>
      <c r="Q621" s="39"/>
      <c r="R621" s="39"/>
      <c r="S621" s="39"/>
    </row>
    <row r="622" spans="1:19" s="1" customFormat="1" ht="15" customHeight="1">
      <c r="A622" s="39"/>
      <c r="B622" s="39"/>
      <c r="C622" s="39"/>
      <c r="D622" s="39"/>
      <c r="E622" s="39"/>
      <c r="F622" s="39"/>
      <c r="G622" s="39"/>
      <c r="H622" s="39"/>
      <c r="I622" s="39"/>
      <c r="J622" s="39"/>
      <c r="K622" s="39"/>
      <c r="L622" s="39"/>
      <c r="M622" s="39"/>
      <c r="N622" s="39"/>
      <c r="O622" s="39"/>
      <c r="P622" s="39"/>
      <c r="Q622" s="39"/>
      <c r="R622" s="39"/>
      <c r="S622" s="39"/>
    </row>
    <row r="623" spans="1:19" s="1" customFormat="1" ht="15" customHeight="1">
      <c r="A623" s="39"/>
      <c r="B623" s="39"/>
      <c r="C623" s="39"/>
      <c r="D623" s="39"/>
      <c r="E623" s="39"/>
      <c r="F623" s="39"/>
      <c r="G623" s="39"/>
      <c r="H623" s="39"/>
      <c r="I623" s="39"/>
      <c r="J623" s="39"/>
      <c r="K623" s="39"/>
      <c r="L623" s="39"/>
      <c r="M623" s="39"/>
      <c r="N623" s="39"/>
      <c r="O623" s="39"/>
      <c r="P623" s="39"/>
      <c r="Q623" s="39"/>
      <c r="R623" s="39"/>
      <c r="S623" s="39"/>
    </row>
    <row r="624" spans="1:19" s="1" customFormat="1" ht="15" customHeight="1">
      <c r="A624" s="39"/>
      <c r="B624" s="39"/>
      <c r="C624" s="39"/>
      <c r="D624" s="39"/>
      <c r="E624" s="39"/>
      <c r="F624" s="39"/>
      <c r="G624" s="39"/>
      <c r="H624" s="39"/>
      <c r="I624" s="39"/>
      <c r="J624" s="39"/>
      <c r="K624" s="39"/>
      <c r="L624" s="39"/>
      <c r="M624" s="39"/>
      <c r="N624" s="39"/>
      <c r="O624" s="39"/>
      <c r="P624" s="39"/>
      <c r="Q624" s="39"/>
      <c r="R624" s="39"/>
      <c r="S624" s="39"/>
    </row>
    <row r="625" spans="1:19" s="1" customFormat="1" ht="15" customHeight="1">
      <c r="A625" s="39"/>
      <c r="B625" s="39"/>
      <c r="C625" s="39"/>
      <c r="D625" s="39"/>
      <c r="E625" s="39"/>
      <c r="F625" s="39"/>
      <c r="G625" s="39"/>
      <c r="H625" s="39"/>
      <c r="I625" s="39"/>
      <c r="J625" s="39"/>
      <c r="K625" s="39"/>
      <c r="L625" s="39"/>
      <c r="M625" s="39"/>
      <c r="N625" s="39"/>
      <c r="O625" s="39"/>
      <c r="P625" s="39"/>
      <c r="Q625" s="39"/>
      <c r="R625" s="39"/>
      <c r="S625" s="39"/>
    </row>
    <row r="626" spans="1:19" s="1" customFormat="1" ht="15" customHeight="1">
      <c r="A626" s="39"/>
      <c r="B626" s="39"/>
      <c r="C626" s="39"/>
      <c r="D626" s="39"/>
      <c r="E626" s="39"/>
      <c r="F626" s="39"/>
      <c r="G626" s="39"/>
      <c r="H626" s="39"/>
      <c r="I626" s="39"/>
      <c r="J626" s="39"/>
      <c r="K626" s="39"/>
      <c r="L626" s="39"/>
      <c r="M626" s="39"/>
      <c r="N626" s="39"/>
      <c r="O626" s="39"/>
      <c r="P626" s="39"/>
      <c r="Q626" s="39"/>
      <c r="R626" s="39"/>
      <c r="S626" s="39"/>
    </row>
    <row r="627" spans="1:19" s="1" customFormat="1" ht="15" customHeight="1">
      <c r="A627" s="39"/>
      <c r="B627" s="39"/>
      <c r="C627" s="39"/>
      <c r="D627" s="39"/>
      <c r="E627" s="39"/>
      <c r="F627" s="39"/>
      <c r="G627" s="39"/>
      <c r="H627" s="39"/>
      <c r="I627" s="39"/>
      <c r="J627" s="39"/>
      <c r="K627" s="39"/>
      <c r="L627" s="39"/>
      <c r="M627" s="39"/>
      <c r="N627" s="39"/>
      <c r="O627" s="39"/>
      <c r="P627" s="39"/>
      <c r="Q627" s="39"/>
      <c r="R627" s="39"/>
      <c r="S627" s="39"/>
    </row>
    <row r="628" spans="1:19" s="1" customFormat="1" ht="15" customHeight="1">
      <c r="A628" s="39"/>
      <c r="B628" s="39"/>
      <c r="C628" s="39"/>
      <c r="D628" s="39"/>
      <c r="E628" s="39"/>
      <c r="F628" s="39"/>
      <c r="G628" s="39"/>
      <c r="H628" s="39"/>
      <c r="I628" s="39"/>
      <c r="J628" s="39"/>
      <c r="K628" s="39"/>
      <c r="L628" s="39"/>
      <c r="M628" s="39"/>
      <c r="N628" s="39"/>
      <c r="O628" s="39"/>
      <c r="P628" s="39"/>
      <c r="Q628" s="39"/>
      <c r="R628" s="39"/>
      <c r="S628" s="39"/>
    </row>
    <row r="629" spans="1:19" s="1" customFormat="1" ht="15" customHeight="1">
      <c r="A629" s="39"/>
      <c r="B629" s="39"/>
      <c r="C629" s="39"/>
      <c r="D629" s="39"/>
      <c r="E629" s="39"/>
      <c r="F629" s="39"/>
      <c r="G629" s="39"/>
      <c r="H629" s="39"/>
      <c r="I629" s="39"/>
      <c r="J629" s="39"/>
      <c r="K629" s="39"/>
      <c r="L629" s="39"/>
      <c r="M629" s="39"/>
      <c r="N629" s="39"/>
      <c r="O629" s="39"/>
      <c r="P629" s="39"/>
      <c r="Q629" s="39"/>
      <c r="R629" s="39"/>
      <c r="S629" s="39"/>
    </row>
    <row r="630" spans="1:19" s="1" customFormat="1" ht="15" customHeight="1">
      <c r="A630" s="39"/>
      <c r="B630" s="39"/>
      <c r="C630" s="39"/>
      <c r="D630" s="39"/>
      <c r="E630" s="39"/>
      <c r="F630" s="39"/>
      <c r="G630" s="39"/>
      <c r="H630" s="39"/>
      <c r="I630" s="39"/>
      <c r="J630" s="39"/>
      <c r="K630" s="39"/>
      <c r="L630" s="39"/>
      <c r="M630" s="39"/>
      <c r="N630" s="39"/>
      <c r="O630" s="39"/>
      <c r="P630" s="39"/>
      <c r="Q630" s="39"/>
      <c r="R630" s="39"/>
      <c r="S630" s="39"/>
    </row>
    <row r="631" spans="1:19" s="1" customFormat="1" ht="15" customHeight="1">
      <c r="A631" s="39"/>
      <c r="B631" s="39"/>
      <c r="C631" s="39"/>
      <c r="D631" s="39"/>
      <c r="E631" s="39"/>
      <c r="F631" s="39"/>
      <c r="G631" s="39"/>
      <c r="H631" s="39"/>
      <c r="I631" s="39"/>
      <c r="J631" s="39"/>
      <c r="K631" s="39"/>
      <c r="L631" s="39"/>
      <c r="M631" s="39"/>
      <c r="N631" s="39"/>
      <c r="O631" s="39"/>
      <c r="P631" s="39"/>
      <c r="Q631" s="39"/>
      <c r="R631" s="39"/>
      <c r="S631" s="39"/>
    </row>
    <row r="632" spans="1:19" s="1" customFormat="1" ht="15" customHeight="1">
      <c r="A632" s="39"/>
      <c r="B632" s="39"/>
      <c r="C632" s="39"/>
      <c r="D632" s="39"/>
      <c r="E632" s="39"/>
      <c r="F632" s="39"/>
      <c r="G632" s="39"/>
      <c r="H632" s="39"/>
      <c r="I632" s="39"/>
      <c r="J632" s="39"/>
      <c r="K632" s="39"/>
      <c r="L632" s="39"/>
      <c r="M632" s="39"/>
      <c r="N632" s="39"/>
      <c r="O632" s="39"/>
      <c r="P632" s="39"/>
      <c r="Q632" s="39"/>
      <c r="R632" s="39"/>
      <c r="S632" s="39"/>
    </row>
    <row r="633" spans="1:19" s="1" customFormat="1" ht="15" customHeight="1">
      <c r="A633" s="39"/>
      <c r="B633" s="39"/>
      <c r="C633" s="39"/>
      <c r="D633" s="39"/>
      <c r="E633" s="39"/>
      <c r="F633" s="39"/>
      <c r="G633" s="39"/>
      <c r="H633" s="39"/>
      <c r="I633" s="39"/>
      <c r="J633" s="39"/>
      <c r="K633" s="39"/>
      <c r="L633" s="39"/>
      <c r="M633" s="39"/>
      <c r="N633" s="39"/>
      <c r="O633" s="39"/>
      <c r="P633" s="39"/>
      <c r="Q633" s="39"/>
      <c r="R633" s="39"/>
      <c r="S633" s="39"/>
    </row>
    <row r="634" spans="1:19" s="1" customFormat="1" ht="15" customHeight="1">
      <c r="A634" s="39"/>
      <c r="B634" s="39"/>
      <c r="C634" s="39"/>
      <c r="D634" s="39"/>
      <c r="E634" s="39"/>
      <c r="F634" s="39"/>
      <c r="G634" s="39"/>
      <c r="H634" s="39"/>
      <c r="I634" s="39"/>
      <c r="J634" s="39"/>
      <c r="K634" s="39"/>
      <c r="L634" s="39"/>
      <c r="M634" s="39"/>
      <c r="N634" s="39"/>
      <c r="O634" s="39"/>
      <c r="P634" s="39"/>
      <c r="Q634" s="39"/>
      <c r="R634" s="39"/>
      <c r="S634" s="39"/>
    </row>
    <row r="635" spans="1:19" s="1" customFormat="1" ht="15" customHeight="1">
      <c r="A635" s="39"/>
      <c r="B635" s="39"/>
      <c r="C635" s="39"/>
      <c r="D635" s="39"/>
      <c r="E635" s="39"/>
      <c r="F635" s="39"/>
      <c r="G635" s="39"/>
      <c r="H635" s="39"/>
      <c r="I635" s="39"/>
      <c r="J635" s="39"/>
      <c r="K635" s="39"/>
      <c r="L635" s="39"/>
      <c r="M635" s="39"/>
      <c r="N635" s="39"/>
      <c r="O635" s="39"/>
      <c r="P635" s="39"/>
      <c r="Q635" s="39"/>
      <c r="R635" s="39"/>
      <c r="S635" s="39"/>
    </row>
    <row r="636" spans="1:19" s="1" customFormat="1" ht="15" customHeight="1">
      <c r="A636" s="39"/>
      <c r="B636" s="39"/>
      <c r="C636" s="39"/>
      <c r="D636" s="39"/>
      <c r="E636" s="39"/>
      <c r="F636" s="39"/>
      <c r="G636" s="39"/>
      <c r="H636" s="39"/>
      <c r="I636" s="39"/>
      <c r="J636" s="39"/>
      <c r="K636" s="39"/>
      <c r="L636" s="39"/>
      <c r="M636" s="39"/>
      <c r="N636" s="39"/>
      <c r="O636" s="39"/>
      <c r="P636" s="39"/>
      <c r="Q636" s="39"/>
      <c r="R636" s="39"/>
      <c r="S636" s="39"/>
    </row>
    <row r="637" spans="1:19" s="1" customFormat="1" ht="15" customHeight="1">
      <c r="A637" s="39"/>
      <c r="B637" s="39"/>
      <c r="C637" s="39"/>
      <c r="D637" s="39"/>
      <c r="E637" s="39"/>
      <c r="F637" s="39"/>
      <c r="G637" s="39"/>
      <c r="H637" s="39"/>
      <c r="I637" s="39"/>
      <c r="J637" s="39"/>
      <c r="K637" s="39"/>
      <c r="L637" s="39"/>
      <c r="M637" s="39"/>
      <c r="N637" s="39"/>
      <c r="O637" s="39"/>
      <c r="P637" s="39"/>
      <c r="Q637" s="39"/>
      <c r="R637" s="39"/>
      <c r="S637" s="39"/>
    </row>
    <row r="638" spans="1:19" s="1" customFormat="1" ht="15" customHeight="1">
      <c r="A638" s="39"/>
      <c r="B638" s="39"/>
      <c r="C638" s="39"/>
      <c r="D638" s="39"/>
      <c r="E638" s="39"/>
      <c r="F638" s="39"/>
      <c r="G638" s="39"/>
      <c r="H638" s="39"/>
      <c r="I638" s="39"/>
      <c r="J638" s="39"/>
      <c r="K638" s="39"/>
      <c r="L638" s="39"/>
      <c r="M638" s="39"/>
      <c r="N638" s="39"/>
      <c r="O638" s="39"/>
      <c r="P638" s="39"/>
      <c r="Q638" s="39"/>
      <c r="R638" s="39"/>
      <c r="S638" s="39"/>
    </row>
    <row r="639" spans="1:19" s="1" customFormat="1" ht="15" customHeight="1">
      <c r="A639" s="39"/>
      <c r="B639" s="39"/>
      <c r="C639" s="39"/>
      <c r="D639" s="39"/>
      <c r="E639" s="39"/>
      <c r="F639" s="39"/>
      <c r="G639" s="39"/>
      <c r="H639" s="39"/>
      <c r="I639" s="39"/>
      <c r="J639" s="39"/>
      <c r="K639" s="39"/>
      <c r="L639" s="39"/>
      <c r="M639" s="39"/>
      <c r="N639" s="39"/>
      <c r="O639" s="39"/>
      <c r="P639" s="39"/>
      <c r="Q639" s="39"/>
      <c r="R639" s="39"/>
      <c r="S639" s="39"/>
    </row>
    <row r="640" spans="1:19" s="1" customFormat="1" ht="15" customHeight="1">
      <c r="A640" s="39"/>
      <c r="B640" s="39"/>
      <c r="C640" s="39"/>
      <c r="D640" s="39"/>
      <c r="E640" s="39"/>
      <c r="F640" s="39"/>
      <c r="G640" s="39"/>
      <c r="H640" s="39"/>
      <c r="I640" s="39"/>
      <c r="J640" s="39"/>
      <c r="K640" s="39"/>
      <c r="L640" s="39"/>
      <c r="M640" s="39"/>
      <c r="N640" s="39"/>
      <c r="O640" s="39"/>
      <c r="P640" s="39"/>
      <c r="Q640" s="39"/>
      <c r="R640" s="39"/>
      <c r="S640" s="39"/>
    </row>
    <row r="641" spans="1:19" s="1" customFormat="1" ht="15" customHeight="1">
      <c r="A641" s="39"/>
      <c r="B641" s="39"/>
      <c r="C641" s="39"/>
      <c r="D641" s="39"/>
      <c r="E641" s="39"/>
      <c r="F641" s="39"/>
      <c r="G641" s="39"/>
      <c r="H641" s="39"/>
      <c r="I641" s="39"/>
      <c r="J641" s="39"/>
      <c r="K641" s="39"/>
      <c r="L641" s="39"/>
      <c r="M641" s="39"/>
      <c r="N641" s="39"/>
      <c r="O641" s="39"/>
      <c r="P641" s="39"/>
      <c r="Q641" s="39"/>
      <c r="R641" s="39"/>
      <c r="S641" s="39"/>
    </row>
    <row r="642" spans="1:19" s="1" customFormat="1" ht="15" customHeight="1">
      <c r="A642" s="39"/>
      <c r="B642" s="39"/>
      <c r="C642" s="39"/>
      <c r="D642" s="39"/>
      <c r="E642" s="39"/>
      <c r="F642" s="39"/>
      <c r="G642" s="39"/>
      <c r="H642" s="39"/>
      <c r="I642" s="39"/>
      <c r="J642" s="39"/>
      <c r="K642" s="39"/>
      <c r="L642" s="39"/>
      <c r="M642" s="39"/>
      <c r="N642" s="39"/>
      <c r="O642" s="39"/>
      <c r="P642" s="39"/>
      <c r="Q642" s="39"/>
      <c r="R642" s="39"/>
      <c r="S642" s="39"/>
    </row>
    <row r="643" spans="1:19" s="1" customFormat="1" ht="15" customHeight="1">
      <c r="A643" s="39"/>
      <c r="B643" s="39"/>
      <c r="C643" s="39"/>
      <c r="D643" s="39"/>
      <c r="E643" s="39"/>
      <c r="F643" s="39"/>
      <c r="G643" s="39"/>
      <c r="H643" s="39"/>
      <c r="I643" s="39"/>
      <c r="J643" s="39"/>
      <c r="K643" s="39"/>
      <c r="L643" s="39"/>
      <c r="M643" s="39"/>
      <c r="N643" s="39"/>
      <c r="O643" s="39"/>
      <c r="P643" s="39"/>
      <c r="Q643" s="39"/>
      <c r="R643" s="39"/>
      <c r="S643" s="39"/>
    </row>
    <row r="644" spans="1:19" s="1" customFormat="1" ht="15" customHeight="1">
      <c r="A644" s="39"/>
      <c r="B644" s="39"/>
      <c r="C644" s="39"/>
      <c r="D644" s="39"/>
      <c r="E644" s="39"/>
      <c r="F644" s="39"/>
      <c r="G644" s="39"/>
      <c r="H644" s="39"/>
      <c r="I644" s="39"/>
      <c r="J644" s="39"/>
      <c r="K644" s="39"/>
      <c r="L644" s="39"/>
      <c r="M644" s="39"/>
      <c r="N644" s="39"/>
      <c r="O644" s="39"/>
      <c r="P644" s="39"/>
      <c r="Q644" s="39"/>
      <c r="R644" s="39"/>
      <c r="S644" s="39"/>
    </row>
    <row r="645" spans="1:19" s="1" customFormat="1" ht="15" customHeight="1">
      <c r="A645" s="39"/>
      <c r="B645" s="39"/>
      <c r="C645" s="39"/>
      <c r="D645" s="39"/>
      <c r="E645" s="39"/>
      <c r="F645" s="39"/>
      <c r="G645" s="39"/>
      <c r="H645" s="39"/>
      <c r="I645" s="39"/>
      <c r="J645" s="39"/>
      <c r="K645" s="39"/>
      <c r="L645" s="39"/>
      <c r="M645" s="39"/>
      <c r="N645" s="39"/>
      <c r="O645" s="39"/>
      <c r="P645" s="39"/>
      <c r="Q645" s="39"/>
      <c r="R645" s="39"/>
      <c r="S645" s="39"/>
    </row>
    <row r="646" spans="1:19" s="1" customFormat="1" ht="15" customHeight="1">
      <c r="A646" s="39"/>
      <c r="B646" s="39"/>
      <c r="C646" s="39"/>
      <c r="D646" s="39"/>
      <c r="E646" s="39"/>
      <c r="F646" s="39"/>
      <c r="G646" s="39"/>
      <c r="H646" s="39"/>
      <c r="I646" s="39"/>
      <c r="J646" s="39"/>
      <c r="K646" s="39"/>
      <c r="L646" s="39"/>
      <c r="M646" s="39"/>
      <c r="N646" s="39"/>
      <c r="O646" s="39"/>
      <c r="P646" s="39"/>
      <c r="Q646" s="39"/>
      <c r="R646" s="39"/>
      <c r="S646" s="39"/>
    </row>
    <row r="647" spans="1:19" s="1" customFormat="1" ht="15" customHeight="1">
      <c r="A647" s="39"/>
      <c r="B647" s="39"/>
      <c r="C647" s="39"/>
      <c r="D647" s="39"/>
      <c r="E647" s="39"/>
      <c r="F647" s="39"/>
      <c r="G647" s="39"/>
      <c r="H647" s="39"/>
      <c r="I647" s="39"/>
      <c r="J647" s="39"/>
      <c r="K647" s="39"/>
      <c r="L647" s="39"/>
      <c r="M647" s="39"/>
      <c r="N647" s="39"/>
      <c r="O647" s="39"/>
      <c r="P647" s="39"/>
      <c r="Q647" s="39"/>
      <c r="R647" s="39"/>
      <c r="S647" s="39"/>
    </row>
    <row r="648" spans="1:19" s="1" customFormat="1" ht="15" customHeight="1">
      <c r="A648" s="39"/>
      <c r="B648" s="39"/>
      <c r="C648" s="39"/>
      <c r="D648" s="39"/>
      <c r="E648" s="39"/>
      <c r="F648" s="39"/>
      <c r="G648" s="39"/>
      <c r="H648" s="39"/>
      <c r="I648" s="39"/>
      <c r="J648" s="39"/>
      <c r="K648" s="39"/>
      <c r="L648" s="39"/>
      <c r="M648" s="39"/>
      <c r="N648" s="39"/>
      <c r="O648" s="39"/>
      <c r="P648" s="39"/>
      <c r="Q648" s="39"/>
      <c r="R648" s="39"/>
      <c r="S648" s="39"/>
    </row>
    <row r="649" spans="1:19" s="1" customFormat="1" ht="15" customHeight="1">
      <c r="A649" s="39"/>
      <c r="B649" s="39"/>
      <c r="C649" s="39"/>
      <c r="D649" s="39"/>
      <c r="E649" s="39"/>
      <c r="F649" s="39"/>
      <c r="G649" s="39"/>
      <c r="H649" s="39"/>
      <c r="I649" s="39"/>
      <c r="J649" s="39"/>
      <c r="K649" s="39"/>
      <c r="L649" s="39"/>
      <c r="M649" s="39"/>
      <c r="N649" s="39"/>
      <c r="O649" s="39"/>
      <c r="P649" s="39"/>
      <c r="Q649" s="39"/>
      <c r="R649" s="39"/>
      <c r="S649" s="39"/>
    </row>
    <row r="650" spans="1:19" s="1" customFormat="1" ht="15" customHeight="1">
      <c r="A650" s="39"/>
      <c r="B650" s="39"/>
      <c r="C650" s="39"/>
      <c r="D650" s="39"/>
      <c r="E650" s="39"/>
      <c r="F650" s="39"/>
      <c r="G650" s="39"/>
      <c r="H650" s="39"/>
      <c r="I650" s="39"/>
      <c r="J650" s="39"/>
      <c r="K650" s="39"/>
      <c r="L650" s="39"/>
      <c r="M650" s="39"/>
      <c r="N650" s="39"/>
      <c r="O650" s="39"/>
      <c r="P650" s="39"/>
      <c r="Q650" s="39"/>
      <c r="R650" s="39"/>
      <c r="S650" s="39"/>
    </row>
    <row r="651" spans="1:19" s="1" customFormat="1" ht="15" customHeight="1">
      <c r="A651" s="39"/>
      <c r="B651" s="39"/>
      <c r="C651" s="39"/>
      <c r="D651" s="39"/>
      <c r="E651" s="39"/>
      <c r="F651" s="39"/>
      <c r="G651" s="39"/>
      <c r="H651" s="39"/>
      <c r="I651" s="39"/>
      <c r="J651" s="39"/>
      <c r="K651" s="39"/>
      <c r="L651" s="39"/>
      <c r="M651" s="39"/>
      <c r="N651" s="39"/>
      <c r="O651" s="39"/>
      <c r="P651" s="39"/>
      <c r="Q651" s="39"/>
      <c r="R651" s="39"/>
      <c r="S651" s="39"/>
    </row>
    <row r="652" spans="1:19" s="1" customFormat="1" ht="15" customHeight="1">
      <c r="A652" s="39"/>
      <c r="B652" s="39"/>
      <c r="C652" s="39"/>
      <c r="D652" s="39"/>
      <c r="E652" s="39"/>
      <c r="F652" s="39"/>
      <c r="G652" s="39"/>
      <c r="H652" s="39"/>
      <c r="I652" s="39"/>
      <c r="J652" s="39"/>
      <c r="K652" s="39"/>
      <c r="L652" s="39"/>
      <c r="M652" s="39"/>
      <c r="N652" s="39"/>
      <c r="O652" s="39"/>
      <c r="P652" s="39"/>
      <c r="Q652" s="39"/>
      <c r="R652" s="39"/>
      <c r="S652" s="39"/>
    </row>
    <row r="653" spans="1:19" s="1" customFormat="1" ht="15" customHeight="1">
      <c r="A653" s="39"/>
      <c r="B653" s="39"/>
      <c r="C653" s="39"/>
      <c r="D653" s="39"/>
      <c r="E653" s="39"/>
      <c r="F653" s="39"/>
      <c r="G653" s="39"/>
      <c r="H653" s="39"/>
      <c r="I653" s="39"/>
      <c r="J653" s="39"/>
      <c r="K653" s="39"/>
      <c r="L653" s="39"/>
      <c r="M653" s="39"/>
      <c r="N653" s="39"/>
      <c r="O653" s="39"/>
      <c r="P653" s="39"/>
      <c r="Q653" s="39"/>
      <c r="R653" s="39"/>
      <c r="S653" s="39"/>
    </row>
    <row r="654" spans="1:19" s="1" customFormat="1" ht="15" customHeight="1">
      <c r="A654" s="39"/>
      <c r="B654" s="39"/>
      <c r="C654" s="39"/>
      <c r="D654" s="39"/>
      <c r="E654" s="39"/>
      <c r="F654" s="39"/>
      <c r="G654" s="39"/>
      <c r="H654" s="39"/>
      <c r="I654" s="39"/>
      <c r="J654" s="39"/>
      <c r="K654" s="39"/>
      <c r="L654" s="39"/>
      <c r="M654" s="39"/>
      <c r="N654" s="39"/>
      <c r="O654" s="39"/>
      <c r="P654" s="39"/>
      <c r="Q654" s="39"/>
      <c r="R654" s="39"/>
      <c r="S654" s="39"/>
    </row>
    <row r="655" spans="1:19" s="1" customFormat="1" ht="15" customHeight="1">
      <c r="A655" s="39"/>
      <c r="B655" s="39"/>
      <c r="C655" s="39"/>
      <c r="D655" s="39"/>
      <c r="E655" s="39"/>
      <c r="F655" s="39"/>
      <c r="G655" s="39"/>
      <c r="H655" s="39"/>
      <c r="I655" s="39"/>
      <c r="J655" s="39"/>
      <c r="K655" s="39"/>
      <c r="L655" s="39"/>
      <c r="M655" s="39"/>
      <c r="N655" s="39"/>
      <c r="O655" s="39"/>
      <c r="P655" s="39"/>
      <c r="Q655" s="39"/>
      <c r="R655" s="39"/>
      <c r="S655" s="39"/>
    </row>
    <row r="656" spans="1:19" s="1" customFormat="1" ht="15" customHeight="1">
      <c r="A656" s="39"/>
      <c r="B656" s="39"/>
      <c r="C656" s="39"/>
      <c r="D656" s="39"/>
      <c r="E656" s="39"/>
      <c r="F656" s="39"/>
      <c r="G656" s="39"/>
      <c r="H656" s="39"/>
      <c r="I656" s="39"/>
      <c r="J656" s="39"/>
      <c r="K656" s="39"/>
      <c r="L656" s="39"/>
      <c r="M656" s="39"/>
      <c r="N656" s="39"/>
      <c r="O656" s="39"/>
      <c r="P656" s="39"/>
      <c r="Q656" s="39"/>
      <c r="R656" s="39"/>
      <c r="S656" s="39"/>
    </row>
    <row r="657" spans="1:19" s="1" customFormat="1" ht="15" customHeight="1">
      <c r="A657" s="39"/>
      <c r="B657" s="39"/>
      <c r="C657" s="39"/>
      <c r="D657" s="39"/>
      <c r="E657" s="39"/>
      <c r="F657" s="39"/>
      <c r="G657" s="39"/>
      <c r="H657" s="39"/>
      <c r="I657" s="39"/>
      <c r="J657" s="39"/>
      <c r="K657" s="39"/>
      <c r="L657" s="39"/>
      <c r="M657" s="39"/>
      <c r="N657" s="39"/>
      <c r="O657" s="39"/>
      <c r="P657" s="39"/>
      <c r="Q657" s="39"/>
      <c r="R657" s="39"/>
      <c r="S657" s="39"/>
    </row>
    <row r="658" spans="1:19" s="1" customFormat="1" ht="15" customHeight="1">
      <c r="A658" s="39"/>
      <c r="B658" s="39"/>
      <c r="C658" s="39"/>
      <c r="D658" s="39"/>
      <c r="E658" s="39"/>
      <c r="F658" s="39"/>
      <c r="G658" s="39"/>
      <c r="H658" s="39"/>
      <c r="I658" s="39"/>
      <c r="J658" s="39"/>
      <c r="K658" s="39"/>
      <c r="L658" s="39"/>
      <c r="M658" s="39"/>
      <c r="N658" s="39"/>
      <c r="O658" s="39"/>
      <c r="P658" s="39"/>
      <c r="Q658" s="39"/>
      <c r="R658" s="39"/>
      <c r="S658" s="39"/>
    </row>
    <row r="659" spans="1:19" s="1" customFormat="1" ht="15" customHeight="1">
      <c r="A659" s="39"/>
      <c r="B659" s="39"/>
      <c r="C659" s="39"/>
      <c r="D659" s="39"/>
      <c r="E659" s="39"/>
      <c r="F659" s="39"/>
      <c r="G659" s="39"/>
      <c r="H659" s="39"/>
      <c r="I659" s="39"/>
      <c r="J659" s="39"/>
      <c r="K659" s="39"/>
      <c r="L659" s="39"/>
      <c r="M659" s="39"/>
      <c r="N659" s="39"/>
      <c r="O659" s="39"/>
      <c r="P659" s="39"/>
      <c r="Q659" s="39"/>
      <c r="R659" s="39"/>
      <c r="S659" s="39"/>
    </row>
    <row r="660" spans="1:19" s="1" customFormat="1" ht="15" customHeight="1">
      <c r="A660" s="39"/>
      <c r="B660" s="39"/>
      <c r="C660" s="39"/>
      <c r="D660" s="39"/>
      <c r="E660" s="39"/>
      <c r="F660" s="39"/>
      <c r="G660" s="39"/>
      <c r="H660" s="39"/>
      <c r="I660" s="39"/>
      <c r="J660" s="39"/>
      <c r="K660" s="39"/>
      <c r="L660" s="39"/>
      <c r="M660" s="39"/>
      <c r="N660" s="39"/>
      <c r="O660" s="39"/>
      <c r="P660" s="39"/>
      <c r="Q660" s="39"/>
      <c r="R660" s="39"/>
      <c r="S660" s="39"/>
    </row>
    <row r="661" spans="1:19" s="1" customFormat="1" ht="15" customHeight="1">
      <c r="A661" s="39"/>
      <c r="B661" s="39"/>
      <c r="C661" s="39"/>
      <c r="D661" s="39"/>
      <c r="E661" s="39"/>
      <c r="F661" s="39"/>
      <c r="G661" s="39"/>
      <c r="H661" s="39"/>
      <c r="I661" s="39"/>
      <c r="J661" s="39"/>
      <c r="K661" s="39"/>
      <c r="L661" s="39"/>
      <c r="M661" s="39"/>
      <c r="N661" s="39"/>
      <c r="O661" s="39"/>
      <c r="P661" s="39"/>
      <c r="Q661" s="39"/>
      <c r="R661" s="39"/>
      <c r="S661" s="39"/>
    </row>
    <row r="662" spans="1:19" s="1" customFormat="1" ht="15" customHeight="1">
      <c r="A662" s="39"/>
      <c r="B662" s="39"/>
      <c r="C662" s="39"/>
      <c r="D662" s="39"/>
      <c r="E662" s="39"/>
      <c r="F662" s="39"/>
      <c r="G662" s="39"/>
      <c r="H662" s="39"/>
      <c r="I662" s="39"/>
      <c r="J662" s="39"/>
      <c r="K662" s="39"/>
      <c r="L662" s="39"/>
      <c r="M662" s="39"/>
      <c r="N662" s="39"/>
      <c r="O662" s="39"/>
      <c r="P662" s="39"/>
      <c r="Q662" s="39"/>
      <c r="R662" s="39"/>
      <c r="S662" s="39"/>
    </row>
    <row r="663" spans="1:19" s="1" customFormat="1" ht="15" customHeight="1">
      <c r="A663" s="39"/>
      <c r="B663" s="39"/>
      <c r="C663" s="39"/>
      <c r="D663" s="39"/>
      <c r="E663" s="39"/>
      <c r="F663" s="39"/>
      <c r="G663" s="39"/>
      <c r="H663" s="39"/>
      <c r="I663" s="39"/>
      <c r="J663" s="39"/>
      <c r="K663" s="39"/>
      <c r="L663" s="39"/>
      <c r="M663" s="39"/>
      <c r="N663" s="39"/>
      <c r="O663" s="39"/>
      <c r="P663" s="39"/>
      <c r="Q663" s="39"/>
      <c r="R663" s="39"/>
      <c r="S663" s="39"/>
    </row>
    <row r="664" spans="1:19" s="1" customFormat="1" ht="15" customHeight="1">
      <c r="A664" s="39"/>
      <c r="B664" s="39"/>
      <c r="C664" s="39"/>
      <c r="D664" s="39"/>
      <c r="E664" s="39"/>
      <c r="F664" s="39"/>
      <c r="G664" s="39"/>
      <c r="H664" s="39"/>
      <c r="I664" s="39"/>
      <c r="J664" s="39"/>
      <c r="K664" s="39"/>
      <c r="L664" s="39"/>
      <c r="M664" s="39"/>
      <c r="N664" s="39"/>
      <c r="O664" s="39"/>
      <c r="P664" s="39"/>
      <c r="Q664" s="39"/>
      <c r="R664" s="39"/>
      <c r="S664" s="39"/>
    </row>
    <row r="665" spans="1:19" s="1" customFormat="1" ht="15" customHeight="1">
      <c r="A665" s="39"/>
      <c r="B665" s="39"/>
      <c r="C665" s="39"/>
      <c r="D665" s="39"/>
      <c r="E665" s="39"/>
      <c r="F665" s="39"/>
      <c r="G665" s="39"/>
      <c r="H665" s="39"/>
      <c r="I665" s="39"/>
      <c r="J665" s="39"/>
      <c r="K665" s="39"/>
      <c r="L665" s="39"/>
      <c r="M665" s="39"/>
      <c r="N665" s="39"/>
      <c r="O665" s="39"/>
      <c r="P665" s="39"/>
      <c r="Q665" s="39"/>
      <c r="R665" s="39"/>
      <c r="S665" s="39"/>
    </row>
    <row r="666" spans="1:19" s="1" customFormat="1" ht="15" customHeight="1">
      <c r="A666" s="39"/>
      <c r="B666" s="39"/>
      <c r="C666" s="39"/>
      <c r="D666" s="39"/>
      <c r="E666" s="39"/>
      <c r="F666" s="39"/>
      <c r="G666" s="39"/>
      <c r="H666" s="39"/>
      <c r="I666" s="39"/>
      <c r="J666" s="39"/>
      <c r="K666" s="39"/>
      <c r="L666" s="39"/>
      <c r="M666" s="39"/>
      <c r="N666" s="39"/>
      <c r="O666" s="39"/>
      <c r="P666" s="39"/>
      <c r="Q666" s="39"/>
      <c r="R666" s="39"/>
      <c r="S666" s="39"/>
    </row>
    <row r="667" spans="1:19" s="1" customFormat="1" ht="15" customHeight="1">
      <c r="A667" s="39"/>
      <c r="B667" s="39"/>
      <c r="C667" s="39"/>
      <c r="D667" s="39"/>
      <c r="E667" s="39"/>
      <c r="F667" s="39"/>
      <c r="G667" s="39"/>
      <c r="H667" s="39"/>
      <c r="I667" s="39"/>
      <c r="J667" s="39"/>
      <c r="K667" s="39"/>
      <c r="L667" s="39"/>
      <c r="M667" s="39"/>
      <c r="N667" s="39"/>
      <c r="O667" s="39"/>
      <c r="P667" s="39"/>
      <c r="Q667" s="39"/>
      <c r="R667" s="39"/>
      <c r="S667" s="39"/>
    </row>
    <row r="668" spans="1:19" s="1" customFormat="1" ht="15" customHeight="1">
      <c r="A668" s="39"/>
      <c r="B668" s="39"/>
      <c r="C668" s="39"/>
      <c r="D668" s="39"/>
      <c r="E668" s="39"/>
      <c r="F668" s="39"/>
      <c r="G668" s="39"/>
      <c r="H668" s="39"/>
      <c r="I668" s="39"/>
      <c r="J668" s="39"/>
      <c r="K668" s="39"/>
      <c r="L668" s="39"/>
      <c r="M668" s="39"/>
      <c r="N668" s="39"/>
      <c r="O668" s="39"/>
      <c r="P668" s="39"/>
      <c r="Q668" s="39"/>
      <c r="R668" s="39"/>
      <c r="S668" s="39"/>
    </row>
    <row r="669" spans="1:19" s="1" customFormat="1" ht="15" customHeight="1">
      <c r="A669" s="39"/>
      <c r="B669" s="39"/>
      <c r="C669" s="39"/>
      <c r="D669" s="39"/>
      <c r="E669" s="39"/>
      <c r="F669" s="39"/>
      <c r="G669" s="39"/>
      <c r="H669" s="39"/>
      <c r="I669" s="39"/>
      <c r="J669" s="39"/>
      <c r="K669" s="39"/>
      <c r="L669" s="39"/>
      <c r="M669" s="39"/>
      <c r="N669" s="39"/>
      <c r="O669" s="39"/>
      <c r="P669" s="39"/>
      <c r="Q669" s="39"/>
      <c r="R669" s="39"/>
      <c r="S669" s="39"/>
    </row>
    <row r="670" spans="1:19" s="1" customFormat="1" ht="15" customHeight="1">
      <c r="A670" s="39"/>
      <c r="B670" s="39"/>
      <c r="C670" s="39"/>
      <c r="D670" s="39"/>
      <c r="E670" s="39"/>
      <c r="F670" s="39"/>
      <c r="G670" s="39"/>
      <c r="H670" s="39"/>
      <c r="I670" s="39"/>
      <c r="J670" s="39"/>
      <c r="K670" s="39"/>
      <c r="L670" s="39"/>
      <c r="M670" s="39"/>
      <c r="N670" s="39"/>
      <c r="O670" s="39"/>
      <c r="P670" s="39"/>
      <c r="Q670" s="39"/>
      <c r="R670" s="39"/>
      <c r="S670" s="39"/>
    </row>
    <row r="671" spans="1:19" s="1" customFormat="1" ht="15" customHeight="1">
      <c r="A671" s="39"/>
      <c r="B671" s="39"/>
      <c r="C671" s="39"/>
      <c r="D671" s="39"/>
      <c r="E671" s="39"/>
      <c r="F671" s="39"/>
      <c r="G671" s="39"/>
      <c r="H671" s="39"/>
      <c r="I671" s="39"/>
      <c r="J671" s="39"/>
      <c r="K671" s="39"/>
      <c r="L671" s="39"/>
      <c r="M671" s="39"/>
      <c r="N671" s="39"/>
      <c r="O671" s="39"/>
      <c r="P671" s="39"/>
      <c r="Q671" s="39"/>
      <c r="R671" s="39"/>
      <c r="S671" s="39"/>
    </row>
    <row r="672" spans="1:19" s="1" customFormat="1" ht="15" customHeight="1">
      <c r="A672" s="39"/>
      <c r="B672" s="39"/>
      <c r="C672" s="39"/>
      <c r="D672" s="39"/>
      <c r="E672" s="39"/>
      <c r="F672" s="39"/>
      <c r="G672" s="39"/>
      <c r="H672" s="39"/>
      <c r="I672" s="39"/>
      <c r="J672" s="39"/>
      <c r="K672" s="39"/>
      <c r="L672" s="39"/>
      <c r="M672" s="39"/>
      <c r="N672" s="39"/>
      <c r="O672" s="39"/>
      <c r="P672" s="39"/>
      <c r="Q672" s="39"/>
      <c r="R672" s="39"/>
      <c r="S672" s="39"/>
    </row>
    <row r="673" spans="1:19" s="1" customFormat="1" ht="15" customHeight="1">
      <c r="A673" s="39"/>
      <c r="B673" s="39"/>
      <c r="C673" s="39"/>
      <c r="D673" s="39"/>
      <c r="E673" s="39"/>
      <c r="F673" s="39"/>
      <c r="G673" s="39"/>
      <c r="H673" s="39"/>
      <c r="I673" s="39"/>
      <c r="J673" s="39"/>
      <c r="K673" s="39"/>
      <c r="L673" s="39"/>
      <c r="M673" s="39"/>
      <c r="N673" s="39"/>
      <c r="O673" s="39"/>
      <c r="P673" s="39"/>
      <c r="Q673" s="39"/>
      <c r="R673" s="39"/>
      <c r="S673" s="39"/>
    </row>
    <row r="674" spans="1:19" s="1" customFormat="1" ht="15" customHeight="1">
      <c r="A674" s="39"/>
      <c r="B674" s="39"/>
      <c r="C674" s="39"/>
      <c r="D674" s="39"/>
      <c r="E674" s="39"/>
      <c r="F674" s="39"/>
      <c r="G674" s="39"/>
      <c r="H674" s="39"/>
      <c r="I674" s="39"/>
      <c r="J674" s="39"/>
      <c r="K674" s="39"/>
      <c r="L674" s="39"/>
      <c r="M674" s="39"/>
      <c r="N674" s="39"/>
      <c r="O674" s="39"/>
      <c r="P674" s="39"/>
      <c r="Q674" s="39"/>
      <c r="R674" s="39"/>
      <c r="S674" s="39"/>
    </row>
    <row r="675" spans="1:19" s="1" customFormat="1" ht="15" customHeight="1">
      <c r="A675" s="39"/>
      <c r="B675" s="39"/>
      <c r="C675" s="39"/>
      <c r="D675" s="39"/>
      <c r="E675" s="39"/>
      <c r="F675" s="39"/>
      <c r="G675" s="39"/>
      <c r="H675" s="39"/>
      <c r="I675" s="39"/>
      <c r="J675" s="39"/>
      <c r="K675" s="39"/>
      <c r="L675" s="39"/>
      <c r="M675" s="39"/>
      <c r="N675" s="39"/>
      <c r="O675" s="39"/>
      <c r="P675" s="39"/>
      <c r="Q675" s="39"/>
      <c r="R675" s="39"/>
      <c r="S675" s="39"/>
    </row>
    <row r="676" spans="1:19" s="1" customFormat="1" ht="15" customHeight="1">
      <c r="A676" s="39"/>
      <c r="B676" s="39"/>
      <c r="C676" s="39"/>
      <c r="D676" s="39"/>
      <c r="E676" s="39"/>
      <c r="F676" s="39"/>
      <c r="G676" s="39"/>
      <c r="H676" s="39"/>
      <c r="I676" s="39"/>
      <c r="J676" s="39"/>
      <c r="K676" s="39"/>
      <c r="L676" s="39"/>
      <c r="M676" s="39"/>
      <c r="N676" s="39"/>
      <c r="O676" s="39"/>
      <c r="P676" s="39"/>
      <c r="Q676" s="39"/>
      <c r="R676" s="39"/>
      <c r="S676" s="39"/>
    </row>
    <row r="677" spans="1:19" s="1" customFormat="1" ht="15" customHeight="1">
      <c r="A677" s="39"/>
      <c r="B677" s="39"/>
      <c r="C677" s="39"/>
      <c r="D677" s="39"/>
      <c r="E677" s="39"/>
      <c r="F677" s="39"/>
      <c r="G677" s="39"/>
      <c r="H677" s="39"/>
      <c r="I677" s="39"/>
      <c r="J677" s="39"/>
      <c r="K677" s="39"/>
      <c r="L677" s="39"/>
      <c r="M677" s="39"/>
      <c r="N677" s="39"/>
      <c r="O677" s="39"/>
      <c r="P677" s="39"/>
      <c r="Q677" s="39"/>
      <c r="R677" s="39"/>
      <c r="S677" s="39"/>
    </row>
    <row r="678" spans="1:19" s="1" customFormat="1" ht="15" customHeight="1">
      <c r="A678" s="39"/>
      <c r="B678" s="39"/>
      <c r="C678" s="39"/>
      <c r="D678" s="39"/>
      <c r="E678" s="39"/>
      <c r="F678" s="39"/>
      <c r="G678" s="39"/>
      <c r="H678" s="39"/>
      <c r="I678" s="39"/>
      <c r="J678" s="39"/>
      <c r="K678" s="39"/>
      <c r="L678" s="39"/>
      <c r="M678" s="39"/>
      <c r="N678" s="39"/>
      <c r="O678" s="39"/>
      <c r="P678" s="39"/>
      <c r="Q678" s="39"/>
      <c r="R678" s="39"/>
      <c r="S678" s="39"/>
    </row>
    <row r="679" spans="1:19" s="1" customFormat="1" ht="15" customHeight="1">
      <c r="A679" s="39"/>
      <c r="B679" s="39"/>
      <c r="C679" s="39"/>
      <c r="D679" s="39"/>
      <c r="E679" s="39"/>
      <c r="F679" s="39"/>
      <c r="G679" s="39"/>
      <c r="H679" s="39"/>
      <c r="I679" s="39"/>
      <c r="J679" s="39"/>
      <c r="K679" s="39"/>
      <c r="L679" s="39"/>
      <c r="M679" s="39"/>
      <c r="N679" s="39"/>
      <c r="O679" s="39"/>
      <c r="P679" s="39"/>
      <c r="Q679" s="39"/>
      <c r="R679" s="39"/>
      <c r="S679" s="39"/>
    </row>
    <row r="680" spans="1:19" s="1" customFormat="1" ht="15" customHeight="1">
      <c r="A680" s="39"/>
      <c r="B680" s="39"/>
      <c r="C680" s="39"/>
      <c r="D680" s="39"/>
      <c r="E680" s="39"/>
      <c r="F680" s="39"/>
      <c r="G680" s="39"/>
      <c r="H680" s="39"/>
      <c r="I680" s="39"/>
      <c r="J680" s="39"/>
      <c r="K680" s="39"/>
      <c r="L680" s="39"/>
      <c r="M680" s="39"/>
      <c r="N680" s="39"/>
      <c r="O680" s="39"/>
      <c r="P680" s="39"/>
      <c r="Q680" s="39"/>
      <c r="R680" s="39"/>
      <c r="S680" s="39"/>
    </row>
    <row r="681" spans="1:19" s="1" customFormat="1" ht="15" customHeight="1">
      <c r="A681" s="39"/>
      <c r="B681" s="39"/>
      <c r="C681" s="39"/>
      <c r="D681" s="39"/>
      <c r="E681" s="39"/>
      <c r="F681" s="39"/>
      <c r="G681" s="39"/>
      <c r="H681" s="39"/>
      <c r="I681" s="39"/>
      <c r="J681" s="39"/>
      <c r="K681" s="39"/>
      <c r="L681" s="39"/>
      <c r="M681" s="39"/>
      <c r="N681" s="39"/>
      <c r="O681" s="39"/>
      <c r="P681" s="39"/>
      <c r="Q681" s="39"/>
      <c r="R681" s="39"/>
      <c r="S681" s="39"/>
    </row>
    <row r="682" spans="1:19" s="1" customFormat="1" ht="15" customHeight="1">
      <c r="A682" s="39"/>
      <c r="B682" s="39"/>
      <c r="C682" s="39"/>
      <c r="D682" s="39"/>
      <c r="E682" s="39"/>
      <c r="F682" s="39"/>
      <c r="G682" s="39"/>
      <c r="H682" s="39"/>
      <c r="I682" s="39"/>
      <c r="J682" s="39"/>
      <c r="K682" s="39"/>
      <c r="L682" s="39"/>
      <c r="M682" s="39"/>
      <c r="N682" s="39"/>
      <c r="O682" s="39"/>
      <c r="P682" s="39"/>
      <c r="Q682" s="39"/>
      <c r="R682" s="39"/>
      <c r="S682" s="39"/>
    </row>
    <row r="683" spans="1:19" s="1" customFormat="1" ht="15" customHeight="1">
      <c r="A683" s="39"/>
      <c r="B683" s="39"/>
      <c r="C683" s="39"/>
      <c r="D683" s="39"/>
      <c r="E683" s="39"/>
      <c r="F683" s="39"/>
      <c r="G683" s="39"/>
      <c r="H683" s="39"/>
      <c r="I683" s="39"/>
      <c r="J683" s="39"/>
      <c r="K683" s="39"/>
      <c r="L683" s="39"/>
      <c r="M683" s="39"/>
      <c r="N683" s="39"/>
      <c r="O683" s="39"/>
      <c r="P683" s="39"/>
      <c r="Q683" s="39"/>
      <c r="R683" s="39"/>
      <c r="S683" s="39"/>
    </row>
    <row r="684" spans="1:19" s="1" customFormat="1" ht="15" customHeight="1">
      <c r="A684" s="39"/>
      <c r="B684" s="39"/>
      <c r="C684" s="39"/>
      <c r="D684" s="39"/>
      <c r="E684" s="39"/>
      <c r="F684" s="39"/>
      <c r="G684" s="39"/>
      <c r="H684" s="39"/>
      <c r="I684" s="39"/>
      <c r="J684" s="39"/>
      <c r="K684" s="39"/>
      <c r="L684" s="39"/>
      <c r="M684" s="39"/>
      <c r="N684" s="39"/>
      <c r="O684" s="39"/>
      <c r="P684" s="39"/>
      <c r="Q684" s="39"/>
      <c r="R684" s="39"/>
      <c r="S684" s="39"/>
    </row>
    <row r="685" spans="1:19" s="1" customFormat="1" ht="15" customHeight="1">
      <c r="A685" s="39"/>
      <c r="B685" s="39"/>
      <c r="C685" s="39"/>
      <c r="D685" s="39"/>
      <c r="E685" s="39"/>
      <c r="F685" s="39"/>
      <c r="G685" s="39"/>
      <c r="H685" s="39"/>
      <c r="I685" s="39"/>
      <c r="J685" s="39"/>
      <c r="K685" s="39"/>
      <c r="L685" s="39"/>
      <c r="M685" s="39"/>
      <c r="N685" s="39"/>
      <c r="O685" s="39"/>
      <c r="P685" s="39"/>
      <c r="Q685" s="39"/>
      <c r="R685" s="39"/>
      <c r="S685" s="39"/>
    </row>
    <row r="686" spans="1:19" s="1" customFormat="1" ht="15" customHeight="1">
      <c r="A686" s="39"/>
      <c r="B686" s="39"/>
      <c r="C686" s="39"/>
      <c r="D686" s="39"/>
      <c r="E686" s="39"/>
      <c r="F686" s="39"/>
      <c r="G686" s="39"/>
      <c r="H686" s="39"/>
      <c r="I686" s="39"/>
      <c r="J686" s="39"/>
      <c r="K686" s="39"/>
      <c r="L686" s="39"/>
      <c r="M686" s="39"/>
      <c r="N686" s="39"/>
      <c r="O686" s="39"/>
      <c r="P686" s="39"/>
      <c r="Q686" s="39"/>
      <c r="R686" s="39"/>
      <c r="S686" s="39"/>
    </row>
    <row r="687" spans="1:19" s="1" customFormat="1" ht="15" customHeight="1">
      <c r="A687" s="39"/>
      <c r="B687" s="39"/>
      <c r="C687" s="39"/>
      <c r="D687" s="39"/>
      <c r="E687" s="39"/>
      <c r="F687" s="39"/>
      <c r="G687" s="39"/>
      <c r="H687" s="39"/>
      <c r="I687" s="39"/>
      <c r="J687" s="39"/>
      <c r="K687" s="39"/>
      <c r="L687" s="39"/>
      <c r="M687" s="39"/>
      <c r="N687" s="39"/>
      <c r="O687" s="39"/>
      <c r="P687" s="39"/>
      <c r="Q687" s="39"/>
      <c r="R687" s="39"/>
      <c r="S687" s="39"/>
    </row>
    <row r="688" spans="1:19" s="1" customFormat="1" ht="15" customHeight="1">
      <c r="A688" s="39"/>
      <c r="B688" s="39"/>
      <c r="C688" s="39"/>
      <c r="D688" s="39"/>
      <c r="E688" s="39"/>
      <c r="F688" s="39"/>
      <c r="G688" s="39"/>
      <c r="H688" s="39"/>
      <c r="I688" s="39"/>
      <c r="J688" s="39"/>
      <c r="K688" s="39"/>
      <c r="L688" s="39"/>
      <c r="M688" s="39"/>
      <c r="N688" s="39"/>
      <c r="O688" s="39"/>
      <c r="P688" s="39"/>
      <c r="Q688" s="39"/>
      <c r="R688" s="39"/>
      <c r="S688" s="39"/>
    </row>
    <row r="689" spans="1:19" s="1" customFormat="1" ht="15" customHeight="1">
      <c r="A689" s="39"/>
      <c r="B689" s="39"/>
      <c r="C689" s="39"/>
      <c r="D689" s="39"/>
      <c r="E689" s="39"/>
      <c r="F689" s="39"/>
      <c r="G689" s="39"/>
      <c r="H689" s="39"/>
      <c r="I689" s="39"/>
      <c r="J689" s="39"/>
      <c r="K689" s="39"/>
      <c r="L689" s="39"/>
      <c r="M689" s="39"/>
      <c r="N689" s="39"/>
      <c r="O689" s="39"/>
      <c r="P689" s="39"/>
      <c r="Q689" s="39"/>
      <c r="R689" s="39"/>
      <c r="S689" s="39"/>
    </row>
    <row r="690" spans="1:19" s="1" customFormat="1" ht="15" customHeight="1">
      <c r="A690" s="39"/>
      <c r="B690" s="39"/>
      <c r="C690" s="39"/>
      <c r="D690" s="39"/>
      <c r="E690" s="39"/>
      <c r="F690" s="39"/>
      <c r="G690" s="39"/>
      <c r="H690" s="39"/>
      <c r="I690" s="39"/>
      <c r="J690" s="39"/>
      <c r="K690" s="39"/>
      <c r="L690" s="39"/>
      <c r="M690" s="39"/>
      <c r="N690" s="39"/>
      <c r="O690" s="39"/>
      <c r="P690" s="39"/>
      <c r="Q690" s="39"/>
      <c r="R690" s="39"/>
      <c r="S690" s="39"/>
    </row>
    <row r="691" spans="1:19" s="1" customFormat="1" ht="15" customHeight="1">
      <c r="A691" s="39"/>
      <c r="B691" s="39"/>
      <c r="C691" s="39"/>
      <c r="D691" s="39"/>
      <c r="E691" s="39"/>
      <c r="F691" s="39"/>
      <c r="G691" s="39"/>
      <c r="H691" s="39"/>
      <c r="I691" s="39"/>
      <c r="J691" s="39"/>
      <c r="K691" s="39"/>
      <c r="L691" s="39"/>
      <c r="M691" s="39"/>
      <c r="N691" s="39"/>
      <c r="O691" s="39"/>
      <c r="P691" s="39"/>
      <c r="Q691" s="39"/>
      <c r="R691" s="39"/>
      <c r="S691" s="39"/>
    </row>
    <row r="692" spans="1:19" s="1" customFormat="1" ht="15" customHeight="1">
      <c r="A692" s="39"/>
      <c r="B692" s="39"/>
      <c r="C692" s="39"/>
      <c r="D692" s="39"/>
      <c r="E692" s="39"/>
      <c r="F692" s="39"/>
      <c r="G692" s="39"/>
      <c r="H692" s="39"/>
      <c r="I692" s="39"/>
      <c r="J692" s="39"/>
      <c r="K692" s="39"/>
      <c r="L692" s="39"/>
      <c r="M692" s="39"/>
      <c r="N692" s="39"/>
      <c r="O692" s="39"/>
      <c r="P692" s="39"/>
      <c r="Q692" s="39"/>
      <c r="R692" s="39"/>
      <c r="S692" s="39"/>
    </row>
    <row r="693" spans="1:19" s="1" customFormat="1" ht="15" customHeight="1">
      <c r="A693" s="39"/>
      <c r="B693" s="39"/>
      <c r="C693" s="39"/>
      <c r="D693" s="39"/>
      <c r="E693" s="39"/>
      <c r="F693" s="39"/>
      <c r="G693" s="39"/>
      <c r="H693" s="39"/>
      <c r="I693" s="39"/>
      <c r="J693" s="39"/>
      <c r="K693" s="39"/>
      <c r="L693" s="39"/>
      <c r="M693" s="39"/>
      <c r="N693" s="39"/>
      <c r="O693" s="39"/>
      <c r="P693" s="39"/>
      <c r="Q693" s="39"/>
      <c r="R693" s="39"/>
      <c r="S693" s="39"/>
    </row>
    <row r="694" spans="1:19" s="1" customFormat="1" ht="15" customHeight="1">
      <c r="A694" s="39"/>
      <c r="B694" s="39"/>
      <c r="C694" s="39"/>
      <c r="D694" s="39"/>
      <c r="E694" s="39"/>
      <c r="F694" s="39"/>
      <c r="G694" s="39"/>
      <c r="H694" s="39"/>
      <c r="I694" s="39"/>
      <c r="J694" s="39"/>
      <c r="K694" s="39"/>
      <c r="L694" s="39"/>
      <c r="M694" s="39"/>
      <c r="N694" s="39"/>
      <c r="O694" s="39"/>
      <c r="P694" s="39"/>
      <c r="Q694" s="39"/>
      <c r="R694" s="39"/>
      <c r="S694" s="39"/>
    </row>
    <row r="695" spans="1:19" s="1" customFormat="1" ht="15" customHeight="1">
      <c r="A695" s="39"/>
      <c r="B695" s="39"/>
      <c r="C695" s="39"/>
      <c r="D695" s="39"/>
      <c r="E695" s="39"/>
      <c r="F695" s="39"/>
      <c r="G695" s="39"/>
      <c r="H695" s="39"/>
      <c r="I695" s="39"/>
      <c r="J695" s="39"/>
      <c r="K695" s="39"/>
      <c r="L695" s="39"/>
      <c r="M695" s="39"/>
      <c r="N695" s="39"/>
      <c r="O695" s="39"/>
      <c r="P695" s="39"/>
      <c r="Q695" s="39"/>
      <c r="R695" s="39"/>
      <c r="S695" s="39"/>
    </row>
    <row r="696" spans="1:19" s="1" customFormat="1" ht="15" customHeight="1">
      <c r="A696" s="39"/>
      <c r="B696" s="39"/>
      <c r="C696" s="39"/>
      <c r="D696" s="39"/>
      <c r="E696" s="39"/>
      <c r="F696" s="39"/>
      <c r="G696" s="39"/>
      <c r="H696" s="39"/>
      <c r="I696" s="39"/>
      <c r="J696" s="39"/>
      <c r="K696" s="39"/>
      <c r="L696" s="39"/>
      <c r="M696" s="39"/>
      <c r="N696" s="39"/>
      <c r="O696" s="39"/>
      <c r="P696" s="39"/>
      <c r="Q696" s="39"/>
      <c r="R696" s="39"/>
      <c r="S696" s="39"/>
    </row>
    <row r="697" spans="1:19" s="1" customFormat="1" ht="15" customHeight="1">
      <c r="A697" s="39"/>
      <c r="B697" s="39"/>
      <c r="C697" s="39"/>
      <c r="D697" s="39"/>
      <c r="E697" s="39"/>
      <c r="F697" s="39"/>
      <c r="G697" s="39"/>
      <c r="H697" s="39"/>
      <c r="I697" s="39"/>
      <c r="J697" s="39"/>
      <c r="K697" s="39"/>
      <c r="L697" s="39"/>
      <c r="M697" s="39"/>
      <c r="N697" s="39"/>
      <c r="O697" s="39"/>
      <c r="P697" s="39"/>
      <c r="Q697" s="39"/>
      <c r="R697" s="39"/>
      <c r="S697" s="39"/>
    </row>
    <row r="698" spans="1:19" s="1" customFormat="1" ht="15" customHeight="1">
      <c r="A698" s="39"/>
      <c r="B698" s="39"/>
      <c r="C698" s="39"/>
      <c r="D698" s="39"/>
      <c r="E698" s="39"/>
      <c r="F698" s="39"/>
      <c r="G698" s="39"/>
      <c r="H698" s="39"/>
      <c r="I698" s="39"/>
      <c r="J698" s="39"/>
      <c r="K698" s="39"/>
      <c r="L698" s="39"/>
      <c r="M698" s="39"/>
      <c r="N698" s="39"/>
      <c r="O698" s="39"/>
      <c r="P698" s="39"/>
      <c r="Q698" s="39"/>
      <c r="R698" s="39"/>
      <c r="S698" s="39"/>
    </row>
    <row r="699" spans="1:19" s="1" customFormat="1" ht="15" customHeight="1">
      <c r="A699" s="39"/>
      <c r="B699" s="39"/>
      <c r="C699" s="39"/>
      <c r="D699" s="39"/>
      <c r="E699" s="39"/>
      <c r="F699" s="39"/>
      <c r="G699" s="39"/>
      <c r="H699" s="39"/>
      <c r="I699" s="39"/>
      <c r="J699" s="39"/>
      <c r="K699" s="39"/>
      <c r="L699" s="39"/>
      <c r="M699" s="39"/>
      <c r="N699" s="39"/>
      <c r="O699" s="39"/>
      <c r="P699" s="39"/>
      <c r="Q699" s="39"/>
      <c r="R699" s="39"/>
      <c r="S699" s="39"/>
    </row>
    <row r="700" spans="1:19" s="1" customFormat="1" ht="15" customHeight="1">
      <c r="A700" s="39"/>
      <c r="B700" s="39"/>
      <c r="C700" s="39"/>
      <c r="D700" s="39"/>
      <c r="E700" s="39"/>
      <c r="F700" s="39"/>
      <c r="G700" s="39"/>
      <c r="H700" s="39"/>
      <c r="I700" s="39"/>
      <c r="J700" s="39"/>
      <c r="K700" s="39"/>
      <c r="L700" s="39"/>
      <c r="M700" s="39"/>
      <c r="N700" s="39"/>
      <c r="O700" s="39"/>
      <c r="P700" s="39"/>
      <c r="Q700" s="39"/>
      <c r="R700" s="39"/>
      <c r="S700" s="39"/>
    </row>
    <row r="701" spans="1:19" s="1" customFormat="1" ht="15" customHeight="1">
      <c r="A701" s="39"/>
      <c r="B701" s="39"/>
      <c r="C701" s="39"/>
      <c r="D701" s="39"/>
      <c r="E701" s="39"/>
      <c r="F701" s="39"/>
      <c r="G701" s="39"/>
      <c r="H701" s="39"/>
      <c r="I701" s="39"/>
      <c r="J701" s="39"/>
      <c r="K701" s="39"/>
      <c r="L701" s="39"/>
      <c r="M701" s="39"/>
      <c r="N701" s="39"/>
      <c r="O701" s="39"/>
      <c r="P701" s="39"/>
      <c r="Q701" s="39"/>
      <c r="R701" s="39"/>
      <c r="S701" s="39"/>
    </row>
    <row r="702" spans="1:19" s="1" customFormat="1" ht="15" customHeight="1">
      <c r="A702" s="39"/>
      <c r="B702" s="39"/>
      <c r="C702" s="39"/>
      <c r="D702" s="39"/>
      <c r="E702" s="39"/>
      <c r="F702" s="39"/>
      <c r="G702" s="39"/>
      <c r="H702" s="39"/>
      <c r="I702" s="39"/>
      <c r="J702" s="39"/>
      <c r="K702" s="39"/>
      <c r="L702" s="39"/>
      <c r="M702" s="39"/>
      <c r="N702" s="39"/>
      <c r="O702" s="39"/>
      <c r="P702" s="39"/>
      <c r="Q702" s="39"/>
      <c r="R702" s="39"/>
      <c r="S702" s="39"/>
    </row>
    <row r="703" spans="1:19" s="1" customFormat="1" ht="15" customHeight="1">
      <c r="A703" s="39"/>
      <c r="B703" s="39"/>
      <c r="C703" s="39"/>
      <c r="D703" s="39"/>
      <c r="E703" s="39"/>
      <c r="F703" s="39"/>
      <c r="G703" s="39"/>
      <c r="H703" s="39"/>
      <c r="I703" s="39"/>
      <c r="J703" s="39"/>
      <c r="K703" s="39"/>
      <c r="L703" s="39"/>
      <c r="M703" s="39"/>
      <c r="N703" s="39"/>
      <c r="O703" s="39"/>
      <c r="P703" s="39"/>
      <c r="Q703" s="39"/>
      <c r="R703" s="39"/>
      <c r="S703" s="39"/>
    </row>
    <row r="704" spans="1:19" s="1" customFormat="1" ht="15" customHeight="1">
      <c r="A704" s="39"/>
      <c r="B704" s="39"/>
      <c r="C704" s="39"/>
      <c r="D704" s="39"/>
      <c r="E704" s="39"/>
      <c r="F704" s="39"/>
      <c r="G704" s="39"/>
      <c r="H704" s="39"/>
      <c r="I704" s="39"/>
      <c r="J704" s="39"/>
      <c r="K704" s="39"/>
      <c r="L704" s="39"/>
      <c r="M704" s="39"/>
      <c r="N704" s="39"/>
      <c r="O704" s="39"/>
      <c r="P704" s="39"/>
      <c r="Q704" s="39"/>
      <c r="R704" s="39"/>
      <c r="S704" s="39"/>
    </row>
    <row r="705" spans="1:19" s="1" customFormat="1" ht="15" customHeight="1">
      <c r="A705" s="39"/>
      <c r="B705" s="39"/>
      <c r="C705" s="39"/>
      <c r="D705" s="39"/>
      <c r="E705" s="39"/>
      <c r="F705" s="39"/>
      <c r="G705" s="39"/>
      <c r="H705" s="39"/>
      <c r="I705" s="39"/>
      <c r="J705" s="39"/>
      <c r="K705" s="39"/>
      <c r="L705" s="39"/>
      <c r="M705" s="39"/>
      <c r="N705" s="39"/>
      <c r="O705" s="39"/>
      <c r="P705" s="39"/>
      <c r="Q705" s="39"/>
      <c r="R705" s="39"/>
      <c r="S705" s="39"/>
    </row>
    <row r="706" spans="1:19" s="1" customFormat="1" ht="15" customHeight="1">
      <c r="A706" s="39"/>
      <c r="B706" s="39"/>
      <c r="C706" s="39"/>
      <c r="D706" s="39"/>
      <c r="E706" s="39"/>
      <c r="F706" s="39"/>
      <c r="G706" s="39"/>
      <c r="H706" s="39"/>
      <c r="I706" s="39"/>
      <c r="J706" s="39"/>
      <c r="K706" s="39"/>
      <c r="L706" s="39"/>
      <c r="M706" s="39"/>
      <c r="N706" s="39"/>
      <c r="O706" s="39"/>
      <c r="P706" s="39"/>
      <c r="Q706" s="39"/>
      <c r="R706" s="39"/>
      <c r="S706" s="39"/>
    </row>
    <row r="707" spans="1:19" s="1" customFormat="1" ht="15" customHeight="1">
      <c r="A707" s="39"/>
      <c r="B707" s="39"/>
      <c r="C707" s="39"/>
      <c r="D707" s="39"/>
      <c r="E707" s="39"/>
      <c r="F707" s="39"/>
      <c r="G707" s="39"/>
      <c r="H707" s="39"/>
      <c r="I707" s="39"/>
      <c r="J707" s="39"/>
      <c r="K707" s="39"/>
      <c r="L707" s="39"/>
      <c r="M707" s="39"/>
      <c r="N707" s="39"/>
      <c r="O707" s="39"/>
      <c r="P707" s="39"/>
      <c r="Q707" s="39"/>
      <c r="R707" s="39"/>
      <c r="S707" s="39"/>
    </row>
    <row r="708" spans="1:19" s="1" customFormat="1" ht="15" customHeight="1">
      <c r="A708" s="39"/>
      <c r="B708" s="39"/>
      <c r="C708" s="39"/>
      <c r="D708" s="39"/>
      <c r="E708" s="39"/>
      <c r="F708" s="39"/>
      <c r="G708" s="39"/>
      <c r="H708" s="39"/>
      <c r="I708" s="39"/>
      <c r="J708" s="39"/>
      <c r="K708" s="39"/>
      <c r="L708" s="39"/>
      <c r="M708" s="39"/>
      <c r="N708" s="39"/>
      <c r="O708" s="39"/>
      <c r="P708" s="39"/>
      <c r="Q708" s="39"/>
      <c r="R708" s="39"/>
      <c r="S708" s="39"/>
    </row>
    <row r="709" spans="1:19" s="1" customFormat="1" ht="15" customHeight="1">
      <c r="A709" s="39"/>
      <c r="B709" s="39"/>
      <c r="C709" s="39"/>
      <c r="D709" s="39"/>
      <c r="E709" s="39"/>
      <c r="F709" s="39"/>
      <c r="G709" s="39"/>
      <c r="H709" s="39"/>
      <c r="I709" s="39"/>
      <c r="J709" s="39"/>
      <c r="K709" s="39"/>
      <c r="L709" s="39"/>
      <c r="M709" s="39"/>
      <c r="N709" s="39"/>
      <c r="O709" s="39"/>
      <c r="P709" s="39"/>
      <c r="Q709" s="39"/>
      <c r="R709" s="39"/>
      <c r="S709" s="39"/>
    </row>
    <row r="710" spans="1:19" s="1" customFormat="1" ht="15" customHeight="1">
      <c r="A710" s="39"/>
      <c r="B710" s="39"/>
      <c r="C710" s="39"/>
      <c r="D710" s="39"/>
      <c r="E710" s="39"/>
      <c r="F710" s="39"/>
      <c r="G710" s="39"/>
      <c r="H710" s="39"/>
      <c r="I710" s="39"/>
      <c r="J710" s="39"/>
      <c r="K710" s="39"/>
      <c r="L710" s="39"/>
      <c r="M710" s="39"/>
      <c r="N710" s="39"/>
      <c r="O710" s="39"/>
      <c r="P710" s="39"/>
      <c r="Q710" s="39"/>
      <c r="R710" s="39"/>
      <c r="S710" s="39"/>
    </row>
    <row r="711" spans="1:19" s="1" customFormat="1" ht="15" customHeight="1">
      <c r="A711" s="39"/>
      <c r="B711" s="39"/>
      <c r="C711" s="39"/>
      <c r="D711" s="39"/>
      <c r="E711" s="39"/>
      <c r="F711" s="39"/>
      <c r="G711" s="39"/>
      <c r="H711" s="39"/>
      <c r="I711" s="39"/>
      <c r="J711" s="39"/>
      <c r="K711" s="39"/>
      <c r="L711" s="39"/>
      <c r="M711" s="39"/>
      <c r="N711" s="39"/>
      <c r="O711" s="39"/>
      <c r="P711" s="39"/>
      <c r="Q711" s="39"/>
      <c r="R711" s="39"/>
      <c r="S711" s="39"/>
    </row>
    <row r="712" spans="1:19" s="1" customFormat="1" ht="15" customHeight="1">
      <c r="A712" s="39"/>
      <c r="B712" s="39"/>
      <c r="C712" s="39"/>
      <c r="D712" s="39"/>
      <c r="E712" s="39"/>
      <c r="F712" s="39"/>
      <c r="G712" s="39"/>
      <c r="H712" s="39"/>
      <c r="I712" s="39"/>
      <c r="J712" s="39"/>
      <c r="K712" s="39"/>
      <c r="L712" s="39"/>
      <c r="M712" s="39"/>
      <c r="N712" s="39"/>
      <c r="O712" s="39"/>
      <c r="P712" s="39"/>
      <c r="Q712" s="39"/>
      <c r="R712" s="39"/>
      <c r="S712" s="39"/>
    </row>
    <row r="713" spans="1:19" s="1" customFormat="1" ht="15" customHeight="1">
      <c r="A713" s="39"/>
      <c r="B713" s="39"/>
      <c r="C713" s="39"/>
      <c r="D713" s="39"/>
      <c r="E713" s="39"/>
      <c r="F713" s="39"/>
      <c r="G713" s="39"/>
      <c r="H713" s="39"/>
      <c r="I713" s="39"/>
      <c r="J713" s="39"/>
      <c r="K713" s="39"/>
      <c r="L713" s="39"/>
      <c r="M713" s="39"/>
      <c r="N713" s="39"/>
      <c r="O713" s="39"/>
      <c r="P713" s="39"/>
      <c r="Q713" s="39"/>
      <c r="R713" s="39"/>
      <c r="S713" s="39"/>
    </row>
    <row r="714" spans="1:19" s="1" customFormat="1" ht="15" customHeight="1">
      <c r="A714" s="39"/>
      <c r="B714" s="39"/>
      <c r="C714" s="39"/>
      <c r="D714" s="39"/>
      <c r="E714" s="39"/>
      <c r="F714" s="39"/>
      <c r="G714" s="39"/>
      <c r="H714" s="39"/>
      <c r="I714" s="39"/>
      <c r="J714" s="39"/>
      <c r="K714" s="39"/>
      <c r="L714" s="39"/>
      <c r="M714" s="39"/>
      <c r="N714" s="39"/>
      <c r="O714" s="39"/>
      <c r="P714" s="39"/>
      <c r="Q714" s="39"/>
      <c r="R714" s="39"/>
      <c r="S714" s="39"/>
    </row>
    <row r="715" spans="1:19" s="1" customFormat="1" ht="15" customHeight="1">
      <c r="A715" s="39"/>
      <c r="B715" s="39"/>
      <c r="C715" s="39"/>
      <c r="D715" s="39"/>
      <c r="E715" s="39"/>
      <c r="F715" s="39"/>
      <c r="G715" s="39"/>
      <c r="H715" s="39"/>
      <c r="I715" s="39"/>
      <c r="J715" s="39"/>
      <c r="K715" s="39"/>
      <c r="L715" s="39"/>
      <c r="M715" s="39"/>
      <c r="N715" s="39"/>
      <c r="O715" s="39"/>
      <c r="P715" s="39"/>
      <c r="Q715" s="39"/>
      <c r="R715" s="39"/>
      <c r="S715" s="39"/>
    </row>
    <row r="716" spans="1:19" s="1" customFormat="1" ht="15" customHeight="1">
      <c r="A716" s="39"/>
      <c r="B716" s="39"/>
      <c r="C716" s="39"/>
      <c r="D716" s="39"/>
      <c r="E716" s="39"/>
      <c r="F716" s="39"/>
      <c r="G716" s="39"/>
      <c r="H716" s="39"/>
      <c r="I716" s="39"/>
      <c r="J716" s="39"/>
      <c r="K716" s="39"/>
      <c r="L716" s="39"/>
      <c r="M716" s="39"/>
      <c r="N716" s="39"/>
      <c r="O716" s="39"/>
      <c r="P716" s="39"/>
      <c r="Q716" s="39"/>
      <c r="R716" s="39"/>
      <c r="S716" s="39"/>
    </row>
    <row r="717" spans="1:19" s="1" customFormat="1" ht="15" customHeight="1">
      <c r="A717" s="39"/>
      <c r="B717" s="39"/>
      <c r="C717" s="39"/>
      <c r="D717" s="39"/>
      <c r="E717" s="39"/>
      <c r="F717" s="39"/>
      <c r="G717" s="39"/>
      <c r="H717" s="39"/>
      <c r="I717" s="39"/>
      <c r="J717" s="39"/>
      <c r="K717" s="39"/>
      <c r="L717" s="39"/>
      <c r="M717" s="39"/>
      <c r="N717" s="39"/>
      <c r="O717" s="39"/>
      <c r="P717" s="39"/>
      <c r="Q717" s="39"/>
      <c r="R717" s="39"/>
      <c r="S717" s="39"/>
    </row>
    <row r="718" spans="1:19" s="1" customFormat="1" ht="15" customHeight="1">
      <c r="A718" s="39"/>
      <c r="B718" s="39"/>
      <c r="C718" s="39"/>
      <c r="D718" s="39"/>
      <c r="E718" s="39"/>
      <c r="F718" s="39"/>
      <c r="G718" s="39"/>
      <c r="H718" s="39"/>
      <c r="I718" s="39"/>
      <c r="J718" s="39"/>
      <c r="K718" s="39"/>
      <c r="L718" s="39"/>
      <c r="M718" s="39"/>
      <c r="N718" s="39"/>
      <c r="O718" s="39"/>
      <c r="P718" s="39"/>
      <c r="Q718" s="39"/>
      <c r="R718" s="39"/>
      <c r="S718" s="39"/>
    </row>
    <row r="719" spans="1:19" s="1" customFormat="1" ht="15" customHeight="1">
      <c r="A719" s="39"/>
      <c r="B719" s="39"/>
      <c r="C719" s="39"/>
      <c r="D719" s="39"/>
      <c r="E719" s="39"/>
      <c r="F719" s="39"/>
      <c r="G719" s="39"/>
      <c r="H719" s="39"/>
      <c r="I719" s="39"/>
      <c r="J719" s="39"/>
      <c r="K719" s="39"/>
      <c r="L719" s="39"/>
      <c r="M719" s="39"/>
      <c r="N719" s="39"/>
      <c r="O719" s="39"/>
      <c r="P719" s="39"/>
      <c r="Q719" s="39"/>
      <c r="R719" s="39"/>
      <c r="S719" s="39"/>
    </row>
    <row r="720" spans="1:19" s="1" customFormat="1" ht="15" customHeight="1">
      <c r="A720" s="39"/>
      <c r="B720" s="39"/>
      <c r="C720" s="39"/>
      <c r="D720" s="39"/>
      <c r="E720" s="39"/>
      <c r="F720" s="39"/>
      <c r="G720" s="39"/>
      <c r="H720" s="39"/>
      <c r="I720" s="39"/>
      <c r="J720" s="39"/>
      <c r="K720" s="39"/>
      <c r="L720" s="39"/>
      <c r="M720" s="39"/>
      <c r="N720" s="39"/>
      <c r="O720" s="39"/>
      <c r="P720" s="39"/>
      <c r="Q720" s="39"/>
      <c r="R720" s="39"/>
      <c r="S720" s="39"/>
    </row>
    <row r="721" spans="1:19" s="1" customFormat="1" ht="15" customHeight="1">
      <c r="A721" s="39"/>
      <c r="B721" s="39"/>
      <c r="C721" s="39"/>
      <c r="D721" s="39"/>
      <c r="E721" s="39"/>
      <c r="F721" s="39"/>
      <c r="G721" s="39"/>
      <c r="H721" s="39"/>
      <c r="I721" s="39"/>
      <c r="J721" s="39"/>
      <c r="K721" s="39"/>
      <c r="L721" s="39"/>
      <c r="M721" s="39"/>
      <c r="N721" s="39"/>
      <c r="O721" s="39"/>
      <c r="P721" s="39"/>
      <c r="Q721" s="39"/>
      <c r="R721" s="39"/>
      <c r="S721" s="39"/>
    </row>
    <row r="722" spans="1:19" s="1" customFormat="1" ht="15" customHeight="1">
      <c r="A722" s="39"/>
      <c r="B722" s="39"/>
      <c r="C722" s="39"/>
      <c r="D722" s="39"/>
      <c r="E722" s="39"/>
      <c r="F722" s="39"/>
      <c r="G722" s="39"/>
      <c r="H722" s="39"/>
      <c r="I722" s="39"/>
      <c r="J722" s="39"/>
      <c r="K722" s="39"/>
      <c r="L722" s="39"/>
      <c r="M722" s="39"/>
      <c r="N722" s="39"/>
      <c r="O722" s="39"/>
      <c r="P722" s="39"/>
      <c r="Q722" s="39"/>
      <c r="R722" s="39"/>
      <c r="S722" s="39"/>
    </row>
    <row r="723" spans="1:19" s="1" customFormat="1" ht="15" customHeight="1">
      <c r="A723" s="39"/>
      <c r="B723" s="39"/>
      <c r="C723" s="39"/>
      <c r="D723" s="39"/>
      <c r="E723" s="39"/>
      <c r="F723" s="39"/>
      <c r="G723" s="39"/>
      <c r="H723" s="39"/>
      <c r="I723" s="39"/>
      <c r="J723" s="39"/>
      <c r="K723" s="39"/>
      <c r="L723" s="39"/>
      <c r="M723" s="39"/>
      <c r="N723" s="39"/>
      <c r="O723" s="39"/>
      <c r="P723" s="39"/>
      <c r="Q723" s="39"/>
      <c r="R723" s="39"/>
      <c r="S723" s="39"/>
    </row>
    <row r="724" spans="1:19" s="1" customFormat="1" ht="15" customHeight="1">
      <c r="A724" s="39"/>
      <c r="B724" s="39"/>
      <c r="C724" s="39"/>
      <c r="D724" s="39"/>
      <c r="E724" s="39"/>
      <c r="F724" s="39"/>
      <c r="G724" s="39"/>
      <c r="H724" s="39"/>
      <c r="I724" s="39"/>
      <c r="J724" s="39"/>
      <c r="K724" s="39"/>
      <c r="L724" s="39"/>
      <c r="M724" s="39"/>
      <c r="N724" s="39"/>
      <c r="O724" s="39"/>
      <c r="P724" s="39"/>
      <c r="Q724" s="39"/>
      <c r="R724" s="39"/>
      <c r="S724" s="39"/>
    </row>
    <row r="725" spans="1:19" s="1" customFormat="1" ht="15" customHeight="1">
      <c r="A725" s="39"/>
      <c r="B725" s="39"/>
      <c r="C725" s="39"/>
      <c r="D725" s="39"/>
      <c r="E725" s="39"/>
      <c r="F725" s="39"/>
      <c r="G725" s="39"/>
      <c r="H725" s="39"/>
      <c r="I725" s="39"/>
      <c r="J725" s="39"/>
      <c r="K725" s="39"/>
      <c r="L725" s="39"/>
      <c r="M725" s="39"/>
      <c r="N725" s="39"/>
      <c r="O725" s="39"/>
      <c r="P725" s="39"/>
      <c r="Q725" s="39"/>
      <c r="R725" s="39"/>
      <c r="S725" s="39"/>
    </row>
    <row r="726" spans="1:19" s="1" customFormat="1" ht="15" customHeight="1">
      <c r="A726" s="39"/>
      <c r="B726" s="39"/>
      <c r="C726" s="39"/>
      <c r="D726" s="39"/>
      <c r="E726" s="39"/>
      <c r="F726" s="39"/>
      <c r="G726" s="39"/>
      <c r="H726" s="39"/>
      <c r="I726" s="39"/>
      <c r="J726" s="39"/>
      <c r="K726" s="39"/>
      <c r="L726" s="39"/>
      <c r="M726" s="39"/>
      <c r="N726" s="39"/>
      <c r="O726" s="39"/>
      <c r="P726" s="39"/>
      <c r="Q726" s="39"/>
      <c r="R726" s="39"/>
      <c r="S726" s="39"/>
    </row>
    <row r="727" spans="1:19" s="1" customFormat="1" ht="15" customHeight="1">
      <c r="A727" s="39"/>
      <c r="B727" s="39"/>
      <c r="C727" s="39"/>
      <c r="D727" s="39"/>
      <c r="E727" s="39"/>
      <c r="F727" s="39"/>
      <c r="G727" s="39"/>
      <c r="H727" s="39"/>
      <c r="I727" s="39"/>
      <c r="J727" s="39"/>
      <c r="K727" s="39"/>
      <c r="L727" s="39"/>
      <c r="M727" s="39"/>
      <c r="N727" s="39"/>
      <c r="O727" s="39"/>
      <c r="P727" s="39"/>
      <c r="Q727" s="39"/>
      <c r="R727" s="39"/>
      <c r="S727" s="39"/>
    </row>
    <row r="728" spans="1:19" s="1" customFormat="1" ht="15" customHeight="1">
      <c r="A728" s="39"/>
      <c r="B728" s="39"/>
      <c r="C728" s="39"/>
      <c r="D728" s="39"/>
      <c r="E728" s="39"/>
      <c r="F728" s="39"/>
      <c r="G728" s="39"/>
      <c r="H728" s="39"/>
      <c r="I728" s="39"/>
      <c r="J728" s="39"/>
      <c r="K728" s="39"/>
      <c r="L728" s="39"/>
      <c r="M728" s="39"/>
      <c r="N728" s="39"/>
      <c r="O728" s="39"/>
      <c r="P728" s="39"/>
      <c r="Q728" s="39"/>
      <c r="R728" s="39"/>
      <c r="S728" s="39"/>
    </row>
    <row r="729" spans="1:19" s="1" customFormat="1" ht="15" customHeight="1">
      <c r="A729" s="39"/>
      <c r="B729" s="39"/>
      <c r="C729" s="39"/>
      <c r="D729" s="39"/>
      <c r="E729" s="39"/>
      <c r="F729" s="39"/>
      <c r="G729" s="39"/>
      <c r="H729" s="39"/>
      <c r="I729" s="39"/>
      <c r="J729" s="39"/>
      <c r="K729" s="39"/>
      <c r="L729" s="39"/>
      <c r="M729" s="39"/>
      <c r="N729" s="39"/>
      <c r="O729" s="39"/>
      <c r="P729" s="39"/>
      <c r="Q729" s="39"/>
      <c r="R729" s="39"/>
      <c r="S729" s="39"/>
    </row>
    <row r="730" spans="1:19" s="1" customFormat="1" ht="15" customHeight="1">
      <c r="A730" s="39"/>
      <c r="B730" s="39"/>
      <c r="C730" s="39"/>
      <c r="D730" s="39"/>
      <c r="E730" s="39"/>
      <c r="F730" s="39"/>
      <c r="G730" s="39"/>
      <c r="H730" s="39"/>
      <c r="I730" s="39"/>
      <c r="J730" s="39"/>
      <c r="K730" s="39"/>
      <c r="L730" s="39"/>
      <c r="M730" s="39"/>
      <c r="N730" s="39"/>
      <c r="O730" s="39"/>
      <c r="P730" s="39"/>
      <c r="Q730" s="39"/>
      <c r="R730" s="39"/>
      <c r="S730" s="39"/>
    </row>
    <row r="731" spans="1:19" s="1" customFormat="1" ht="15" customHeight="1">
      <c r="A731" s="39"/>
      <c r="B731" s="39"/>
      <c r="C731" s="39"/>
      <c r="D731" s="39"/>
      <c r="E731" s="39"/>
      <c r="F731" s="39"/>
      <c r="G731" s="39"/>
      <c r="H731" s="39"/>
      <c r="I731" s="39"/>
      <c r="J731" s="39"/>
      <c r="K731" s="39"/>
      <c r="L731" s="39"/>
      <c r="M731" s="39"/>
      <c r="N731" s="39"/>
      <c r="O731" s="39"/>
      <c r="P731" s="39"/>
      <c r="Q731" s="39"/>
      <c r="R731" s="39"/>
      <c r="S731" s="39"/>
    </row>
    <row r="732" spans="1:19" s="1" customFormat="1" ht="15" customHeight="1">
      <c r="A732" s="39"/>
      <c r="B732" s="39"/>
      <c r="C732" s="39"/>
      <c r="D732" s="39"/>
      <c r="E732" s="39"/>
      <c r="F732" s="39"/>
      <c r="G732" s="39"/>
      <c r="H732" s="39"/>
      <c r="I732" s="39"/>
      <c r="J732" s="39"/>
      <c r="K732" s="39"/>
      <c r="L732" s="39"/>
      <c r="M732" s="39"/>
      <c r="N732" s="39"/>
      <c r="O732" s="39"/>
      <c r="P732" s="39"/>
      <c r="Q732" s="39"/>
      <c r="R732" s="39"/>
      <c r="S732" s="39"/>
    </row>
    <row r="733" spans="1:19" s="1" customFormat="1" ht="15" customHeight="1">
      <c r="A733" s="39"/>
      <c r="B733" s="39"/>
      <c r="C733" s="39"/>
      <c r="D733" s="39"/>
      <c r="E733" s="39"/>
      <c r="F733" s="39"/>
      <c r="G733" s="39"/>
      <c r="H733" s="39"/>
      <c r="I733" s="39"/>
      <c r="J733" s="39"/>
      <c r="K733" s="39"/>
      <c r="L733" s="39"/>
      <c r="M733" s="39"/>
      <c r="N733" s="39"/>
      <c r="O733" s="39"/>
      <c r="P733" s="39"/>
      <c r="Q733" s="39"/>
      <c r="R733" s="39"/>
      <c r="S733" s="39"/>
    </row>
    <row r="734" spans="1:19" s="1" customFormat="1" ht="15" customHeight="1">
      <c r="A734" s="39"/>
      <c r="B734" s="39"/>
      <c r="C734" s="39"/>
      <c r="D734" s="39"/>
      <c r="E734" s="39"/>
      <c r="F734" s="39"/>
      <c r="G734" s="39"/>
      <c r="H734" s="39"/>
      <c r="I734" s="39"/>
      <c r="J734" s="39"/>
      <c r="K734" s="39"/>
      <c r="L734" s="39"/>
      <c r="M734" s="39"/>
      <c r="N734" s="39"/>
      <c r="O734" s="39"/>
      <c r="P734" s="39"/>
      <c r="Q734" s="39"/>
      <c r="R734" s="39"/>
      <c r="S734" s="39"/>
    </row>
    <row r="735" spans="1:19" s="1" customFormat="1" ht="15" customHeight="1">
      <c r="A735" s="39"/>
      <c r="B735" s="39"/>
      <c r="C735" s="39"/>
      <c r="D735" s="39"/>
      <c r="E735" s="39"/>
      <c r="F735" s="39"/>
      <c r="G735" s="39"/>
      <c r="H735" s="39"/>
      <c r="I735" s="39"/>
      <c r="J735" s="39"/>
      <c r="K735" s="39"/>
      <c r="L735" s="39"/>
      <c r="M735" s="39"/>
      <c r="N735" s="39"/>
      <c r="O735" s="39"/>
      <c r="P735" s="39"/>
      <c r="Q735" s="39"/>
      <c r="R735" s="39"/>
      <c r="S735" s="39"/>
    </row>
    <row r="736" spans="1:19" s="1" customFormat="1" ht="15" customHeight="1">
      <c r="A736" s="39"/>
      <c r="B736" s="39"/>
      <c r="C736" s="39"/>
      <c r="D736" s="39"/>
      <c r="E736" s="39"/>
      <c r="F736" s="39"/>
      <c r="G736" s="39"/>
      <c r="H736" s="39"/>
      <c r="I736" s="39"/>
      <c r="J736" s="39"/>
      <c r="K736" s="39"/>
      <c r="L736" s="39"/>
      <c r="M736" s="39"/>
      <c r="N736" s="39"/>
      <c r="O736" s="39"/>
      <c r="P736" s="39"/>
      <c r="Q736" s="39"/>
      <c r="R736" s="39"/>
      <c r="S736" s="39"/>
    </row>
    <row r="737" spans="1:19" s="1" customFormat="1" ht="15" customHeight="1">
      <c r="A737" s="39"/>
      <c r="B737" s="39"/>
      <c r="C737" s="39"/>
      <c r="D737" s="39"/>
      <c r="E737" s="39"/>
      <c r="F737" s="39"/>
      <c r="G737" s="39"/>
      <c r="H737" s="39"/>
      <c r="I737" s="39"/>
      <c r="J737" s="39"/>
      <c r="K737" s="39"/>
      <c r="L737" s="39"/>
      <c r="M737" s="39"/>
      <c r="N737" s="39"/>
      <c r="O737" s="39"/>
      <c r="P737" s="39"/>
      <c r="Q737" s="39"/>
      <c r="R737" s="39"/>
      <c r="S737" s="39"/>
    </row>
    <row r="738" spans="1:19" s="1" customFormat="1" ht="15" customHeight="1">
      <c r="A738" s="39"/>
      <c r="B738" s="39"/>
      <c r="C738" s="39"/>
      <c r="D738" s="39"/>
      <c r="E738" s="39"/>
      <c r="F738" s="39"/>
      <c r="G738" s="39"/>
      <c r="H738" s="39"/>
      <c r="I738" s="39"/>
      <c r="J738" s="39"/>
      <c r="K738" s="39"/>
      <c r="L738" s="39"/>
      <c r="M738" s="39"/>
      <c r="N738" s="39"/>
      <c r="O738" s="39"/>
      <c r="P738" s="39"/>
      <c r="Q738" s="39"/>
      <c r="R738" s="39"/>
      <c r="S738" s="39"/>
    </row>
    <row r="739" spans="1:19" s="1" customFormat="1" ht="15" customHeight="1">
      <c r="A739" s="39"/>
      <c r="B739" s="39"/>
      <c r="C739" s="39"/>
      <c r="D739" s="39"/>
      <c r="E739" s="39"/>
      <c r="F739" s="39"/>
      <c r="G739" s="39"/>
      <c r="H739" s="39"/>
      <c r="I739" s="39"/>
      <c r="J739" s="39"/>
      <c r="K739" s="39"/>
      <c r="L739" s="39"/>
      <c r="M739" s="39"/>
      <c r="N739" s="39"/>
      <c r="O739" s="39"/>
      <c r="P739" s="39"/>
      <c r="Q739" s="39"/>
      <c r="R739" s="39"/>
      <c r="S739" s="39"/>
    </row>
    <row r="740" spans="1:19" s="1" customFormat="1" ht="15" customHeight="1">
      <c r="A740" s="39"/>
      <c r="B740" s="39"/>
      <c r="C740" s="39"/>
      <c r="D740" s="39"/>
      <c r="E740" s="39"/>
      <c r="F740" s="39"/>
      <c r="G740" s="39"/>
      <c r="H740" s="39"/>
      <c r="I740" s="39"/>
      <c r="J740" s="39"/>
      <c r="K740" s="39"/>
      <c r="L740" s="39"/>
      <c r="M740" s="39"/>
      <c r="N740" s="39"/>
      <c r="O740" s="39"/>
      <c r="P740" s="39"/>
      <c r="Q740" s="39"/>
      <c r="R740" s="39"/>
      <c r="S740" s="39"/>
    </row>
    <row r="741" spans="1:19" s="1" customFormat="1" ht="15" customHeight="1">
      <c r="A741" s="39"/>
      <c r="B741" s="39"/>
      <c r="C741" s="39"/>
      <c r="D741" s="39"/>
      <c r="E741" s="39"/>
      <c r="F741" s="39"/>
      <c r="G741" s="39"/>
      <c r="H741" s="39"/>
      <c r="I741" s="39"/>
      <c r="J741" s="39"/>
      <c r="K741" s="39"/>
      <c r="L741" s="39"/>
      <c r="M741" s="39"/>
      <c r="N741" s="39"/>
      <c r="O741" s="39"/>
      <c r="P741" s="39"/>
      <c r="Q741" s="39"/>
      <c r="R741" s="39"/>
      <c r="S741" s="39"/>
    </row>
    <row r="742" spans="1:19" s="1" customFormat="1" ht="15" customHeight="1">
      <c r="A742" s="39"/>
      <c r="B742" s="39"/>
      <c r="C742" s="39"/>
      <c r="D742" s="39"/>
      <c r="E742" s="39"/>
      <c r="F742" s="39"/>
      <c r="G742" s="39"/>
      <c r="H742" s="39"/>
      <c r="I742" s="39"/>
      <c r="J742" s="39"/>
      <c r="K742" s="39"/>
      <c r="L742" s="39"/>
      <c r="M742" s="39"/>
      <c r="N742" s="39"/>
      <c r="O742" s="39"/>
      <c r="P742" s="39"/>
      <c r="Q742" s="39"/>
      <c r="R742" s="39"/>
      <c r="S742" s="39"/>
    </row>
    <row r="743" spans="1:19" s="1" customFormat="1" ht="15" customHeight="1">
      <c r="A743" s="39"/>
      <c r="B743" s="39"/>
      <c r="C743" s="39"/>
      <c r="D743" s="39"/>
      <c r="E743" s="39"/>
      <c r="F743" s="39"/>
      <c r="G743" s="39"/>
      <c r="H743" s="39"/>
      <c r="I743" s="39"/>
      <c r="J743" s="39"/>
      <c r="K743" s="39"/>
      <c r="L743" s="39"/>
      <c r="M743" s="39"/>
      <c r="N743" s="39"/>
      <c r="O743" s="39"/>
      <c r="P743" s="39"/>
      <c r="Q743" s="39"/>
      <c r="R743" s="39"/>
      <c r="S743" s="39"/>
    </row>
    <row r="744" spans="1:19" s="1" customFormat="1" ht="15" customHeight="1">
      <c r="A744" s="39"/>
      <c r="B744" s="39"/>
      <c r="C744" s="39"/>
      <c r="D744" s="39"/>
      <c r="E744" s="39"/>
      <c r="F744" s="39"/>
      <c r="G744" s="39"/>
      <c r="H744" s="39"/>
      <c r="I744" s="39"/>
      <c r="J744" s="39"/>
      <c r="K744" s="39"/>
      <c r="L744" s="39"/>
      <c r="M744" s="39"/>
      <c r="N744" s="39"/>
      <c r="O744" s="39"/>
      <c r="P744" s="39"/>
      <c r="Q744" s="39"/>
      <c r="R744" s="39"/>
      <c r="S744" s="39"/>
    </row>
    <row r="745" spans="1:19" s="1" customFormat="1" ht="15" customHeight="1">
      <c r="A745" s="39"/>
      <c r="B745" s="39"/>
      <c r="C745" s="39"/>
      <c r="D745" s="39"/>
      <c r="E745" s="39"/>
      <c r="F745" s="39"/>
      <c r="G745" s="39"/>
      <c r="H745" s="39"/>
      <c r="I745" s="39"/>
      <c r="J745" s="39"/>
      <c r="K745" s="39"/>
      <c r="L745" s="39"/>
      <c r="M745" s="39"/>
      <c r="N745" s="39"/>
      <c r="O745" s="39"/>
      <c r="P745" s="39"/>
      <c r="Q745" s="39"/>
      <c r="R745" s="39"/>
      <c r="S745" s="39"/>
    </row>
    <row r="746" spans="1:19" s="1" customFormat="1" ht="15" customHeight="1">
      <c r="A746" s="39"/>
      <c r="B746" s="39"/>
      <c r="C746" s="39"/>
      <c r="D746" s="39"/>
      <c r="E746" s="39"/>
      <c r="F746" s="39"/>
      <c r="G746" s="39"/>
      <c r="H746" s="39"/>
      <c r="I746" s="39"/>
      <c r="J746" s="39"/>
      <c r="K746" s="39"/>
      <c r="L746" s="39"/>
      <c r="M746" s="39"/>
      <c r="N746" s="39"/>
      <c r="O746" s="39"/>
      <c r="P746" s="39"/>
      <c r="Q746" s="39"/>
      <c r="R746" s="39"/>
      <c r="S746" s="39"/>
    </row>
    <row r="747" spans="1:19" s="1" customFormat="1" ht="15" customHeight="1">
      <c r="A747" s="39"/>
      <c r="B747" s="39"/>
      <c r="C747" s="39"/>
      <c r="D747" s="39"/>
      <c r="E747" s="39"/>
      <c r="F747" s="39"/>
      <c r="G747" s="39"/>
      <c r="H747" s="39"/>
      <c r="I747" s="39"/>
      <c r="J747" s="39"/>
      <c r="K747" s="39"/>
      <c r="L747" s="39"/>
      <c r="M747" s="39"/>
      <c r="N747" s="39"/>
      <c r="O747" s="39"/>
      <c r="P747" s="39"/>
      <c r="Q747" s="39"/>
      <c r="R747" s="39"/>
      <c r="S747" s="39"/>
    </row>
    <row r="748" spans="1:19" s="1" customFormat="1" ht="15" customHeight="1">
      <c r="A748" s="39"/>
      <c r="B748" s="39"/>
      <c r="C748" s="39"/>
      <c r="D748" s="39"/>
      <c r="E748" s="39"/>
      <c r="F748" s="39"/>
      <c r="G748" s="39"/>
      <c r="H748" s="39"/>
      <c r="I748" s="39"/>
      <c r="J748" s="39"/>
      <c r="K748" s="39"/>
      <c r="L748" s="39"/>
      <c r="M748" s="39"/>
      <c r="N748" s="39"/>
      <c r="O748" s="39"/>
      <c r="P748" s="39"/>
      <c r="Q748" s="39"/>
      <c r="R748" s="39"/>
      <c r="S748" s="39"/>
    </row>
    <row r="749" spans="1:19" s="1" customFormat="1" ht="15" customHeight="1">
      <c r="A749" s="39"/>
      <c r="B749" s="39"/>
      <c r="C749" s="39"/>
      <c r="D749" s="39"/>
      <c r="E749" s="39"/>
      <c r="F749" s="39"/>
      <c r="G749" s="39"/>
      <c r="H749" s="39"/>
      <c r="I749" s="39"/>
      <c r="J749" s="39"/>
      <c r="K749" s="39"/>
      <c r="L749" s="39"/>
      <c r="M749" s="39"/>
      <c r="N749" s="39"/>
      <c r="O749" s="39"/>
      <c r="P749" s="39"/>
      <c r="Q749" s="39"/>
      <c r="R749" s="39"/>
      <c r="S749" s="39"/>
    </row>
    <row r="750" spans="1:19" s="1" customFormat="1" ht="15" customHeight="1">
      <c r="A750" s="39"/>
      <c r="B750" s="39"/>
      <c r="C750" s="39"/>
      <c r="D750" s="39"/>
      <c r="E750" s="39"/>
      <c r="F750" s="39"/>
      <c r="G750" s="39"/>
      <c r="H750" s="39"/>
      <c r="I750" s="39"/>
      <c r="J750" s="39"/>
      <c r="K750" s="39"/>
      <c r="L750" s="39"/>
      <c r="M750" s="39"/>
      <c r="N750" s="39"/>
      <c r="O750" s="39"/>
      <c r="P750" s="39"/>
      <c r="Q750" s="39"/>
      <c r="R750" s="39"/>
      <c r="S750" s="39"/>
    </row>
    <row r="751" spans="1:19" s="1" customFormat="1" ht="15" customHeight="1">
      <c r="A751" s="39"/>
      <c r="B751" s="39"/>
      <c r="C751" s="39"/>
      <c r="D751" s="39"/>
      <c r="E751" s="39"/>
      <c r="F751" s="39"/>
      <c r="G751" s="39"/>
      <c r="H751" s="39"/>
      <c r="I751" s="39"/>
      <c r="J751" s="39"/>
      <c r="K751" s="39"/>
      <c r="L751" s="39"/>
      <c r="M751" s="39"/>
      <c r="N751" s="39"/>
      <c r="O751" s="39"/>
      <c r="P751" s="39"/>
      <c r="Q751" s="39"/>
      <c r="R751" s="39"/>
      <c r="S751" s="39"/>
    </row>
    <row r="752" spans="1:19" s="1" customFormat="1" ht="15" customHeight="1">
      <c r="A752" s="39"/>
      <c r="B752" s="39"/>
      <c r="C752" s="39"/>
      <c r="D752" s="39"/>
      <c r="E752" s="39"/>
      <c r="F752" s="39"/>
      <c r="G752" s="39"/>
      <c r="H752" s="39"/>
      <c r="I752" s="39"/>
      <c r="J752" s="39"/>
      <c r="K752" s="39"/>
      <c r="L752" s="39"/>
      <c r="M752" s="39"/>
      <c r="N752" s="39"/>
      <c r="O752" s="39"/>
      <c r="P752" s="39"/>
      <c r="Q752" s="39"/>
      <c r="R752" s="39"/>
      <c r="S752" s="39"/>
    </row>
    <row r="753" spans="1:19" s="1" customFormat="1" ht="15" customHeight="1">
      <c r="A753" s="39"/>
      <c r="B753" s="39"/>
      <c r="C753" s="39"/>
      <c r="D753" s="39"/>
      <c r="E753" s="39"/>
      <c r="F753" s="39"/>
      <c r="G753" s="39"/>
      <c r="H753" s="39"/>
      <c r="I753" s="39"/>
      <c r="J753" s="39"/>
      <c r="K753" s="39"/>
      <c r="L753" s="39"/>
      <c r="M753" s="39"/>
      <c r="N753" s="39"/>
      <c r="O753" s="39"/>
      <c r="P753" s="39"/>
      <c r="Q753" s="39"/>
      <c r="R753" s="39"/>
      <c r="S753" s="39"/>
    </row>
    <row r="754" spans="1:19" s="1" customFormat="1" ht="15" customHeight="1">
      <c r="A754" s="39"/>
      <c r="B754" s="39"/>
      <c r="C754" s="39"/>
      <c r="D754" s="39"/>
      <c r="E754" s="39"/>
      <c r="F754" s="39"/>
      <c r="G754" s="39"/>
      <c r="H754" s="39"/>
      <c r="I754" s="39"/>
      <c r="J754" s="39"/>
      <c r="K754" s="39"/>
      <c r="L754" s="39"/>
      <c r="M754" s="39"/>
      <c r="N754" s="39"/>
      <c r="O754" s="39"/>
      <c r="P754" s="39"/>
      <c r="Q754" s="39"/>
      <c r="R754" s="39"/>
      <c r="S754" s="39"/>
    </row>
    <row r="755" spans="1:19" s="1" customFormat="1" ht="15" customHeight="1">
      <c r="A755" s="39"/>
      <c r="B755" s="39"/>
      <c r="C755" s="39"/>
      <c r="D755" s="39"/>
      <c r="E755" s="39"/>
      <c r="F755" s="39"/>
      <c r="G755" s="39"/>
      <c r="H755" s="39"/>
      <c r="I755" s="39"/>
      <c r="J755" s="39"/>
      <c r="K755" s="39"/>
      <c r="L755" s="39"/>
      <c r="M755" s="39"/>
      <c r="N755" s="39"/>
      <c r="O755" s="39"/>
      <c r="P755" s="39"/>
      <c r="Q755" s="39"/>
      <c r="R755" s="39"/>
      <c r="S755" s="39"/>
    </row>
    <row r="756" spans="1:19" s="1" customFormat="1" ht="15" customHeight="1">
      <c r="A756" s="39"/>
      <c r="B756" s="39"/>
      <c r="C756" s="39"/>
      <c r="D756" s="39"/>
      <c r="E756" s="39"/>
      <c r="F756" s="39"/>
      <c r="G756" s="39"/>
      <c r="H756" s="39"/>
      <c r="I756" s="39"/>
      <c r="J756" s="39"/>
      <c r="K756" s="39"/>
      <c r="L756" s="39"/>
      <c r="M756" s="39"/>
      <c r="N756" s="39"/>
      <c r="O756" s="39"/>
      <c r="P756" s="39"/>
      <c r="Q756" s="39"/>
      <c r="R756" s="39"/>
      <c r="S756" s="39"/>
    </row>
    <row r="757" spans="1:19" s="1" customFormat="1" ht="15" customHeight="1">
      <c r="A757" s="39"/>
      <c r="B757" s="39"/>
      <c r="C757" s="39"/>
      <c r="D757" s="39"/>
      <c r="E757" s="39"/>
      <c r="F757" s="39"/>
      <c r="G757" s="39"/>
      <c r="H757" s="39"/>
      <c r="I757" s="39"/>
      <c r="J757" s="39"/>
      <c r="K757" s="39"/>
      <c r="L757" s="39"/>
      <c r="M757" s="39"/>
      <c r="N757" s="39"/>
      <c r="O757" s="39"/>
      <c r="P757" s="39"/>
      <c r="Q757" s="39"/>
      <c r="R757" s="39"/>
      <c r="S757" s="39"/>
    </row>
    <row r="758" spans="1:19" s="1" customFormat="1" ht="15" customHeight="1">
      <c r="A758" s="39"/>
      <c r="B758" s="39"/>
      <c r="C758" s="39"/>
      <c r="D758" s="39"/>
      <c r="E758" s="39"/>
      <c r="F758" s="39"/>
      <c r="G758" s="39"/>
      <c r="H758" s="39"/>
      <c r="I758" s="39"/>
      <c r="J758" s="39"/>
      <c r="K758" s="39"/>
      <c r="L758" s="39"/>
      <c r="M758" s="39"/>
      <c r="N758" s="39"/>
      <c r="O758" s="39"/>
      <c r="P758" s="39"/>
      <c r="Q758" s="39"/>
      <c r="R758" s="39"/>
      <c r="S758" s="39"/>
    </row>
    <row r="759" spans="1:19" s="1" customFormat="1" ht="15" customHeight="1">
      <c r="A759" s="39"/>
      <c r="B759" s="39"/>
      <c r="C759" s="39"/>
      <c r="D759" s="39"/>
      <c r="E759" s="39"/>
      <c r="F759" s="39"/>
      <c r="G759" s="39"/>
      <c r="H759" s="39"/>
      <c r="I759" s="39"/>
      <c r="J759" s="39"/>
      <c r="K759" s="39"/>
      <c r="L759" s="39"/>
      <c r="M759" s="39"/>
      <c r="N759" s="39"/>
      <c r="O759" s="39"/>
      <c r="P759" s="39"/>
      <c r="Q759" s="39"/>
      <c r="R759" s="39"/>
      <c r="S759" s="39"/>
    </row>
    <row r="760" spans="1:19" s="1" customFormat="1" ht="15" customHeight="1">
      <c r="A760" s="39"/>
      <c r="B760" s="39"/>
      <c r="C760" s="39"/>
      <c r="D760" s="39"/>
      <c r="E760" s="39"/>
      <c r="F760" s="39"/>
      <c r="G760" s="39"/>
      <c r="H760" s="39"/>
      <c r="I760" s="39"/>
      <c r="J760" s="39"/>
      <c r="K760" s="39"/>
      <c r="L760" s="39"/>
      <c r="M760" s="39"/>
      <c r="N760" s="39"/>
      <c r="O760" s="39"/>
      <c r="P760" s="39"/>
      <c r="Q760" s="39"/>
      <c r="R760" s="39"/>
      <c r="S760" s="39"/>
    </row>
    <row r="761" spans="1:19" s="1" customFormat="1" ht="15" customHeight="1">
      <c r="A761" s="39"/>
      <c r="B761" s="39"/>
      <c r="C761" s="39"/>
      <c r="D761" s="39"/>
      <c r="E761" s="39"/>
      <c r="F761" s="39"/>
      <c r="G761" s="39"/>
      <c r="H761" s="39"/>
      <c r="I761" s="39"/>
      <c r="J761" s="39"/>
      <c r="K761" s="39"/>
      <c r="L761" s="39"/>
      <c r="M761" s="39"/>
      <c r="N761" s="39"/>
      <c r="O761" s="39"/>
      <c r="P761" s="39"/>
      <c r="Q761" s="39"/>
      <c r="R761" s="39"/>
      <c r="S761" s="39"/>
    </row>
    <row r="762" spans="1:19" s="1" customFormat="1" ht="15" customHeight="1">
      <c r="A762" s="39"/>
      <c r="B762" s="39"/>
      <c r="C762" s="39"/>
      <c r="D762" s="39"/>
      <c r="E762" s="39"/>
      <c r="F762" s="39"/>
      <c r="G762" s="39"/>
      <c r="H762" s="39"/>
      <c r="I762" s="39"/>
      <c r="J762" s="39"/>
      <c r="K762" s="39"/>
      <c r="L762" s="39"/>
      <c r="M762" s="39"/>
      <c r="N762" s="39"/>
      <c r="O762" s="39"/>
      <c r="P762" s="39"/>
      <c r="Q762" s="39"/>
      <c r="R762" s="39"/>
      <c r="S762" s="39"/>
    </row>
    <row r="763" spans="1:19" s="1" customFormat="1" ht="15" customHeight="1">
      <c r="A763" s="39"/>
      <c r="B763" s="39"/>
      <c r="C763" s="39"/>
      <c r="D763" s="39"/>
      <c r="E763" s="39"/>
      <c r="F763" s="39"/>
      <c r="G763" s="39"/>
      <c r="H763" s="39"/>
      <c r="I763" s="39"/>
      <c r="J763" s="39"/>
      <c r="K763" s="39"/>
      <c r="L763" s="39"/>
      <c r="M763" s="39"/>
      <c r="N763" s="39"/>
      <c r="O763" s="39"/>
      <c r="P763" s="39"/>
      <c r="Q763" s="39"/>
      <c r="R763" s="39"/>
      <c r="S763" s="39"/>
    </row>
    <row r="764" spans="1:19" s="1" customFormat="1" ht="15" customHeight="1">
      <c r="A764" s="39"/>
      <c r="B764" s="39"/>
      <c r="C764" s="39"/>
      <c r="D764" s="39"/>
      <c r="E764" s="39"/>
      <c r="F764" s="39"/>
      <c r="G764" s="39"/>
      <c r="H764" s="39"/>
      <c r="I764" s="39"/>
      <c r="J764" s="39"/>
      <c r="K764" s="39"/>
      <c r="L764" s="39"/>
      <c r="M764" s="39"/>
      <c r="N764" s="39"/>
      <c r="O764" s="39"/>
      <c r="P764" s="39"/>
      <c r="Q764" s="39"/>
      <c r="R764" s="39"/>
      <c r="S764" s="39"/>
    </row>
    <row r="765" spans="1:19" s="1" customFormat="1" ht="15" customHeight="1">
      <c r="A765" s="39"/>
      <c r="B765" s="39"/>
      <c r="C765" s="39"/>
      <c r="D765" s="39"/>
      <c r="E765" s="39"/>
      <c r="F765" s="39"/>
      <c r="G765" s="39"/>
      <c r="H765" s="39"/>
      <c r="I765" s="39"/>
      <c r="J765" s="39"/>
      <c r="K765" s="39"/>
      <c r="L765" s="39"/>
      <c r="M765" s="39"/>
      <c r="N765" s="39"/>
      <c r="O765" s="39"/>
      <c r="P765" s="39"/>
      <c r="Q765" s="39"/>
      <c r="R765" s="39"/>
      <c r="S765" s="39"/>
    </row>
    <row r="766" spans="1:19" s="1" customFormat="1" ht="15" customHeight="1">
      <c r="A766" s="39"/>
      <c r="B766" s="39"/>
      <c r="C766" s="39"/>
      <c r="D766" s="39"/>
      <c r="E766" s="39"/>
      <c r="F766" s="39"/>
      <c r="G766" s="39"/>
      <c r="H766" s="39"/>
      <c r="I766" s="39"/>
      <c r="J766" s="39"/>
      <c r="K766" s="39"/>
      <c r="L766" s="39"/>
      <c r="M766" s="39"/>
      <c r="N766" s="39"/>
      <c r="O766" s="39"/>
      <c r="P766" s="39"/>
      <c r="Q766" s="39"/>
      <c r="R766" s="39"/>
      <c r="S766" s="39"/>
    </row>
    <row r="767" spans="1:19" s="1" customFormat="1" ht="15" customHeight="1">
      <c r="A767" s="39"/>
      <c r="B767" s="39"/>
      <c r="C767" s="39"/>
      <c r="D767" s="39"/>
      <c r="E767" s="39"/>
      <c r="F767" s="39"/>
      <c r="G767" s="39"/>
      <c r="H767" s="39"/>
      <c r="I767" s="39"/>
      <c r="J767" s="39"/>
      <c r="K767" s="39"/>
      <c r="L767" s="39"/>
      <c r="M767" s="39"/>
      <c r="N767" s="39"/>
      <c r="O767" s="39"/>
      <c r="P767" s="39"/>
      <c r="Q767" s="39"/>
      <c r="R767" s="39"/>
      <c r="S767" s="39"/>
    </row>
    <row r="768" spans="1:19" s="1" customFormat="1" ht="15" customHeight="1">
      <c r="A768" s="39"/>
      <c r="B768" s="39"/>
      <c r="C768" s="39"/>
      <c r="D768" s="39"/>
      <c r="E768" s="39"/>
      <c r="F768" s="39"/>
      <c r="G768" s="39"/>
      <c r="H768" s="39"/>
      <c r="I768" s="39"/>
      <c r="J768" s="39"/>
      <c r="K768" s="39"/>
      <c r="L768" s="39"/>
      <c r="M768" s="39"/>
      <c r="N768" s="39"/>
      <c r="O768" s="39"/>
      <c r="P768" s="39"/>
      <c r="Q768" s="39"/>
      <c r="R768" s="39"/>
      <c r="S768" s="39"/>
    </row>
    <row r="769" spans="1:19" s="1" customFormat="1" ht="15" customHeight="1">
      <c r="A769" s="39"/>
      <c r="B769" s="39"/>
      <c r="C769" s="39"/>
      <c r="D769" s="39"/>
      <c r="E769" s="39"/>
      <c r="F769" s="39"/>
      <c r="G769" s="39"/>
      <c r="H769" s="39"/>
      <c r="I769" s="39"/>
      <c r="J769" s="39"/>
      <c r="K769" s="39"/>
      <c r="L769" s="39"/>
      <c r="M769" s="39"/>
      <c r="N769" s="39"/>
      <c r="O769" s="39"/>
      <c r="P769" s="39"/>
      <c r="Q769" s="39"/>
      <c r="R769" s="39"/>
      <c r="S769" s="39"/>
    </row>
    <row r="770" spans="1:19" s="1" customFormat="1" ht="15" customHeight="1">
      <c r="A770" s="39"/>
      <c r="B770" s="39"/>
      <c r="C770" s="39"/>
      <c r="D770" s="39"/>
      <c r="E770" s="39"/>
      <c r="F770" s="39"/>
      <c r="G770" s="39"/>
      <c r="H770" s="39"/>
      <c r="I770" s="39"/>
      <c r="J770" s="39"/>
      <c r="K770" s="39"/>
      <c r="L770" s="39"/>
      <c r="M770" s="39"/>
      <c r="N770" s="39"/>
      <c r="O770" s="39"/>
      <c r="P770" s="39"/>
      <c r="Q770" s="39"/>
      <c r="R770" s="39"/>
      <c r="S770" s="39"/>
    </row>
    <row r="771" spans="1:19" s="1" customFormat="1" ht="15" customHeight="1">
      <c r="A771" s="39"/>
      <c r="B771" s="39"/>
      <c r="C771" s="39"/>
      <c r="D771" s="39"/>
      <c r="E771" s="39"/>
      <c r="F771" s="39"/>
      <c r="G771" s="39"/>
      <c r="H771" s="39"/>
      <c r="I771" s="39"/>
      <c r="J771" s="39"/>
      <c r="K771" s="39"/>
      <c r="L771" s="39"/>
      <c r="M771" s="39"/>
      <c r="N771" s="39"/>
      <c r="O771" s="39"/>
      <c r="P771" s="39"/>
      <c r="Q771" s="39"/>
      <c r="R771" s="39"/>
      <c r="S771" s="39"/>
    </row>
    <row r="772" spans="1:19" s="1" customFormat="1" ht="15" customHeight="1">
      <c r="A772" s="39"/>
      <c r="B772" s="39"/>
      <c r="C772" s="39"/>
      <c r="D772" s="39"/>
      <c r="E772" s="39"/>
      <c r="F772" s="39"/>
      <c r="G772" s="39"/>
      <c r="H772" s="39"/>
      <c r="I772" s="39"/>
      <c r="J772" s="39"/>
      <c r="K772" s="39"/>
      <c r="L772" s="39"/>
      <c r="M772" s="39"/>
      <c r="N772" s="39"/>
      <c r="O772" s="39"/>
      <c r="P772" s="39"/>
      <c r="Q772" s="39"/>
      <c r="R772" s="39"/>
      <c r="S772" s="39"/>
    </row>
    <row r="773" spans="1:19" s="1" customFormat="1" ht="15" customHeight="1">
      <c r="A773" s="39"/>
      <c r="B773" s="39"/>
      <c r="C773" s="39"/>
      <c r="D773" s="39"/>
      <c r="E773" s="39"/>
      <c r="F773" s="39"/>
      <c r="G773" s="39"/>
      <c r="H773" s="39"/>
      <c r="I773" s="39"/>
      <c r="J773" s="39"/>
      <c r="K773" s="39"/>
      <c r="L773" s="39"/>
      <c r="M773" s="39"/>
      <c r="N773" s="39"/>
      <c r="O773" s="39"/>
      <c r="P773" s="39"/>
      <c r="Q773" s="39"/>
      <c r="R773" s="39"/>
      <c r="S773" s="39"/>
    </row>
    <row r="774" spans="1:19" s="1" customFormat="1" ht="15" customHeight="1">
      <c r="A774" s="39"/>
      <c r="B774" s="39"/>
      <c r="C774" s="39"/>
      <c r="D774" s="39"/>
      <c r="E774" s="39"/>
      <c r="F774" s="39"/>
      <c r="G774" s="39"/>
      <c r="H774" s="39"/>
      <c r="I774" s="39"/>
      <c r="J774" s="39"/>
      <c r="K774" s="39"/>
      <c r="L774" s="39"/>
      <c r="M774" s="39"/>
      <c r="N774" s="39"/>
      <c r="O774" s="39"/>
      <c r="P774" s="39"/>
      <c r="Q774" s="39"/>
      <c r="R774" s="39"/>
      <c r="S774" s="39"/>
    </row>
    <row r="775" spans="1:19" s="1" customFormat="1" ht="15" customHeight="1">
      <c r="A775" s="39"/>
      <c r="B775" s="39"/>
      <c r="C775" s="39"/>
      <c r="D775" s="39"/>
      <c r="E775" s="39"/>
      <c r="F775" s="39"/>
      <c r="G775" s="39"/>
      <c r="H775" s="39"/>
      <c r="I775" s="39"/>
      <c r="J775" s="39"/>
      <c r="K775" s="39"/>
      <c r="L775" s="39"/>
      <c r="M775" s="39"/>
      <c r="N775" s="39"/>
      <c r="O775" s="39"/>
      <c r="P775" s="39"/>
      <c r="Q775" s="39"/>
      <c r="R775" s="39"/>
      <c r="S775" s="39"/>
    </row>
    <row r="776" spans="1:19" s="1" customFormat="1" ht="15" customHeight="1">
      <c r="A776" s="39"/>
      <c r="B776" s="39"/>
      <c r="C776" s="39"/>
      <c r="D776" s="39"/>
      <c r="E776" s="39"/>
      <c r="F776" s="39"/>
      <c r="G776" s="39"/>
      <c r="H776" s="39"/>
      <c r="I776" s="39"/>
      <c r="J776" s="39"/>
      <c r="K776" s="39"/>
      <c r="L776" s="39"/>
      <c r="M776" s="39"/>
      <c r="N776" s="39"/>
      <c r="O776" s="39"/>
      <c r="P776" s="39"/>
      <c r="Q776" s="39"/>
      <c r="R776" s="39"/>
      <c r="S776" s="39"/>
    </row>
    <row r="777" spans="1:19" s="1" customFormat="1" ht="15" customHeight="1">
      <c r="A777" s="39"/>
      <c r="B777" s="39"/>
      <c r="C777" s="39"/>
      <c r="D777" s="39"/>
      <c r="E777" s="39"/>
      <c r="F777" s="39"/>
      <c r="G777" s="39"/>
      <c r="H777" s="39"/>
      <c r="I777" s="39"/>
      <c r="J777" s="39"/>
      <c r="K777" s="39"/>
      <c r="L777" s="39"/>
      <c r="M777" s="39"/>
      <c r="N777" s="39"/>
      <c r="O777" s="39"/>
      <c r="P777" s="39"/>
      <c r="Q777" s="39"/>
      <c r="R777" s="39"/>
      <c r="S777" s="39"/>
    </row>
    <row r="778" spans="1:19" s="1" customFormat="1" ht="15" customHeight="1">
      <c r="A778" s="39"/>
      <c r="B778" s="39"/>
      <c r="C778" s="39"/>
      <c r="D778" s="39"/>
      <c r="E778" s="39"/>
      <c r="F778" s="39"/>
      <c r="G778" s="39"/>
      <c r="H778" s="39"/>
      <c r="I778" s="39"/>
      <c r="J778" s="39"/>
      <c r="K778" s="39"/>
      <c r="L778" s="39"/>
      <c r="M778" s="39"/>
      <c r="N778" s="39"/>
      <c r="O778" s="39"/>
      <c r="P778" s="39"/>
      <c r="Q778" s="39"/>
      <c r="R778" s="39"/>
      <c r="S778" s="39"/>
    </row>
    <row r="779" spans="1:19" s="1" customFormat="1" ht="15" customHeight="1">
      <c r="A779" s="39"/>
      <c r="B779" s="39"/>
      <c r="C779" s="39"/>
      <c r="D779" s="39"/>
      <c r="E779" s="39"/>
      <c r="F779" s="39"/>
      <c r="G779" s="39"/>
      <c r="H779" s="39"/>
      <c r="I779" s="39"/>
      <c r="J779" s="39"/>
      <c r="K779" s="39"/>
      <c r="L779" s="39"/>
      <c r="M779" s="39"/>
      <c r="N779" s="39"/>
      <c r="O779" s="39"/>
      <c r="P779" s="39"/>
      <c r="Q779" s="39"/>
      <c r="R779" s="39"/>
      <c r="S779" s="39"/>
    </row>
    <row r="780" spans="1:19" s="1" customFormat="1" ht="15" customHeight="1">
      <c r="A780" s="39"/>
      <c r="B780" s="39"/>
      <c r="C780" s="39"/>
      <c r="D780" s="39"/>
      <c r="E780" s="39"/>
      <c r="F780" s="39"/>
      <c r="G780" s="39"/>
      <c r="H780" s="39"/>
      <c r="I780" s="39"/>
      <c r="J780" s="39"/>
      <c r="K780" s="39"/>
      <c r="L780" s="39"/>
      <c r="M780" s="39"/>
      <c r="N780" s="39"/>
      <c r="O780" s="39"/>
      <c r="P780" s="39"/>
      <c r="Q780" s="39"/>
      <c r="R780" s="39"/>
      <c r="S780" s="39"/>
    </row>
    <row r="781" spans="1:19" s="1" customFormat="1" ht="15" customHeight="1">
      <c r="A781" s="39"/>
      <c r="B781" s="39"/>
      <c r="C781" s="39"/>
      <c r="D781" s="39"/>
      <c r="E781" s="39"/>
      <c r="F781" s="39"/>
      <c r="G781" s="39"/>
      <c r="H781" s="39"/>
      <c r="I781" s="39"/>
      <c r="J781" s="39"/>
      <c r="K781" s="39"/>
      <c r="L781" s="39"/>
      <c r="M781" s="39"/>
      <c r="N781" s="39"/>
      <c r="O781" s="39"/>
      <c r="P781" s="39"/>
      <c r="Q781" s="39"/>
      <c r="R781" s="39"/>
      <c r="S781" s="39"/>
    </row>
    <row r="782" spans="1:19" s="1" customFormat="1" ht="15" customHeight="1">
      <c r="A782" s="39"/>
      <c r="B782" s="39"/>
      <c r="C782" s="39"/>
      <c r="D782" s="39"/>
      <c r="E782" s="39"/>
      <c r="F782" s="39"/>
      <c r="G782" s="39"/>
      <c r="H782" s="39"/>
      <c r="I782" s="39"/>
      <c r="J782" s="39"/>
      <c r="K782" s="39"/>
      <c r="L782" s="39"/>
      <c r="M782" s="39"/>
      <c r="N782" s="39"/>
      <c r="O782" s="39"/>
      <c r="P782" s="39"/>
      <c r="Q782" s="39"/>
      <c r="R782" s="39"/>
      <c r="S782" s="39"/>
    </row>
    <row r="783" spans="1:19" s="1" customFormat="1" ht="15" customHeight="1">
      <c r="A783" s="39"/>
      <c r="B783" s="39"/>
      <c r="C783" s="39"/>
      <c r="D783" s="39"/>
      <c r="E783" s="39"/>
      <c r="F783" s="39"/>
      <c r="G783" s="39"/>
      <c r="H783" s="39"/>
      <c r="I783" s="39"/>
      <c r="J783" s="39"/>
      <c r="K783" s="39"/>
      <c r="L783" s="39"/>
      <c r="M783" s="39"/>
      <c r="N783" s="39"/>
      <c r="O783" s="39"/>
      <c r="P783" s="39"/>
      <c r="Q783" s="39"/>
      <c r="R783" s="39"/>
      <c r="S783" s="39"/>
    </row>
    <row r="784" spans="1:19" s="1" customFormat="1" ht="15" customHeight="1">
      <c r="A784" s="39"/>
      <c r="B784" s="39"/>
      <c r="C784" s="39"/>
      <c r="D784" s="39"/>
      <c r="E784" s="39"/>
      <c r="F784" s="39"/>
      <c r="G784" s="39"/>
      <c r="H784" s="39"/>
      <c r="I784" s="39"/>
      <c r="J784" s="39"/>
      <c r="K784" s="39"/>
      <c r="L784" s="39"/>
      <c r="M784" s="39"/>
      <c r="N784" s="39"/>
      <c r="O784" s="39"/>
      <c r="P784" s="39"/>
      <c r="Q784" s="39"/>
      <c r="R784" s="39"/>
      <c r="S784" s="39"/>
    </row>
    <row r="785" spans="1:19" s="1" customFormat="1" ht="15" customHeight="1">
      <c r="A785" s="39"/>
      <c r="B785" s="39"/>
      <c r="C785" s="39"/>
      <c r="D785" s="39"/>
      <c r="E785" s="39"/>
      <c r="F785" s="39"/>
      <c r="G785" s="39"/>
      <c r="H785" s="39"/>
      <c r="I785" s="39"/>
      <c r="J785" s="39"/>
      <c r="K785" s="39"/>
      <c r="L785" s="39"/>
      <c r="M785" s="39"/>
      <c r="N785" s="39"/>
      <c r="O785" s="39"/>
      <c r="P785" s="39"/>
      <c r="Q785" s="39"/>
      <c r="R785" s="39"/>
      <c r="S785" s="39"/>
    </row>
    <row r="786" spans="1:19" s="1" customFormat="1" ht="15" customHeight="1">
      <c r="A786" s="39"/>
      <c r="B786" s="39"/>
      <c r="C786" s="39"/>
      <c r="D786" s="39"/>
      <c r="E786" s="39"/>
      <c r="F786" s="39"/>
      <c r="G786" s="39"/>
      <c r="H786" s="39"/>
      <c r="I786" s="39"/>
      <c r="J786" s="39"/>
      <c r="K786" s="39"/>
      <c r="L786" s="39"/>
      <c r="M786" s="39"/>
      <c r="N786" s="39"/>
      <c r="O786" s="39"/>
      <c r="P786" s="39"/>
      <c r="Q786" s="39"/>
      <c r="R786" s="39"/>
      <c r="S786" s="39"/>
    </row>
    <row r="787" spans="1:19" s="1" customFormat="1" ht="15" customHeight="1">
      <c r="A787" s="39"/>
      <c r="B787" s="39"/>
      <c r="C787" s="39"/>
      <c r="D787" s="39"/>
      <c r="E787" s="39"/>
      <c r="F787" s="39"/>
      <c r="G787" s="39"/>
      <c r="H787" s="39"/>
      <c r="I787" s="39"/>
      <c r="J787" s="39"/>
      <c r="K787" s="39"/>
      <c r="L787" s="39"/>
      <c r="M787" s="39"/>
      <c r="N787" s="39"/>
      <c r="O787" s="39"/>
      <c r="P787" s="39"/>
      <c r="Q787" s="39"/>
      <c r="R787" s="39"/>
      <c r="S787" s="39"/>
    </row>
    <row r="788" spans="1:19" s="1" customFormat="1" ht="15" customHeight="1">
      <c r="A788" s="39"/>
      <c r="B788" s="39"/>
      <c r="C788" s="39"/>
      <c r="D788" s="39"/>
      <c r="E788" s="39"/>
      <c r="F788" s="39"/>
      <c r="G788" s="39"/>
      <c r="H788" s="39"/>
      <c r="I788" s="39"/>
      <c r="J788" s="39"/>
      <c r="K788" s="39"/>
      <c r="L788" s="39"/>
      <c r="M788" s="39"/>
      <c r="N788" s="39"/>
      <c r="O788" s="39"/>
      <c r="P788" s="39"/>
      <c r="Q788" s="39"/>
      <c r="R788" s="39"/>
      <c r="S788" s="39"/>
    </row>
    <row r="789" spans="1:19" s="1" customFormat="1" ht="15" customHeight="1">
      <c r="A789" s="39"/>
      <c r="B789" s="39"/>
      <c r="C789" s="39"/>
      <c r="D789" s="39"/>
      <c r="E789" s="39"/>
      <c r="F789" s="39"/>
      <c r="G789" s="39"/>
      <c r="H789" s="39"/>
      <c r="I789" s="39"/>
      <c r="J789" s="39"/>
      <c r="K789" s="39"/>
      <c r="L789" s="39"/>
      <c r="M789" s="39"/>
      <c r="N789" s="39"/>
      <c r="O789" s="39"/>
      <c r="P789" s="39"/>
      <c r="Q789" s="39"/>
      <c r="R789" s="39"/>
      <c r="S789" s="39"/>
    </row>
    <row r="790" spans="1:19" s="1" customFormat="1" ht="15" customHeight="1">
      <c r="A790" s="39"/>
      <c r="B790" s="39"/>
      <c r="C790" s="39"/>
      <c r="D790" s="39"/>
      <c r="E790" s="39"/>
      <c r="F790" s="39"/>
      <c r="G790" s="39"/>
      <c r="H790" s="39"/>
      <c r="I790" s="39"/>
      <c r="J790" s="39"/>
      <c r="K790" s="39"/>
      <c r="L790" s="39"/>
      <c r="M790" s="39"/>
      <c r="N790" s="39"/>
      <c r="O790" s="39"/>
      <c r="P790" s="39"/>
      <c r="Q790" s="39"/>
      <c r="R790" s="39"/>
      <c r="S790" s="39"/>
    </row>
    <row r="791" spans="1:19" s="1" customFormat="1" ht="15" customHeight="1">
      <c r="A791" s="39"/>
      <c r="B791" s="39"/>
      <c r="C791" s="39"/>
      <c r="D791" s="39"/>
      <c r="E791" s="39"/>
      <c r="F791" s="39"/>
      <c r="G791" s="39"/>
      <c r="H791" s="39"/>
      <c r="I791" s="39"/>
      <c r="J791" s="39"/>
      <c r="K791" s="39"/>
      <c r="L791" s="39"/>
      <c r="M791" s="39"/>
      <c r="N791" s="39"/>
      <c r="O791" s="39"/>
      <c r="P791" s="39"/>
      <c r="Q791" s="39"/>
      <c r="R791" s="39"/>
      <c r="S791" s="39"/>
    </row>
    <row r="792" spans="1:19" s="1" customFormat="1" ht="15" customHeight="1">
      <c r="A792" s="39"/>
      <c r="B792" s="39"/>
      <c r="C792" s="39"/>
      <c r="D792" s="39"/>
      <c r="E792" s="39"/>
      <c r="F792" s="39"/>
      <c r="G792" s="39"/>
      <c r="H792" s="39"/>
      <c r="I792" s="39"/>
      <c r="J792" s="39"/>
      <c r="K792" s="39"/>
      <c r="L792" s="39"/>
      <c r="M792" s="39"/>
      <c r="N792" s="39"/>
      <c r="O792" s="39"/>
      <c r="P792" s="39"/>
      <c r="Q792" s="39"/>
      <c r="R792" s="39"/>
      <c r="S792" s="39"/>
    </row>
    <row r="793" spans="1:19" s="1" customFormat="1" ht="15" customHeight="1">
      <c r="A793" s="39"/>
      <c r="B793" s="39"/>
      <c r="C793" s="39"/>
      <c r="D793" s="39"/>
      <c r="E793" s="39"/>
      <c r="F793" s="39"/>
      <c r="G793" s="39"/>
      <c r="H793" s="39"/>
      <c r="I793" s="39"/>
      <c r="J793" s="39"/>
      <c r="K793" s="39"/>
      <c r="L793" s="39"/>
      <c r="M793" s="39"/>
      <c r="N793" s="39"/>
      <c r="O793" s="39"/>
      <c r="P793" s="39"/>
      <c r="Q793" s="39"/>
      <c r="R793" s="39"/>
      <c r="S793" s="39"/>
    </row>
    <row r="794" spans="1:19" s="1" customFormat="1" ht="15" customHeight="1">
      <c r="A794" s="39"/>
      <c r="B794" s="39"/>
      <c r="C794" s="39"/>
      <c r="D794" s="39"/>
      <c r="E794" s="39"/>
      <c r="F794" s="39"/>
      <c r="G794" s="39"/>
      <c r="H794" s="39"/>
      <c r="I794" s="39"/>
      <c r="J794" s="39"/>
      <c r="K794" s="39"/>
      <c r="L794" s="39"/>
      <c r="M794" s="39"/>
      <c r="N794" s="39"/>
      <c r="O794" s="39"/>
      <c r="P794" s="39"/>
      <c r="Q794" s="39"/>
      <c r="R794" s="39"/>
      <c r="S794" s="39"/>
    </row>
    <row r="795" spans="1:19" s="1" customFormat="1" ht="15" customHeight="1">
      <c r="A795" s="39"/>
      <c r="B795" s="39"/>
      <c r="C795" s="39"/>
      <c r="D795" s="39"/>
      <c r="E795" s="39"/>
      <c r="F795" s="39"/>
      <c r="G795" s="39"/>
      <c r="H795" s="39"/>
      <c r="I795" s="39"/>
      <c r="J795" s="39"/>
      <c r="K795" s="39"/>
      <c r="L795" s="39"/>
      <c r="M795" s="39"/>
      <c r="N795" s="39"/>
      <c r="O795" s="39"/>
      <c r="P795" s="39"/>
      <c r="Q795" s="39"/>
      <c r="R795" s="39"/>
      <c r="S795" s="39"/>
    </row>
    <row r="796" spans="1:19" s="1" customFormat="1" ht="15" customHeight="1">
      <c r="A796" s="39"/>
      <c r="B796" s="39"/>
      <c r="C796" s="39"/>
      <c r="D796" s="39"/>
      <c r="E796" s="39"/>
      <c r="F796" s="39"/>
      <c r="G796" s="39"/>
      <c r="H796" s="39"/>
      <c r="I796" s="39"/>
      <c r="J796" s="39"/>
      <c r="K796" s="39"/>
      <c r="L796" s="39"/>
      <c r="M796" s="39"/>
      <c r="N796" s="39"/>
      <c r="O796" s="39"/>
      <c r="P796" s="39"/>
      <c r="Q796" s="39"/>
      <c r="R796" s="39"/>
      <c r="S796" s="39"/>
    </row>
    <row r="797" spans="1:19" s="1" customFormat="1" ht="15" customHeight="1">
      <c r="A797" s="39"/>
      <c r="B797" s="39"/>
      <c r="C797" s="39"/>
      <c r="D797" s="39"/>
      <c r="E797" s="39"/>
      <c r="F797" s="39"/>
      <c r="G797" s="39"/>
      <c r="H797" s="39"/>
      <c r="I797" s="39"/>
      <c r="J797" s="39"/>
      <c r="K797" s="39"/>
      <c r="L797" s="39"/>
      <c r="M797" s="39"/>
      <c r="N797" s="39"/>
      <c r="O797" s="39"/>
      <c r="P797" s="39"/>
      <c r="Q797" s="39"/>
      <c r="R797" s="39"/>
      <c r="S797" s="39"/>
    </row>
    <row r="798" spans="1:19" s="1" customFormat="1" ht="15" customHeight="1">
      <c r="A798" s="39"/>
      <c r="B798" s="39"/>
      <c r="C798" s="39"/>
      <c r="D798" s="39"/>
      <c r="E798" s="39"/>
      <c r="F798" s="39"/>
      <c r="G798" s="39"/>
      <c r="H798" s="39"/>
      <c r="I798" s="39"/>
      <c r="J798" s="39"/>
      <c r="K798" s="39"/>
      <c r="L798" s="39"/>
      <c r="M798" s="39"/>
      <c r="N798" s="39"/>
      <c r="O798" s="39"/>
      <c r="P798" s="39"/>
      <c r="Q798" s="39"/>
      <c r="R798" s="39"/>
      <c r="S798" s="39"/>
    </row>
    <row r="799" spans="1:19" s="1" customFormat="1" ht="15" customHeight="1">
      <c r="A799" s="39"/>
      <c r="B799" s="39"/>
      <c r="C799" s="39"/>
      <c r="D799" s="39"/>
      <c r="E799" s="39"/>
      <c r="F799" s="39"/>
      <c r="G799" s="39"/>
      <c r="H799" s="39"/>
      <c r="I799" s="39"/>
      <c r="J799" s="39"/>
      <c r="K799" s="39"/>
      <c r="L799" s="39"/>
      <c r="M799" s="39"/>
      <c r="N799" s="39"/>
      <c r="O799" s="39"/>
      <c r="P799" s="39"/>
      <c r="Q799" s="39"/>
      <c r="R799" s="39"/>
      <c r="S799" s="39"/>
    </row>
    <row r="800" spans="1:19" s="1" customFormat="1" ht="15" customHeight="1">
      <c r="A800" s="39"/>
      <c r="B800" s="39"/>
      <c r="C800" s="39"/>
      <c r="D800" s="39"/>
      <c r="E800" s="39"/>
      <c r="F800" s="39"/>
      <c r="G800" s="39"/>
      <c r="H800" s="39"/>
      <c r="I800" s="39"/>
      <c r="J800" s="39"/>
      <c r="K800" s="39"/>
      <c r="L800" s="39"/>
      <c r="M800" s="39"/>
      <c r="N800" s="39"/>
      <c r="O800" s="39"/>
      <c r="P800" s="39"/>
      <c r="Q800" s="39"/>
      <c r="R800" s="39"/>
      <c r="S800" s="39"/>
    </row>
    <row r="801" spans="1:19" s="1" customFormat="1" ht="15" customHeight="1">
      <c r="A801" s="39"/>
      <c r="B801" s="39"/>
      <c r="C801" s="39"/>
      <c r="D801" s="39"/>
      <c r="E801" s="39"/>
      <c r="F801" s="39"/>
      <c r="G801" s="39"/>
      <c r="H801" s="39"/>
      <c r="I801" s="39"/>
      <c r="J801" s="39"/>
      <c r="K801" s="39"/>
      <c r="L801" s="39"/>
      <c r="M801" s="39"/>
      <c r="N801" s="39"/>
      <c r="O801" s="39"/>
      <c r="P801" s="39"/>
      <c r="Q801" s="39"/>
      <c r="R801" s="39"/>
      <c r="S801" s="39"/>
    </row>
    <row r="802" spans="1:19" s="1" customFormat="1" ht="15" customHeight="1">
      <c r="A802" s="39"/>
      <c r="B802" s="39"/>
      <c r="C802" s="39"/>
      <c r="D802" s="39"/>
      <c r="E802" s="39"/>
      <c r="F802" s="39"/>
      <c r="G802" s="39"/>
      <c r="H802" s="39"/>
      <c r="I802" s="39"/>
      <c r="J802" s="39"/>
      <c r="K802" s="39"/>
      <c r="L802" s="39"/>
      <c r="M802" s="39"/>
      <c r="N802" s="39"/>
      <c r="O802" s="39"/>
      <c r="P802" s="39"/>
      <c r="Q802" s="39"/>
      <c r="R802" s="39"/>
      <c r="S802" s="39"/>
    </row>
    <row r="803" spans="1:19" s="1" customFormat="1" ht="15" customHeight="1">
      <c r="A803" s="39"/>
      <c r="B803" s="39"/>
      <c r="C803" s="39"/>
      <c r="D803" s="39"/>
      <c r="E803" s="39"/>
      <c r="F803" s="39"/>
      <c r="G803" s="39"/>
      <c r="H803" s="39"/>
      <c r="I803" s="39"/>
      <c r="J803" s="39"/>
      <c r="K803" s="39"/>
      <c r="L803" s="39"/>
      <c r="M803" s="39"/>
      <c r="N803" s="39"/>
      <c r="O803" s="39"/>
      <c r="P803" s="39"/>
      <c r="Q803" s="39"/>
      <c r="R803" s="39"/>
      <c r="S803" s="39"/>
    </row>
    <row r="804" spans="1:19" s="1" customFormat="1" ht="15" customHeight="1">
      <c r="A804" s="39"/>
      <c r="B804" s="39"/>
      <c r="C804" s="39"/>
      <c r="D804" s="39"/>
      <c r="E804" s="39"/>
      <c r="F804" s="39"/>
      <c r="G804" s="39"/>
      <c r="H804" s="39"/>
      <c r="I804" s="39"/>
      <c r="J804" s="39"/>
      <c r="K804" s="39"/>
      <c r="L804" s="39"/>
      <c r="M804" s="39"/>
      <c r="N804" s="39"/>
      <c r="O804" s="39"/>
      <c r="P804" s="39"/>
      <c r="Q804" s="39"/>
      <c r="R804" s="39"/>
      <c r="S804" s="39"/>
    </row>
    <row r="805" spans="1:19" s="1" customFormat="1" ht="15" customHeight="1">
      <c r="A805" s="39"/>
      <c r="B805" s="39"/>
      <c r="C805" s="39"/>
      <c r="D805" s="39"/>
      <c r="E805" s="39"/>
      <c r="F805" s="39"/>
      <c r="G805" s="39"/>
      <c r="H805" s="39"/>
      <c r="I805" s="39"/>
      <c r="J805" s="39"/>
      <c r="K805" s="39"/>
      <c r="L805" s="39"/>
      <c r="M805" s="39"/>
      <c r="N805" s="39"/>
      <c r="O805" s="39"/>
      <c r="P805" s="39"/>
      <c r="Q805" s="39"/>
      <c r="R805" s="39"/>
      <c r="S805" s="39"/>
    </row>
    <row r="806" spans="1:19" s="1" customFormat="1" ht="15" customHeight="1">
      <c r="A806" s="39"/>
      <c r="B806" s="39"/>
      <c r="C806" s="39"/>
      <c r="D806" s="39"/>
      <c r="E806" s="39"/>
      <c r="F806" s="39"/>
      <c r="G806" s="39"/>
      <c r="H806" s="39"/>
      <c r="I806" s="39"/>
      <c r="J806" s="39"/>
      <c r="K806" s="39"/>
      <c r="L806" s="39"/>
      <c r="M806" s="39"/>
      <c r="N806" s="39"/>
      <c r="O806" s="39"/>
      <c r="P806" s="39"/>
      <c r="Q806" s="39"/>
      <c r="R806" s="39"/>
      <c r="S806" s="39"/>
    </row>
    <row r="807" spans="1:19" s="1" customFormat="1" ht="15" customHeight="1">
      <c r="A807" s="39"/>
      <c r="B807" s="39"/>
      <c r="C807" s="39"/>
      <c r="D807" s="39"/>
      <c r="E807" s="39"/>
      <c r="F807" s="39"/>
      <c r="G807" s="39"/>
      <c r="H807" s="39"/>
      <c r="I807" s="39"/>
      <c r="J807" s="39"/>
      <c r="K807" s="39"/>
      <c r="L807" s="39"/>
      <c r="M807" s="39"/>
      <c r="N807" s="39"/>
      <c r="O807" s="39"/>
      <c r="P807" s="39"/>
      <c r="Q807" s="39"/>
      <c r="R807" s="39"/>
      <c r="S807" s="39"/>
    </row>
    <row r="808" spans="1:19" s="1" customFormat="1" ht="15" customHeight="1">
      <c r="A808" s="39"/>
      <c r="B808" s="39"/>
      <c r="C808" s="39"/>
      <c r="D808" s="39"/>
      <c r="E808" s="39"/>
      <c r="F808" s="39"/>
      <c r="G808" s="39"/>
      <c r="H808" s="39"/>
      <c r="I808" s="39"/>
      <c r="J808" s="39"/>
      <c r="K808" s="39"/>
      <c r="L808" s="39"/>
      <c r="M808" s="39"/>
      <c r="N808" s="39"/>
      <c r="O808" s="39"/>
      <c r="P808" s="39"/>
      <c r="Q808" s="39"/>
      <c r="R808" s="39"/>
      <c r="S808" s="39"/>
    </row>
    <row r="809" spans="1:19" s="1" customFormat="1" ht="15" customHeight="1">
      <c r="A809" s="39"/>
      <c r="B809" s="39"/>
      <c r="C809" s="39"/>
      <c r="D809" s="39"/>
      <c r="E809" s="39"/>
      <c r="F809" s="39"/>
      <c r="G809" s="39"/>
      <c r="H809" s="39"/>
      <c r="I809" s="39"/>
      <c r="J809" s="39"/>
      <c r="K809" s="39"/>
      <c r="L809" s="39"/>
      <c r="M809" s="39"/>
      <c r="N809" s="39"/>
      <c r="O809" s="39"/>
      <c r="P809" s="39"/>
      <c r="Q809" s="39"/>
      <c r="R809" s="39"/>
      <c r="S809" s="39"/>
    </row>
    <row r="810" spans="1:19" s="1" customFormat="1" ht="15" customHeight="1">
      <c r="A810" s="39"/>
      <c r="B810" s="39"/>
      <c r="C810" s="39"/>
      <c r="D810" s="39"/>
      <c r="E810" s="39"/>
      <c r="F810" s="39"/>
      <c r="G810" s="39"/>
      <c r="H810" s="39"/>
      <c r="I810" s="39"/>
      <c r="J810" s="39"/>
      <c r="K810" s="39"/>
      <c r="L810" s="39"/>
      <c r="M810" s="39"/>
      <c r="N810" s="39"/>
      <c r="O810" s="39"/>
      <c r="P810" s="39"/>
      <c r="Q810" s="39"/>
      <c r="R810" s="39"/>
      <c r="S810" s="39"/>
    </row>
    <row r="811" spans="1:19" s="1" customFormat="1" ht="15" customHeight="1">
      <c r="A811" s="39"/>
      <c r="B811" s="39"/>
      <c r="C811" s="39"/>
      <c r="D811" s="39"/>
      <c r="E811" s="39"/>
      <c r="F811" s="39"/>
      <c r="G811" s="39"/>
      <c r="H811" s="39"/>
      <c r="I811" s="39"/>
      <c r="J811" s="39"/>
      <c r="K811" s="39"/>
      <c r="L811" s="39"/>
      <c r="M811" s="39"/>
      <c r="N811" s="39"/>
      <c r="O811" s="39"/>
      <c r="P811" s="39"/>
      <c r="Q811" s="39"/>
      <c r="R811" s="39"/>
      <c r="S811" s="39"/>
    </row>
    <row r="812" spans="1:19" s="1" customFormat="1" ht="15" customHeight="1">
      <c r="A812" s="39"/>
      <c r="B812" s="39"/>
      <c r="C812" s="39"/>
      <c r="D812" s="39"/>
      <c r="E812" s="39"/>
      <c r="F812" s="39"/>
      <c r="G812" s="39"/>
      <c r="H812" s="39"/>
      <c r="I812" s="39"/>
      <c r="J812" s="39"/>
      <c r="K812" s="39"/>
      <c r="L812" s="39"/>
      <c r="M812" s="39"/>
      <c r="N812" s="39"/>
      <c r="O812" s="39"/>
      <c r="P812" s="39"/>
      <c r="Q812" s="39"/>
      <c r="R812" s="39"/>
      <c r="S812" s="39"/>
    </row>
    <row r="813" spans="1:19" s="1" customFormat="1" ht="15" customHeight="1">
      <c r="A813" s="39"/>
      <c r="B813" s="39"/>
      <c r="C813" s="39"/>
      <c r="D813" s="39"/>
      <c r="E813" s="39"/>
      <c r="F813" s="39"/>
      <c r="G813" s="39"/>
      <c r="H813" s="39"/>
      <c r="I813" s="39"/>
      <c r="J813" s="39"/>
      <c r="K813" s="39"/>
      <c r="L813" s="39"/>
      <c r="M813" s="39"/>
      <c r="N813" s="39"/>
      <c r="O813" s="39"/>
      <c r="P813" s="39"/>
      <c r="Q813" s="39"/>
      <c r="R813" s="39"/>
      <c r="S813" s="39"/>
    </row>
    <row r="814" spans="1:19" s="1" customFormat="1" ht="15" customHeight="1">
      <c r="A814" s="39"/>
      <c r="B814" s="39"/>
      <c r="C814" s="39"/>
      <c r="D814" s="39"/>
      <c r="E814" s="39"/>
      <c r="F814" s="39"/>
      <c r="G814" s="39"/>
      <c r="H814" s="39"/>
      <c r="I814" s="39"/>
      <c r="J814" s="39"/>
      <c r="K814" s="39"/>
      <c r="L814" s="39"/>
      <c r="M814" s="39"/>
      <c r="N814" s="39"/>
      <c r="O814" s="39"/>
      <c r="P814" s="39"/>
      <c r="Q814" s="39"/>
      <c r="R814" s="39"/>
      <c r="S814" s="39"/>
    </row>
    <row r="815" spans="1:19" s="1" customFormat="1" ht="15" customHeight="1">
      <c r="A815" s="39"/>
      <c r="B815" s="39"/>
      <c r="C815" s="39"/>
      <c r="D815" s="39"/>
      <c r="E815" s="39"/>
      <c r="F815" s="39"/>
      <c r="G815" s="39"/>
      <c r="H815" s="39"/>
      <c r="I815" s="39"/>
      <c r="J815" s="39"/>
      <c r="K815" s="39"/>
      <c r="L815" s="39"/>
      <c r="M815" s="39"/>
      <c r="N815" s="39"/>
      <c r="O815" s="39"/>
      <c r="P815" s="39"/>
      <c r="Q815" s="39"/>
      <c r="R815" s="39"/>
      <c r="S815" s="39"/>
    </row>
    <row r="816" spans="1:19" s="1" customFormat="1" ht="15" customHeight="1">
      <c r="A816" s="39"/>
      <c r="B816" s="39"/>
      <c r="C816" s="39"/>
      <c r="D816" s="39"/>
      <c r="E816" s="39"/>
      <c r="F816" s="39"/>
      <c r="G816" s="39"/>
      <c r="H816" s="39"/>
      <c r="I816" s="39"/>
      <c r="J816" s="39"/>
      <c r="K816" s="39"/>
      <c r="L816" s="39"/>
      <c r="M816" s="39"/>
      <c r="N816" s="39"/>
      <c r="O816" s="39"/>
      <c r="P816" s="39"/>
      <c r="Q816" s="39"/>
      <c r="R816" s="39"/>
      <c r="S816" s="39"/>
    </row>
    <row r="817" spans="1:19" s="1" customFormat="1" ht="15" customHeight="1">
      <c r="A817" s="39"/>
      <c r="B817" s="39"/>
      <c r="C817" s="39"/>
      <c r="D817" s="39"/>
      <c r="E817" s="39"/>
      <c r="F817" s="39"/>
      <c r="G817" s="39"/>
      <c r="H817" s="39"/>
      <c r="I817" s="39"/>
      <c r="J817" s="39"/>
      <c r="K817" s="39"/>
      <c r="L817" s="39"/>
      <c r="M817" s="39"/>
      <c r="N817" s="39"/>
      <c r="O817" s="39"/>
      <c r="P817" s="39"/>
      <c r="Q817" s="39"/>
      <c r="R817" s="39"/>
      <c r="S817" s="39"/>
    </row>
    <row r="818" spans="1:19" s="1" customFormat="1" ht="15" customHeight="1">
      <c r="A818" s="39"/>
      <c r="B818" s="39"/>
      <c r="C818" s="39"/>
      <c r="D818" s="39"/>
      <c r="E818" s="39"/>
      <c r="F818" s="39"/>
      <c r="G818" s="39"/>
      <c r="H818" s="39"/>
      <c r="I818" s="39"/>
      <c r="J818" s="39"/>
      <c r="K818" s="39"/>
      <c r="L818" s="39"/>
      <c r="M818" s="39"/>
      <c r="N818" s="39"/>
      <c r="O818" s="39"/>
      <c r="P818" s="39"/>
      <c r="Q818" s="39"/>
      <c r="R818" s="39"/>
      <c r="S818" s="39"/>
    </row>
    <row r="819" spans="1:19" s="1" customFormat="1" ht="15" customHeight="1">
      <c r="A819" s="39"/>
      <c r="B819" s="39"/>
      <c r="C819" s="39"/>
      <c r="D819" s="39"/>
      <c r="E819" s="39"/>
      <c r="F819" s="39"/>
      <c r="G819" s="39"/>
      <c r="H819" s="39"/>
      <c r="I819" s="39"/>
      <c r="J819" s="39"/>
      <c r="K819" s="39"/>
      <c r="L819" s="39"/>
      <c r="M819" s="39"/>
      <c r="N819" s="39"/>
      <c r="O819" s="39"/>
      <c r="P819" s="39"/>
      <c r="Q819" s="39"/>
      <c r="R819" s="39"/>
      <c r="S819" s="39"/>
    </row>
    <row r="820" spans="1:19" s="1" customFormat="1" ht="15" customHeight="1">
      <c r="A820" s="39"/>
      <c r="B820" s="39"/>
      <c r="C820" s="39"/>
      <c r="D820" s="39"/>
      <c r="E820" s="39"/>
      <c r="F820" s="39"/>
      <c r="G820" s="39"/>
      <c r="H820" s="39"/>
      <c r="I820" s="39"/>
      <c r="J820" s="39"/>
      <c r="K820" s="39"/>
      <c r="L820" s="39"/>
      <c r="M820" s="39"/>
      <c r="N820" s="39"/>
      <c r="O820" s="39"/>
      <c r="P820" s="39"/>
      <c r="Q820" s="39"/>
      <c r="R820" s="39"/>
      <c r="S820" s="39"/>
    </row>
    <row r="821" spans="1:19" s="1" customFormat="1" ht="15" customHeight="1">
      <c r="A821" s="39"/>
      <c r="B821" s="39"/>
      <c r="C821" s="39"/>
      <c r="D821" s="39"/>
      <c r="E821" s="39"/>
      <c r="F821" s="39"/>
      <c r="G821" s="39"/>
      <c r="H821" s="39"/>
      <c r="I821" s="39"/>
      <c r="J821" s="39"/>
      <c r="K821" s="39"/>
      <c r="L821" s="39"/>
      <c r="M821" s="39"/>
      <c r="N821" s="39"/>
      <c r="O821" s="39"/>
      <c r="P821" s="39"/>
      <c r="Q821" s="39"/>
      <c r="R821" s="39"/>
      <c r="S821" s="39"/>
    </row>
    <row r="822" spans="1:19" s="1" customFormat="1" ht="15" customHeight="1">
      <c r="A822" s="39"/>
      <c r="B822" s="39"/>
      <c r="C822" s="39"/>
      <c r="D822" s="39"/>
      <c r="E822" s="39"/>
      <c r="F822" s="39"/>
      <c r="G822" s="39"/>
      <c r="H822" s="39"/>
      <c r="I822" s="39"/>
      <c r="J822" s="39"/>
      <c r="K822" s="39"/>
      <c r="L822" s="39"/>
      <c r="M822" s="39"/>
      <c r="N822" s="39"/>
      <c r="O822" s="39"/>
      <c r="P822" s="39"/>
      <c r="Q822" s="39"/>
      <c r="R822" s="39"/>
      <c r="S822" s="39"/>
    </row>
    <row r="823" spans="1:19" s="1" customFormat="1" ht="15" customHeight="1">
      <c r="A823" s="39"/>
      <c r="B823" s="39"/>
      <c r="C823" s="39"/>
      <c r="D823" s="39"/>
      <c r="E823" s="39"/>
      <c r="F823" s="39"/>
      <c r="G823" s="39"/>
      <c r="H823" s="39"/>
      <c r="I823" s="39"/>
      <c r="J823" s="39"/>
      <c r="K823" s="39"/>
      <c r="L823" s="39"/>
      <c r="M823" s="39"/>
      <c r="N823" s="39"/>
      <c r="O823" s="39"/>
      <c r="P823" s="39"/>
      <c r="Q823" s="39"/>
      <c r="R823" s="39"/>
      <c r="S823" s="39"/>
    </row>
    <row r="824" spans="1:19" s="1" customFormat="1" ht="15" customHeight="1">
      <c r="A824" s="39"/>
      <c r="B824" s="39"/>
      <c r="C824" s="39"/>
      <c r="D824" s="39"/>
      <c r="E824" s="39"/>
      <c r="F824" s="39"/>
      <c r="G824" s="39"/>
      <c r="H824" s="39"/>
      <c r="I824" s="39"/>
      <c r="J824" s="39"/>
      <c r="K824" s="39"/>
      <c r="L824" s="39"/>
      <c r="M824" s="39"/>
      <c r="N824" s="39"/>
      <c r="O824" s="39"/>
      <c r="P824" s="39"/>
      <c r="Q824" s="39"/>
      <c r="R824" s="39"/>
      <c r="S824" s="39"/>
    </row>
    <row r="825" spans="1:19" s="1" customFormat="1" ht="15" customHeight="1">
      <c r="A825" s="39"/>
      <c r="B825" s="39"/>
      <c r="C825" s="39"/>
      <c r="D825" s="39"/>
      <c r="E825" s="39"/>
      <c r="F825" s="39"/>
      <c r="G825" s="39"/>
      <c r="H825" s="39"/>
      <c r="I825" s="39"/>
      <c r="J825" s="39"/>
      <c r="K825" s="39"/>
      <c r="L825" s="39"/>
      <c r="M825" s="39"/>
      <c r="N825" s="39"/>
      <c r="O825" s="39"/>
      <c r="P825" s="39"/>
      <c r="Q825" s="39"/>
      <c r="R825" s="39"/>
      <c r="S825" s="39"/>
    </row>
    <row r="826" spans="1:19" s="1" customFormat="1" ht="15" customHeight="1">
      <c r="A826" s="39"/>
      <c r="B826" s="39"/>
      <c r="C826" s="39"/>
      <c r="D826" s="39"/>
      <c r="E826" s="39"/>
      <c r="F826" s="39"/>
      <c r="G826" s="39"/>
      <c r="H826" s="39"/>
      <c r="I826" s="39"/>
      <c r="J826" s="39"/>
      <c r="K826" s="39"/>
      <c r="L826" s="39"/>
      <c r="M826" s="39"/>
      <c r="N826" s="39"/>
      <c r="O826" s="39"/>
      <c r="P826" s="39"/>
      <c r="Q826" s="39"/>
      <c r="R826" s="39"/>
      <c r="S826" s="39"/>
    </row>
    <row r="827" spans="1:19" s="1" customFormat="1" ht="15" customHeight="1">
      <c r="A827" s="39"/>
      <c r="B827" s="39"/>
      <c r="C827" s="39"/>
      <c r="D827" s="39"/>
      <c r="E827" s="39"/>
      <c r="F827" s="39"/>
      <c r="G827" s="39"/>
      <c r="H827" s="39"/>
      <c r="I827" s="39"/>
      <c r="J827" s="39"/>
      <c r="K827" s="39"/>
      <c r="L827" s="39"/>
      <c r="M827" s="39"/>
      <c r="N827" s="39"/>
      <c r="O827" s="39"/>
      <c r="P827" s="39"/>
      <c r="Q827" s="39"/>
      <c r="R827" s="39"/>
      <c r="S827" s="39"/>
    </row>
    <row r="828" spans="1:19" s="1" customFormat="1" ht="15" customHeight="1">
      <c r="A828" s="39"/>
      <c r="B828" s="39"/>
      <c r="C828" s="39"/>
      <c r="D828" s="39"/>
      <c r="E828" s="39"/>
      <c r="F828" s="39"/>
      <c r="G828" s="39"/>
      <c r="H828" s="39"/>
      <c r="I828" s="39"/>
      <c r="J828" s="39"/>
      <c r="K828" s="39"/>
      <c r="L828" s="39"/>
      <c r="M828" s="39"/>
      <c r="N828" s="39"/>
      <c r="O828" s="39"/>
      <c r="P828" s="39"/>
      <c r="Q828" s="39"/>
      <c r="R828" s="39"/>
      <c r="S828" s="39"/>
    </row>
    <row r="829" spans="1:19" s="1" customFormat="1" ht="15" customHeight="1">
      <c r="A829" s="39"/>
      <c r="B829" s="39"/>
      <c r="C829" s="39"/>
      <c r="D829" s="39"/>
      <c r="E829" s="39"/>
      <c r="F829" s="39"/>
      <c r="G829" s="39"/>
      <c r="H829" s="39"/>
      <c r="I829" s="39"/>
      <c r="J829" s="39"/>
      <c r="K829" s="39"/>
      <c r="L829" s="39"/>
      <c r="M829" s="39"/>
      <c r="N829" s="39"/>
      <c r="O829" s="39"/>
      <c r="P829" s="39"/>
      <c r="Q829" s="39"/>
      <c r="R829" s="39"/>
      <c r="S829" s="39"/>
    </row>
    <row r="830" spans="1:19" s="1" customFormat="1" ht="15" customHeight="1">
      <c r="A830" s="39"/>
      <c r="B830" s="39"/>
      <c r="C830" s="39"/>
      <c r="D830" s="39"/>
      <c r="E830" s="39"/>
      <c r="F830" s="39"/>
      <c r="G830" s="39"/>
      <c r="H830" s="39"/>
      <c r="I830" s="39"/>
      <c r="J830" s="39"/>
      <c r="K830" s="39"/>
      <c r="L830" s="39"/>
      <c r="M830" s="39"/>
      <c r="N830" s="39"/>
      <c r="O830" s="39"/>
      <c r="P830" s="39"/>
      <c r="Q830" s="39"/>
      <c r="R830" s="39"/>
      <c r="S830" s="39"/>
    </row>
    <row r="831" spans="1:19" s="1" customFormat="1" ht="15" customHeight="1">
      <c r="A831" s="39"/>
      <c r="B831" s="39"/>
      <c r="C831" s="39"/>
      <c r="D831" s="39"/>
      <c r="E831" s="39"/>
      <c r="F831" s="39"/>
      <c r="G831" s="39"/>
      <c r="H831" s="39"/>
      <c r="I831" s="39"/>
      <c r="J831" s="39"/>
      <c r="K831" s="39"/>
      <c r="L831" s="39"/>
      <c r="M831" s="39"/>
      <c r="N831" s="39"/>
      <c r="O831" s="39"/>
      <c r="P831" s="39"/>
      <c r="Q831" s="39"/>
      <c r="R831" s="39"/>
      <c r="S831" s="39"/>
    </row>
    <row r="832" spans="1:19" s="1" customFormat="1" ht="15" customHeight="1">
      <c r="A832" s="39"/>
      <c r="B832" s="39"/>
      <c r="C832" s="39"/>
      <c r="D832" s="39"/>
      <c r="E832" s="39"/>
      <c r="F832" s="39"/>
      <c r="G832" s="39"/>
      <c r="H832" s="39"/>
      <c r="I832" s="39"/>
      <c r="J832" s="39"/>
      <c r="K832" s="39"/>
      <c r="L832" s="39"/>
      <c r="M832" s="39"/>
      <c r="N832" s="39"/>
      <c r="O832" s="39"/>
      <c r="P832" s="39"/>
      <c r="Q832" s="39"/>
      <c r="R832" s="39"/>
      <c r="S832" s="39"/>
    </row>
    <row r="833" spans="1:19" s="1" customFormat="1" ht="15" customHeight="1">
      <c r="A833" s="39"/>
      <c r="B833" s="39"/>
      <c r="C833" s="39"/>
      <c r="D833" s="39"/>
      <c r="E833" s="39"/>
      <c r="F833" s="39"/>
      <c r="G833" s="39"/>
      <c r="H833" s="39"/>
      <c r="I833" s="39"/>
      <c r="J833" s="39"/>
      <c r="K833" s="39"/>
      <c r="L833" s="39"/>
      <c r="M833" s="39"/>
      <c r="N833" s="39"/>
      <c r="O833" s="39"/>
      <c r="P833" s="39"/>
      <c r="Q833" s="39"/>
      <c r="R833" s="39"/>
      <c r="S833" s="39"/>
    </row>
    <row r="834" spans="1:19" s="1" customFormat="1" ht="15" customHeight="1">
      <c r="A834" s="39"/>
      <c r="B834" s="39"/>
      <c r="C834" s="39"/>
      <c r="D834" s="39"/>
      <c r="E834" s="39"/>
      <c r="F834" s="39"/>
      <c r="G834" s="39"/>
      <c r="H834" s="39"/>
      <c r="I834" s="39"/>
      <c r="J834" s="39"/>
      <c r="K834" s="39"/>
      <c r="L834" s="39"/>
      <c r="M834" s="39"/>
      <c r="N834" s="39"/>
      <c r="O834" s="39"/>
      <c r="P834" s="39"/>
      <c r="Q834" s="39"/>
      <c r="R834" s="39"/>
      <c r="S834" s="39"/>
    </row>
    <row r="835" spans="1:19" s="1" customFormat="1" ht="15" customHeight="1">
      <c r="A835" s="39"/>
      <c r="B835" s="39"/>
      <c r="C835" s="39"/>
      <c r="D835" s="39"/>
      <c r="E835" s="39"/>
      <c r="F835" s="39"/>
      <c r="G835" s="39"/>
      <c r="H835" s="39"/>
      <c r="I835" s="39"/>
      <c r="J835" s="39"/>
      <c r="K835" s="39"/>
      <c r="L835" s="39"/>
      <c r="M835" s="39"/>
      <c r="N835" s="39"/>
      <c r="O835" s="39"/>
      <c r="P835" s="39"/>
      <c r="Q835" s="39"/>
      <c r="R835" s="39"/>
      <c r="S835" s="39"/>
    </row>
    <row r="836" spans="1:19" s="1" customFormat="1" ht="15" customHeight="1">
      <c r="A836" s="39"/>
      <c r="B836" s="39"/>
      <c r="C836" s="39"/>
      <c r="D836" s="39"/>
      <c r="E836" s="39"/>
      <c r="F836" s="39"/>
      <c r="G836" s="39"/>
      <c r="H836" s="39"/>
      <c r="I836" s="39"/>
      <c r="J836" s="39"/>
      <c r="K836" s="39"/>
      <c r="L836" s="39"/>
      <c r="M836" s="39"/>
      <c r="N836" s="39"/>
      <c r="O836" s="39"/>
      <c r="P836" s="39"/>
      <c r="Q836" s="39"/>
      <c r="R836" s="39"/>
      <c r="S836" s="39"/>
    </row>
    <row r="837" spans="1:19" s="1" customFormat="1" ht="15" customHeight="1">
      <c r="A837" s="39"/>
      <c r="B837" s="39"/>
      <c r="C837" s="39"/>
      <c r="D837" s="39"/>
      <c r="E837" s="39"/>
      <c r="F837" s="39"/>
      <c r="G837" s="39"/>
      <c r="H837" s="39"/>
      <c r="I837" s="39"/>
      <c r="J837" s="39"/>
      <c r="K837" s="39"/>
      <c r="L837" s="39"/>
      <c r="M837" s="39"/>
      <c r="N837" s="39"/>
      <c r="O837" s="39"/>
      <c r="P837" s="39"/>
      <c r="Q837" s="39"/>
      <c r="R837" s="39"/>
      <c r="S837" s="39"/>
    </row>
    <row r="838" spans="1:19" s="1" customFormat="1" ht="15" customHeight="1">
      <c r="A838" s="39"/>
      <c r="B838" s="39"/>
      <c r="C838" s="39"/>
      <c r="D838" s="39"/>
      <c r="E838" s="39"/>
      <c r="F838" s="39"/>
      <c r="G838" s="39"/>
      <c r="H838" s="39"/>
      <c r="I838" s="39"/>
      <c r="J838" s="39"/>
      <c r="K838" s="39"/>
      <c r="L838" s="39"/>
      <c r="M838" s="39"/>
      <c r="N838" s="39"/>
      <c r="O838" s="39"/>
      <c r="P838" s="39"/>
      <c r="Q838" s="39"/>
      <c r="R838" s="39"/>
      <c r="S838" s="39"/>
    </row>
    <row r="839" spans="1:19" s="1" customFormat="1" ht="15" customHeight="1">
      <c r="A839" s="39"/>
      <c r="B839" s="39"/>
      <c r="C839" s="39"/>
      <c r="D839" s="39"/>
      <c r="E839" s="39"/>
      <c r="F839" s="39"/>
      <c r="G839" s="39"/>
      <c r="H839" s="39"/>
      <c r="I839" s="39"/>
      <c r="J839" s="39"/>
      <c r="K839" s="39"/>
      <c r="L839" s="39"/>
      <c r="M839" s="39"/>
      <c r="N839" s="39"/>
      <c r="O839" s="39"/>
      <c r="P839" s="39"/>
      <c r="Q839" s="39"/>
      <c r="R839" s="39"/>
      <c r="S839" s="39"/>
    </row>
    <row r="840" spans="1:19" s="1" customFormat="1" ht="15" customHeight="1">
      <c r="A840" s="39"/>
      <c r="B840" s="39"/>
      <c r="C840" s="39"/>
      <c r="D840" s="39"/>
      <c r="E840" s="39"/>
      <c r="F840" s="39"/>
      <c r="G840" s="39"/>
      <c r="H840" s="39"/>
      <c r="I840" s="39"/>
      <c r="J840" s="39"/>
      <c r="K840" s="39"/>
      <c r="L840" s="39"/>
      <c r="M840" s="39"/>
      <c r="N840" s="39"/>
      <c r="O840" s="39"/>
      <c r="P840" s="39"/>
      <c r="Q840" s="39"/>
      <c r="R840" s="39"/>
      <c r="S840" s="39"/>
    </row>
    <row r="841" spans="1:19" s="1" customFormat="1" ht="15" customHeight="1">
      <c r="A841" s="39"/>
      <c r="B841" s="39"/>
      <c r="C841" s="39"/>
      <c r="D841" s="39"/>
      <c r="E841" s="39"/>
      <c r="F841" s="39"/>
      <c r="G841" s="39"/>
      <c r="H841" s="39"/>
      <c r="I841" s="39"/>
      <c r="J841" s="39"/>
      <c r="K841" s="39"/>
      <c r="L841" s="39"/>
      <c r="M841" s="39"/>
      <c r="N841" s="39"/>
      <c r="O841" s="39"/>
      <c r="P841" s="39"/>
      <c r="Q841" s="39"/>
      <c r="R841" s="39"/>
      <c r="S841" s="39"/>
    </row>
    <row r="842" spans="1:19" s="1" customFormat="1" ht="15" customHeight="1">
      <c r="A842" s="39"/>
      <c r="B842" s="39"/>
      <c r="C842" s="39"/>
      <c r="D842" s="39"/>
      <c r="E842" s="39"/>
      <c r="F842" s="39"/>
      <c r="G842" s="39"/>
      <c r="H842" s="39"/>
      <c r="I842" s="39"/>
      <c r="J842" s="39"/>
      <c r="K842" s="39"/>
      <c r="L842" s="39"/>
      <c r="M842" s="39"/>
      <c r="N842" s="39"/>
      <c r="O842" s="39"/>
      <c r="P842" s="39"/>
      <c r="Q842" s="39"/>
      <c r="R842" s="39"/>
      <c r="S842" s="39"/>
    </row>
    <row r="843" spans="1:19" s="1" customFormat="1" ht="15" customHeight="1">
      <c r="A843" s="39"/>
      <c r="B843" s="39"/>
      <c r="C843" s="39"/>
      <c r="D843" s="39"/>
      <c r="E843" s="39"/>
      <c r="F843" s="39"/>
      <c r="G843" s="39"/>
      <c r="H843" s="39"/>
      <c r="I843" s="39"/>
      <c r="J843" s="39"/>
      <c r="K843" s="39"/>
      <c r="L843" s="39"/>
      <c r="M843" s="39"/>
      <c r="N843" s="39"/>
      <c r="O843" s="39"/>
      <c r="P843" s="39"/>
      <c r="Q843" s="39"/>
      <c r="R843" s="39"/>
      <c r="S843" s="39"/>
    </row>
    <row r="844" spans="1:19" s="1" customFormat="1" ht="15" customHeight="1">
      <c r="A844" s="39"/>
      <c r="B844" s="39"/>
      <c r="C844" s="39"/>
      <c r="D844" s="39"/>
      <c r="E844" s="39"/>
      <c r="F844" s="39"/>
      <c r="G844" s="39"/>
      <c r="H844" s="39"/>
      <c r="I844" s="39"/>
      <c r="J844" s="39"/>
      <c r="K844" s="39"/>
      <c r="L844" s="39"/>
      <c r="M844" s="39"/>
      <c r="N844" s="39"/>
      <c r="O844" s="39"/>
      <c r="P844" s="39"/>
      <c r="Q844" s="39"/>
      <c r="R844" s="39"/>
      <c r="S844" s="39"/>
    </row>
    <row r="845" spans="1:19" s="1" customFormat="1" ht="15" customHeight="1">
      <c r="A845" s="39"/>
      <c r="B845" s="39"/>
      <c r="C845" s="39"/>
      <c r="D845" s="39"/>
      <c r="E845" s="39"/>
      <c r="F845" s="39"/>
      <c r="G845" s="39"/>
      <c r="H845" s="39"/>
      <c r="I845" s="39"/>
      <c r="J845" s="39"/>
      <c r="K845" s="39"/>
      <c r="L845" s="39"/>
      <c r="M845" s="39"/>
      <c r="N845" s="39"/>
      <c r="O845" s="39"/>
      <c r="P845" s="39"/>
      <c r="Q845" s="39"/>
      <c r="R845" s="39"/>
      <c r="S845" s="39"/>
    </row>
    <row r="846" spans="1:19" s="1" customFormat="1" ht="15" customHeight="1">
      <c r="A846" s="39"/>
      <c r="B846" s="39"/>
      <c r="C846" s="39"/>
      <c r="D846" s="39"/>
      <c r="E846" s="39"/>
      <c r="F846" s="39"/>
      <c r="G846" s="39"/>
      <c r="H846" s="39"/>
      <c r="I846" s="39"/>
      <c r="J846" s="39"/>
      <c r="K846" s="39"/>
      <c r="L846" s="39"/>
      <c r="M846" s="39"/>
      <c r="N846" s="39"/>
      <c r="O846" s="39"/>
      <c r="P846" s="39"/>
      <c r="Q846" s="39"/>
      <c r="R846" s="39"/>
      <c r="S846" s="39"/>
    </row>
    <row r="847" spans="1:19" s="1" customFormat="1" ht="15" customHeight="1">
      <c r="A847" s="39"/>
      <c r="B847" s="39"/>
      <c r="C847" s="39"/>
      <c r="D847" s="39"/>
      <c r="E847" s="39"/>
      <c r="F847" s="39"/>
      <c r="G847" s="39"/>
      <c r="H847" s="39"/>
      <c r="I847" s="39"/>
      <c r="J847" s="39"/>
      <c r="K847" s="39"/>
      <c r="L847" s="39"/>
      <c r="M847" s="39"/>
      <c r="N847" s="39"/>
      <c r="O847" s="39"/>
      <c r="P847" s="39"/>
      <c r="Q847" s="39"/>
      <c r="R847" s="39"/>
      <c r="S847" s="39"/>
    </row>
    <row r="848" spans="1:19" s="1" customFormat="1" ht="15" customHeight="1">
      <c r="A848" s="39"/>
      <c r="B848" s="39"/>
      <c r="C848" s="39"/>
      <c r="D848" s="39"/>
      <c r="E848" s="39"/>
      <c r="F848" s="39"/>
      <c r="G848" s="39"/>
      <c r="H848" s="39"/>
      <c r="I848" s="39"/>
      <c r="J848" s="39"/>
      <c r="K848" s="39"/>
      <c r="L848" s="39"/>
      <c r="M848" s="39"/>
      <c r="N848" s="39"/>
      <c r="O848" s="39"/>
      <c r="P848" s="39"/>
      <c r="Q848" s="39"/>
      <c r="R848" s="39"/>
      <c r="S848" s="39"/>
    </row>
    <row r="849" spans="1:19" s="1" customFormat="1" ht="15" customHeight="1">
      <c r="A849" s="39"/>
      <c r="B849" s="39"/>
      <c r="C849" s="39"/>
      <c r="D849" s="39"/>
      <c r="E849" s="39"/>
      <c r="F849" s="39"/>
      <c r="G849" s="39"/>
      <c r="H849" s="39"/>
      <c r="I849" s="39"/>
      <c r="J849" s="39"/>
      <c r="K849" s="39"/>
      <c r="L849" s="39"/>
      <c r="M849" s="39"/>
      <c r="N849" s="39"/>
      <c r="O849" s="39"/>
      <c r="P849" s="39"/>
      <c r="Q849" s="39"/>
      <c r="R849" s="39"/>
      <c r="S849" s="39"/>
    </row>
    <row r="850" spans="1:19" s="1" customFormat="1" ht="15" customHeight="1">
      <c r="A850" s="39"/>
      <c r="B850" s="39"/>
      <c r="C850" s="39"/>
      <c r="D850" s="39"/>
      <c r="E850" s="39"/>
      <c r="F850" s="39"/>
      <c r="G850" s="39"/>
      <c r="H850" s="39"/>
      <c r="I850" s="39"/>
      <c r="J850" s="39"/>
      <c r="K850" s="39"/>
      <c r="L850" s="39"/>
      <c r="M850" s="39"/>
      <c r="N850" s="39"/>
      <c r="O850" s="39"/>
      <c r="P850" s="39"/>
      <c r="Q850" s="39"/>
      <c r="R850" s="39"/>
      <c r="S850" s="39"/>
    </row>
    <row r="851" spans="1:19" s="1" customFormat="1" ht="15" customHeight="1">
      <c r="A851" s="39"/>
      <c r="B851" s="39"/>
      <c r="C851" s="39"/>
      <c r="D851" s="39"/>
      <c r="E851" s="39"/>
      <c r="F851" s="39"/>
      <c r="G851" s="39"/>
      <c r="H851" s="39"/>
      <c r="I851" s="39"/>
      <c r="J851" s="39"/>
      <c r="K851" s="39"/>
      <c r="L851" s="39"/>
      <c r="M851" s="39"/>
      <c r="N851" s="39"/>
      <c r="O851" s="39"/>
      <c r="P851" s="39"/>
      <c r="Q851" s="39"/>
      <c r="R851" s="39"/>
      <c r="S851" s="39"/>
    </row>
    <row r="852" spans="1:19" s="1" customFormat="1" ht="15" customHeight="1">
      <c r="A852" s="39"/>
      <c r="B852" s="39"/>
      <c r="C852" s="39"/>
      <c r="D852" s="39"/>
      <c r="E852" s="39"/>
      <c r="F852" s="39"/>
      <c r="G852" s="39"/>
      <c r="H852" s="39"/>
      <c r="I852" s="39"/>
      <c r="J852" s="39"/>
      <c r="K852" s="39"/>
      <c r="L852" s="39"/>
      <c r="M852" s="39"/>
      <c r="N852" s="39"/>
      <c r="O852" s="39"/>
      <c r="P852" s="39"/>
      <c r="Q852" s="39"/>
      <c r="R852" s="39"/>
      <c r="S852" s="39"/>
    </row>
    <row r="853" spans="1:19" s="1" customFormat="1" ht="15" customHeight="1">
      <c r="A853" s="39"/>
      <c r="B853" s="39"/>
      <c r="C853" s="39"/>
      <c r="D853" s="39"/>
      <c r="E853" s="39"/>
      <c r="F853" s="39"/>
      <c r="G853" s="39"/>
      <c r="H853" s="39"/>
      <c r="I853" s="39"/>
      <c r="J853" s="39"/>
      <c r="K853" s="39"/>
      <c r="L853" s="39"/>
      <c r="M853" s="39"/>
      <c r="N853" s="39"/>
      <c r="O853" s="39"/>
      <c r="P853" s="39"/>
      <c r="Q853" s="39"/>
      <c r="R853" s="39"/>
      <c r="S853" s="39"/>
    </row>
    <row r="854" spans="1:19" s="1" customFormat="1" ht="15" customHeight="1">
      <c r="A854" s="39"/>
      <c r="B854" s="39"/>
      <c r="C854" s="39"/>
      <c r="D854" s="39"/>
      <c r="E854" s="39"/>
      <c r="F854" s="39"/>
      <c r="G854" s="39"/>
      <c r="H854" s="39"/>
      <c r="I854" s="39"/>
      <c r="J854" s="39"/>
      <c r="K854" s="39"/>
      <c r="L854" s="39"/>
      <c r="M854" s="39"/>
      <c r="N854" s="39"/>
      <c r="O854" s="39"/>
      <c r="P854" s="39"/>
      <c r="Q854" s="39"/>
      <c r="R854" s="39"/>
      <c r="S854" s="39"/>
    </row>
    <row r="855" spans="1:19" s="1" customFormat="1" ht="15" customHeight="1">
      <c r="A855" s="39"/>
      <c r="B855" s="39"/>
      <c r="C855" s="39"/>
      <c r="D855" s="39"/>
      <c r="E855" s="39"/>
      <c r="F855" s="39"/>
      <c r="G855" s="39"/>
      <c r="H855" s="39"/>
      <c r="I855" s="39"/>
      <c r="J855" s="39"/>
      <c r="K855" s="39"/>
      <c r="L855" s="39"/>
      <c r="M855" s="39"/>
      <c r="N855" s="39"/>
      <c r="O855" s="39"/>
      <c r="P855" s="39"/>
      <c r="Q855" s="39"/>
      <c r="R855" s="39"/>
      <c r="S855" s="39"/>
    </row>
    <row r="856" spans="1:19" s="1" customFormat="1" ht="15" customHeight="1">
      <c r="A856" s="39"/>
      <c r="B856" s="39"/>
      <c r="C856" s="39"/>
      <c r="D856" s="39"/>
      <c r="E856" s="39"/>
      <c r="F856" s="39"/>
      <c r="G856" s="39"/>
      <c r="H856" s="39"/>
      <c r="I856" s="39"/>
      <c r="J856" s="39"/>
      <c r="K856" s="39"/>
      <c r="L856" s="39"/>
      <c r="M856" s="39"/>
      <c r="N856" s="39"/>
      <c r="O856" s="39"/>
      <c r="P856" s="39"/>
      <c r="Q856" s="39"/>
      <c r="R856" s="39"/>
      <c r="S856" s="39"/>
    </row>
    <row r="857" spans="1:19" s="1" customFormat="1" ht="15" customHeight="1">
      <c r="A857" s="39"/>
      <c r="B857" s="39"/>
      <c r="C857" s="39"/>
      <c r="D857" s="39"/>
      <c r="E857" s="39"/>
      <c r="F857" s="39"/>
      <c r="G857" s="39"/>
      <c r="H857" s="39"/>
      <c r="I857" s="39"/>
      <c r="J857" s="39"/>
      <c r="K857" s="39"/>
      <c r="L857" s="39"/>
      <c r="M857" s="39"/>
      <c r="N857" s="39"/>
      <c r="O857" s="39"/>
      <c r="P857" s="39"/>
      <c r="Q857" s="39"/>
      <c r="R857" s="39"/>
      <c r="S857" s="39"/>
    </row>
    <row r="858" spans="1:19" s="1" customFormat="1" ht="15" customHeight="1">
      <c r="A858" s="39"/>
      <c r="B858" s="39"/>
      <c r="C858" s="39"/>
      <c r="D858" s="39"/>
      <c r="E858" s="39"/>
      <c r="F858" s="39"/>
      <c r="G858" s="39"/>
      <c r="H858" s="39"/>
      <c r="I858" s="39"/>
      <c r="J858" s="39"/>
      <c r="K858" s="39"/>
      <c r="L858" s="39"/>
      <c r="M858" s="39"/>
      <c r="N858" s="39"/>
      <c r="O858" s="39"/>
      <c r="P858" s="39"/>
      <c r="Q858" s="39"/>
      <c r="R858" s="39"/>
      <c r="S858" s="39"/>
    </row>
    <row r="859" spans="1:19" s="1" customFormat="1" ht="15" customHeight="1">
      <c r="A859" s="39"/>
      <c r="B859" s="39"/>
      <c r="C859" s="39"/>
      <c r="D859" s="39"/>
      <c r="E859" s="39"/>
      <c r="F859" s="39"/>
      <c r="G859" s="39"/>
      <c r="H859" s="39"/>
      <c r="I859" s="39"/>
      <c r="J859" s="39"/>
      <c r="K859" s="39"/>
      <c r="L859" s="39"/>
      <c r="M859" s="39"/>
      <c r="N859" s="39"/>
      <c r="O859" s="39"/>
      <c r="P859" s="39"/>
      <c r="Q859" s="39"/>
      <c r="R859" s="39"/>
      <c r="S859" s="39"/>
    </row>
    <row r="860" spans="1:19" s="1" customFormat="1" ht="15" customHeight="1">
      <c r="A860" s="39"/>
      <c r="B860" s="39"/>
      <c r="C860" s="39"/>
      <c r="D860" s="39"/>
      <c r="E860" s="39"/>
      <c r="F860" s="39"/>
      <c r="G860" s="39"/>
      <c r="H860" s="39"/>
      <c r="I860" s="39"/>
      <c r="J860" s="39"/>
      <c r="K860" s="39"/>
      <c r="L860" s="39"/>
      <c r="M860" s="39"/>
      <c r="N860" s="39"/>
      <c r="O860" s="39"/>
      <c r="P860" s="39"/>
      <c r="Q860" s="39"/>
      <c r="R860" s="39"/>
      <c r="S860" s="39"/>
    </row>
    <row r="861" spans="1:19" s="1" customFormat="1" ht="15" customHeight="1">
      <c r="A861" s="39"/>
      <c r="B861" s="39"/>
      <c r="C861" s="39"/>
      <c r="D861" s="39"/>
      <c r="E861" s="39"/>
      <c r="F861" s="39"/>
      <c r="G861" s="39"/>
      <c r="H861" s="39"/>
      <c r="I861" s="39"/>
      <c r="J861" s="39"/>
      <c r="K861" s="39"/>
      <c r="L861" s="39"/>
      <c r="M861" s="39"/>
      <c r="N861" s="39"/>
      <c r="O861" s="39"/>
      <c r="P861" s="39"/>
      <c r="Q861" s="39"/>
      <c r="R861" s="39"/>
      <c r="S861" s="39"/>
    </row>
    <row r="862" spans="1:19" s="1" customFormat="1" ht="15" customHeight="1">
      <c r="A862" s="39"/>
      <c r="B862" s="39"/>
      <c r="C862" s="39"/>
      <c r="D862" s="39"/>
      <c r="E862" s="39"/>
      <c r="F862" s="39"/>
      <c r="G862" s="39"/>
      <c r="H862" s="39"/>
      <c r="I862" s="39"/>
      <c r="J862" s="39"/>
      <c r="K862" s="39"/>
      <c r="L862" s="39"/>
      <c r="M862" s="39"/>
      <c r="N862" s="39"/>
      <c r="O862" s="39"/>
      <c r="P862" s="39"/>
      <c r="Q862" s="39"/>
      <c r="R862" s="39"/>
      <c r="S862" s="39"/>
    </row>
    <row r="863" spans="1:19" s="1" customFormat="1" ht="15" customHeight="1">
      <c r="A863" s="39"/>
      <c r="B863" s="39"/>
      <c r="C863" s="39"/>
      <c r="D863" s="39"/>
      <c r="E863" s="39"/>
      <c r="F863" s="39"/>
      <c r="G863" s="39"/>
      <c r="H863" s="39"/>
      <c r="I863" s="39"/>
      <c r="J863" s="39"/>
      <c r="K863" s="39"/>
      <c r="L863" s="39"/>
      <c r="M863" s="39"/>
      <c r="N863" s="39"/>
      <c r="O863" s="39"/>
      <c r="P863" s="39"/>
      <c r="Q863" s="39"/>
      <c r="R863" s="39"/>
      <c r="S863" s="39"/>
    </row>
    <row r="864" spans="1:19" s="1" customFormat="1" ht="15" customHeight="1">
      <c r="A864" s="39"/>
      <c r="B864" s="39"/>
      <c r="C864" s="39"/>
      <c r="D864" s="39"/>
      <c r="E864" s="39"/>
      <c r="F864" s="39"/>
      <c r="G864" s="39"/>
      <c r="H864" s="39"/>
      <c r="I864" s="39"/>
      <c r="J864" s="39"/>
      <c r="K864" s="39"/>
      <c r="L864" s="39"/>
      <c r="M864" s="39"/>
      <c r="N864" s="39"/>
      <c r="O864" s="39"/>
      <c r="P864" s="39"/>
      <c r="Q864" s="39"/>
      <c r="R864" s="39"/>
      <c r="S864" s="39"/>
    </row>
    <row r="865" spans="1:19" s="1" customFormat="1" ht="15" customHeight="1">
      <c r="A865" s="39"/>
      <c r="B865" s="39"/>
      <c r="C865" s="39"/>
      <c r="D865" s="39"/>
      <c r="E865" s="39"/>
      <c r="F865" s="39"/>
      <c r="G865" s="39"/>
      <c r="H865" s="39"/>
      <c r="I865" s="39"/>
      <c r="J865" s="39"/>
      <c r="K865" s="39"/>
      <c r="L865" s="39"/>
      <c r="M865" s="39"/>
      <c r="N865" s="39"/>
      <c r="O865" s="39"/>
      <c r="P865" s="39"/>
      <c r="Q865" s="39"/>
      <c r="R865" s="39"/>
      <c r="S865" s="39"/>
    </row>
    <row r="866" spans="1:19" s="1" customFormat="1" ht="15" customHeight="1">
      <c r="A866" s="39"/>
      <c r="B866" s="39"/>
      <c r="C866" s="39"/>
      <c r="D866" s="39"/>
      <c r="E866" s="39"/>
      <c r="F866" s="39"/>
      <c r="G866" s="39"/>
      <c r="H866" s="39"/>
      <c r="I866" s="39"/>
      <c r="J866" s="39"/>
      <c r="K866" s="39"/>
      <c r="L866" s="39"/>
      <c r="M866" s="39"/>
      <c r="N866" s="39"/>
      <c r="O866" s="39"/>
      <c r="P866" s="39"/>
      <c r="Q866" s="39"/>
      <c r="R866" s="39"/>
      <c r="S866" s="39"/>
    </row>
    <row r="867" spans="1:19" s="1" customFormat="1" ht="15" customHeight="1">
      <c r="A867" s="39"/>
      <c r="B867" s="39"/>
      <c r="C867" s="39"/>
      <c r="D867" s="39"/>
      <c r="E867" s="39"/>
      <c r="F867" s="39"/>
      <c r="G867" s="39"/>
      <c r="H867" s="39"/>
      <c r="I867" s="39"/>
      <c r="J867" s="39"/>
      <c r="K867" s="39"/>
      <c r="L867" s="39"/>
      <c r="M867" s="39"/>
      <c r="N867" s="39"/>
      <c r="O867" s="39"/>
      <c r="P867" s="39"/>
      <c r="Q867" s="39"/>
      <c r="R867" s="39"/>
      <c r="S867" s="39"/>
    </row>
    <row r="868" spans="1:19" s="1" customFormat="1" ht="15" customHeight="1">
      <c r="A868" s="39"/>
      <c r="B868" s="39"/>
      <c r="C868" s="39"/>
      <c r="D868" s="39"/>
      <c r="E868" s="39"/>
      <c r="F868" s="39"/>
      <c r="G868" s="39"/>
      <c r="H868" s="39"/>
      <c r="I868" s="39"/>
      <c r="J868" s="39"/>
      <c r="K868" s="39"/>
      <c r="L868" s="39"/>
      <c r="M868" s="39"/>
      <c r="N868" s="39"/>
      <c r="O868" s="39"/>
      <c r="P868" s="39"/>
      <c r="Q868" s="39"/>
      <c r="R868" s="39"/>
      <c r="S868" s="39"/>
    </row>
    <row r="869" spans="1:19" s="1" customFormat="1" ht="15" customHeight="1">
      <c r="A869" s="39"/>
      <c r="B869" s="39"/>
      <c r="C869" s="39"/>
      <c r="D869" s="39"/>
      <c r="E869" s="39"/>
      <c r="F869" s="39"/>
      <c r="G869" s="39"/>
      <c r="H869" s="39"/>
      <c r="I869" s="39"/>
      <c r="J869" s="39"/>
      <c r="K869" s="39"/>
      <c r="L869" s="39"/>
      <c r="M869" s="39"/>
      <c r="N869" s="39"/>
      <c r="O869" s="39"/>
      <c r="P869" s="39"/>
      <c r="Q869" s="39"/>
      <c r="R869" s="39"/>
      <c r="S869" s="39"/>
    </row>
    <row r="870" spans="1:19" s="1" customFormat="1" ht="15" customHeight="1">
      <c r="A870" s="39"/>
      <c r="B870" s="39"/>
      <c r="C870" s="39"/>
      <c r="D870" s="39"/>
      <c r="E870" s="39"/>
      <c r="F870" s="39"/>
      <c r="G870" s="39"/>
      <c r="H870" s="39"/>
      <c r="I870" s="39"/>
      <c r="J870" s="39"/>
      <c r="K870" s="39"/>
      <c r="L870" s="39"/>
      <c r="M870" s="39"/>
      <c r="N870" s="39"/>
      <c r="O870" s="39"/>
      <c r="P870" s="39"/>
      <c r="Q870" s="39"/>
      <c r="R870" s="39"/>
      <c r="S870" s="39"/>
    </row>
    <row r="871" spans="1:19" s="1" customFormat="1" ht="15" customHeight="1">
      <c r="A871" s="39"/>
      <c r="B871" s="39"/>
      <c r="C871" s="39"/>
      <c r="D871" s="39"/>
      <c r="E871" s="39"/>
      <c r="F871" s="39"/>
      <c r="G871" s="39"/>
      <c r="H871" s="39"/>
      <c r="I871" s="39"/>
      <c r="J871" s="39"/>
      <c r="K871" s="39"/>
      <c r="L871" s="39"/>
      <c r="M871" s="39"/>
      <c r="N871" s="39"/>
      <c r="O871" s="39"/>
      <c r="P871" s="39"/>
      <c r="Q871" s="39"/>
      <c r="R871" s="39"/>
      <c r="S871" s="39"/>
    </row>
    <row r="872" spans="1:19" s="1" customFormat="1" ht="15" customHeight="1">
      <c r="A872" s="39"/>
      <c r="B872" s="39"/>
      <c r="C872" s="39"/>
      <c r="D872" s="39"/>
      <c r="E872" s="39"/>
      <c r="F872" s="39"/>
      <c r="G872" s="39"/>
      <c r="H872" s="39"/>
      <c r="I872" s="39"/>
      <c r="J872" s="39"/>
      <c r="K872" s="39"/>
      <c r="L872" s="39"/>
      <c r="M872" s="39"/>
      <c r="N872" s="39"/>
      <c r="O872" s="39"/>
      <c r="P872" s="39"/>
      <c r="Q872" s="39"/>
      <c r="R872" s="39"/>
      <c r="S872" s="39"/>
    </row>
    <row r="873" spans="1:19" s="1" customFormat="1" ht="15" customHeight="1">
      <c r="A873" s="39"/>
      <c r="B873" s="39"/>
      <c r="C873" s="39"/>
      <c r="D873" s="39"/>
      <c r="E873" s="39"/>
      <c r="F873" s="39"/>
      <c r="G873" s="39"/>
      <c r="H873" s="39"/>
      <c r="I873" s="39"/>
      <c r="J873" s="39"/>
      <c r="K873" s="39"/>
      <c r="L873" s="39"/>
      <c r="M873" s="39"/>
      <c r="N873" s="39"/>
      <c r="O873" s="39"/>
      <c r="P873" s="39"/>
      <c r="Q873" s="39"/>
      <c r="R873" s="39"/>
      <c r="S873" s="39"/>
    </row>
    <row r="874" spans="1:19" s="1" customFormat="1" ht="15" customHeight="1">
      <c r="A874" s="39"/>
      <c r="B874" s="39"/>
      <c r="C874" s="39"/>
      <c r="D874" s="39"/>
      <c r="E874" s="39"/>
      <c r="F874" s="39"/>
      <c r="G874" s="39"/>
      <c r="H874" s="39"/>
      <c r="I874" s="39"/>
      <c r="J874" s="39"/>
      <c r="K874" s="39"/>
      <c r="L874" s="39"/>
      <c r="M874" s="39"/>
      <c r="N874" s="39"/>
      <c r="O874" s="39"/>
      <c r="P874" s="39"/>
      <c r="Q874" s="39"/>
      <c r="R874" s="39"/>
      <c r="S874" s="39"/>
    </row>
    <row r="875" spans="1:19" s="1" customFormat="1" ht="15" customHeight="1">
      <c r="A875" s="39"/>
      <c r="B875" s="39"/>
      <c r="C875" s="39"/>
      <c r="D875" s="39"/>
      <c r="E875" s="39"/>
      <c r="F875" s="39"/>
      <c r="G875" s="39"/>
      <c r="H875" s="39"/>
      <c r="I875" s="39"/>
      <c r="J875" s="39"/>
      <c r="K875" s="39"/>
      <c r="L875" s="39"/>
      <c r="M875" s="39"/>
      <c r="N875" s="39"/>
      <c r="O875" s="39"/>
      <c r="P875" s="39"/>
      <c r="Q875" s="39"/>
      <c r="R875" s="39"/>
      <c r="S875" s="39"/>
    </row>
    <row r="876" spans="1:19" s="1" customFormat="1" ht="15" customHeight="1">
      <c r="A876" s="39"/>
      <c r="B876" s="39"/>
      <c r="C876" s="39"/>
      <c r="D876" s="39"/>
      <c r="E876" s="39"/>
      <c r="F876" s="39"/>
      <c r="G876" s="39"/>
      <c r="H876" s="39"/>
      <c r="I876" s="39"/>
      <c r="J876" s="39"/>
      <c r="K876" s="39"/>
      <c r="L876" s="39"/>
      <c r="M876" s="39"/>
      <c r="N876" s="39"/>
      <c r="O876" s="39"/>
      <c r="P876" s="39"/>
      <c r="Q876" s="39"/>
      <c r="R876" s="39"/>
      <c r="S876" s="39"/>
    </row>
    <row r="877" spans="1:19" s="1" customFormat="1" ht="15" customHeight="1">
      <c r="A877" s="39"/>
      <c r="B877" s="39"/>
      <c r="C877" s="39"/>
      <c r="D877" s="39"/>
      <c r="E877" s="39"/>
      <c r="F877" s="39"/>
      <c r="G877" s="39"/>
      <c r="H877" s="39"/>
      <c r="I877" s="39"/>
      <c r="J877" s="39"/>
      <c r="K877" s="39"/>
      <c r="L877" s="39"/>
      <c r="M877" s="39"/>
      <c r="N877" s="39"/>
      <c r="O877" s="39"/>
      <c r="P877" s="39"/>
      <c r="Q877" s="39"/>
      <c r="R877" s="39"/>
      <c r="S877" s="39"/>
    </row>
    <row r="878" spans="1:19" s="1" customFormat="1" ht="15" customHeight="1">
      <c r="A878" s="39"/>
      <c r="B878" s="39"/>
      <c r="C878" s="39"/>
      <c r="D878" s="39"/>
      <c r="E878" s="39"/>
      <c r="F878" s="39"/>
      <c r="G878" s="39"/>
      <c r="H878" s="39"/>
      <c r="I878" s="39"/>
      <c r="J878" s="39"/>
      <c r="K878" s="39"/>
      <c r="L878" s="39"/>
      <c r="M878" s="39"/>
      <c r="N878" s="39"/>
      <c r="O878" s="39"/>
      <c r="P878" s="39"/>
      <c r="Q878" s="39"/>
      <c r="R878" s="39"/>
      <c r="S878" s="39"/>
    </row>
    <row r="879" spans="1:19" s="1" customFormat="1" ht="15" customHeight="1">
      <c r="A879" s="39"/>
      <c r="B879" s="39"/>
      <c r="C879" s="39"/>
      <c r="D879" s="39"/>
      <c r="E879" s="39"/>
      <c r="F879" s="39"/>
      <c r="G879" s="39"/>
      <c r="H879" s="39"/>
      <c r="I879" s="39"/>
      <c r="J879" s="39"/>
      <c r="K879" s="39"/>
      <c r="L879" s="39"/>
      <c r="M879" s="39"/>
      <c r="N879" s="39"/>
      <c r="O879" s="39"/>
      <c r="P879" s="39"/>
      <c r="Q879" s="39"/>
      <c r="R879" s="39"/>
      <c r="S879" s="39"/>
    </row>
    <row r="880" spans="1:19" s="1" customFormat="1" ht="15" customHeight="1">
      <c r="A880" s="39"/>
      <c r="B880" s="39"/>
      <c r="C880" s="39"/>
      <c r="D880" s="39"/>
      <c r="E880" s="39"/>
      <c r="F880" s="39"/>
      <c r="G880" s="39"/>
      <c r="H880" s="39"/>
      <c r="I880" s="39"/>
      <c r="J880" s="39"/>
      <c r="K880" s="39"/>
      <c r="L880" s="39"/>
      <c r="M880" s="39"/>
      <c r="N880" s="39"/>
      <c r="O880" s="39"/>
      <c r="P880" s="39"/>
      <c r="Q880" s="39"/>
      <c r="R880" s="39"/>
      <c r="S880" s="39"/>
    </row>
    <row r="881" spans="1:19" s="1" customFormat="1" ht="15" customHeight="1">
      <c r="A881" s="39"/>
      <c r="B881" s="39"/>
      <c r="C881" s="39"/>
      <c r="D881" s="39"/>
      <c r="E881" s="39"/>
      <c r="F881" s="39"/>
      <c r="G881" s="39"/>
      <c r="H881" s="39"/>
      <c r="I881" s="39"/>
      <c r="J881" s="39"/>
      <c r="K881" s="39"/>
      <c r="L881" s="39"/>
      <c r="M881" s="39"/>
      <c r="N881" s="39"/>
      <c r="O881" s="39"/>
      <c r="P881" s="39"/>
      <c r="Q881" s="39"/>
      <c r="R881" s="39"/>
      <c r="S881" s="39"/>
    </row>
    <row r="882" spans="1:19" s="1" customFormat="1" ht="15" customHeight="1">
      <c r="A882" s="39"/>
      <c r="B882" s="39"/>
      <c r="C882" s="39"/>
      <c r="D882" s="39"/>
      <c r="E882" s="39"/>
      <c r="F882" s="39"/>
      <c r="G882" s="39"/>
      <c r="H882" s="39"/>
      <c r="I882" s="39"/>
      <c r="J882" s="39"/>
      <c r="K882" s="39"/>
      <c r="L882" s="39"/>
      <c r="M882" s="39"/>
      <c r="N882" s="39"/>
      <c r="O882" s="39"/>
      <c r="P882" s="39"/>
      <c r="Q882" s="39"/>
      <c r="R882" s="39"/>
      <c r="S882" s="39"/>
    </row>
    <row r="883" spans="1:19" s="1" customFormat="1" ht="15" customHeight="1">
      <c r="A883" s="39"/>
      <c r="B883" s="39"/>
      <c r="C883" s="39"/>
      <c r="D883" s="39"/>
      <c r="E883" s="39"/>
      <c r="F883" s="39"/>
      <c r="G883" s="39"/>
      <c r="H883" s="39"/>
      <c r="I883" s="39"/>
      <c r="J883" s="39"/>
      <c r="K883" s="39"/>
      <c r="L883" s="39"/>
      <c r="M883" s="39"/>
      <c r="N883" s="39"/>
      <c r="O883" s="39"/>
      <c r="P883" s="39"/>
      <c r="Q883" s="39"/>
      <c r="R883" s="39"/>
      <c r="S883" s="39"/>
    </row>
    <row r="884" spans="1:19" s="1" customFormat="1" ht="15" customHeight="1">
      <c r="A884" s="39"/>
      <c r="B884" s="39"/>
      <c r="C884" s="39"/>
      <c r="D884" s="39"/>
      <c r="E884" s="39"/>
      <c r="F884" s="39"/>
      <c r="G884" s="39"/>
      <c r="H884" s="39"/>
      <c r="I884" s="39"/>
      <c r="J884" s="39"/>
      <c r="K884" s="39"/>
      <c r="L884" s="39"/>
      <c r="M884" s="39"/>
      <c r="N884" s="39"/>
      <c r="O884" s="39"/>
      <c r="P884" s="39"/>
      <c r="Q884" s="39"/>
      <c r="R884" s="39"/>
      <c r="S884" s="39"/>
    </row>
    <row r="885" spans="1:19" s="1" customFormat="1" ht="15" customHeight="1">
      <c r="A885" s="39"/>
      <c r="B885" s="39"/>
      <c r="C885" s="39"/>
      <c r="D885" s="39"/>
      <c r="E885" s="39"/>
      <c r="F885" s="39"/>
      <c r="G885" s="39"/>
      <c r="H885" s="39"/>
      <c r="I885" s="39"/>
      <c r="J885" s="39"/>
      <c r="K885" s="39"/>
      <c r="L885" s="39"/>
      <c r="M885" s="39"/>
      <c r="N885" s="39"/>
      <c r="O885" s="39"/>
      <c r="P885" s="39"/>
      <c r="Q885" s="39"/>
      <c r="R885" s="39"/>
      <c r="S885" s="39"/>
    </row>
    <row r="886" spans="1:19" s="1" customFormat="1" ht="15" customHeight="1">
      <c r="A886" s="39"/>
      <c r="B886" s="39"/>
      <c r="C886" s="39"/>
      <c r="D886" s="39"/>
      <c r="E886" s="39"/>
      <c r="F886" s="39"/>
      <c r="G886" s="39"/>
      <c r="H886" s="39"/>
      <c r="I886" s="39"/>
      <c r="J886" s="39"/>
      <c r="K886" s="39"/>
      <c r="L886" s="39"/>
      <c r="M886" s="39"/>
      <c r="N886" s="39"/>
      <c r="O886" s="39"/>
      <c r="P886" s="39"/>
      <c r="Q886" s="39"/>
      <c r="R886" s="39"/>
      <c r="S886" s="39"/>
    </row>
    <row r="887" spans="1:19" s="1" customFormat="1" ht="15" customHeight="1">
      <c r="A887" s="39"/>
      <c r="B887" s="39"/>
      <c r="C887" s="39"/>
      <c r="D887" s="39"/>
      <c r="E887" s="39"/>
      <c r="F887" s="39"/>
      <c r="G887" s="39"/>
      <c r="H887" s="39"/>
      <c r="I887" s="39"/>
      <c r="J887" s="39"/>
      <c r="K887" s="39"/>
      <c r="L887" s="39"/>
      <c r="M887" s="39"/>
      <c r="N887" s="39"/>
      <c r="O887" s="39"/>
      <c r="P887" s="39"/>
      <c r="Q887" s="39"/>
      <c r="R887" s="39"/>
      <c r="S887" s="39"/>
    </row>
    <row r="888" spans="1:19" s="1" customFormat="1" ht="15" customHeight="1">
      <c r="A888" s="39"/>
      <c r="B888" s="39"/>
      <c r="C888" s="39"/>
      <c r="D888" s="39"/>
      <c r="E888" s="39"/>
      <c r="F888" s="39"/>
      <c r="G888" s="39"/>
      <c r="H888" s="39"/>
      <c r="I888" s="39"/>
      <c r="J888" s="39"/>
      <c r="K888" s="39"/>
      <c r="L888" s="39"/>
      <c r="M888" s="39"/>
      <c r="N888" s="39"/>
      <c r="O888" s="39"/>
      <c r="P888" s="39"/>
      <c r="Q888" s="39"/>
      <c r="R888" s="39"/>
      <c r="S888" s="39"/>
    </row>
    <row r="889" spans="1:19" s="1" customFormat="1" ht="15" customHeight="1">
      <c r="A889" s="39"/>
      <c r="B889" s="39"/>
      <c r="C889" s="39"/>
      <c r="D889" s="39"/>
      <c r="E889" s="39"/>
      <c r="F889" s="39"/>
      <c r="G889" s="39"/>
      <c r="H889" s="39"/>
      <c r="I889" s="39"/>
      <c r="J889" s="39"/>
      <c r="K889" s="39"/>
      <c r="L889" s="39"/>
      <c r="M889" s="39"/>
      <c r="N889" s="39"/>
      <c r="O889" s="39"/>
      <c r="P889" s="39"/>
      <c r="Q889" s="39"/>
      <c r="R889" s="39"/>
      <c r="S889" s="39"/>
    </row>
    <row r="890" spans="1:19" s="1" customFormat="1" ht="15" customHeight="1">
      <c r="A890" s="39"/>
      <c r="B890" s="39"/>
      <c r="C890" s="39"/>
      <c r="D890" s="39"/>
      <c r="E890" s="39"/>
      <c r="F890" s="39"/>
      <c r="G890" s="39"/>
      <c r="H890" s="39"/>
      <c r="I890" s="39"/>
      <c r="J890" s="39"/>
      <c r="K890" s="39"/>
      <c r="L890" s="39"/>
      <c r="M890" s="39"/>
      <c r="N890" s="39"/>
      <c r="O890" s="39"/>
      <c r="P890" s="39"/>
      <c r="Q890" s="39"/>
      <c r="R890" s="39"/>
      <c r="S890" s="39"/>
    </row>
    <row r="891" spans="1:19" s="1" customFormat="1" ht="15" customHeight="1">
      <c r="A891" s="39"/>
      <c r="B891" s="39"/>
      <c r="C891" s="39"/>
      <c r="D891" s="39"/>
      <c r="E891" s="39"/>
      <c r="F891" s="39"/>
      <c r="G891" s="39"/>
      <c r="H891" s="39"/>
      <c r="I891" s="39"/>
      <c r="J891" s="39"/>
      <c r="K891" s="39"/>
      <c r="L891" s="39"/>
      <c r="M891" s="39"/>
      <c r="N891" s="39"/>
      <c r="O891" s="39"/>
      <c r="P891" s="39"/>
      <c r="Q891" s="39"/>
      <c r="R891" s="39"/>
      <c r="S891" s="39"/>
    </row>
    <row r="892" spans="1:19" s="1" customFormat="1" ht="15" customHeight="1">
      <c r="A892" s="39"/>
      <c r="B892" s="39"/>
      <c r="C892" s="39"/>
      <c r="D892" s="39"/>
      <c r="E892" s="39"/>
      <c r="F892" s="39"/>
      <c r="G892" s="39"/>
      <c r="H892" s="39"/>
      <c r="I892" s="39"/>
      <c r="J892" s="39"/>
      <c r="K892" s="39"/>
      <c r="L892" s="39"/>
      <c r="M892" s="39"/>
      <c r="N892" s="39"/>
      <c r="O892" s="39"/>
      <c r="P892" s="39"/>
      <c r="Q892" s="39"/>
      <c r="R892" s="39"/>
      <c r="S892" s="39"/>
    </row>
    <row r="893" spans="1:19" s="1" customFormat="1" ht="15" customHeight="1">
      <c r="A893" s="39"/>
      <c r="B893" s="39"/>
      <c r="C893" s="39"/>
      <c r="D893" s="39"/>
      <c r="E893" s="39"/>
      <c r="F893" s="39"/>
      <c r="G893" s="39"/>
      <c r="H893" s="39"/>
      <c r="I893" s="39"/>
      <c r="J893" s="39"/>
      <c r="K893" s="39"/>
      <c r="L893" s="39"/>
      <c r="M893" s="39"/>
      <c r="N893" s="39"/>
      <c r="O893" s="39"/>
      <c r="P893" s="39"/>
      <c r="Q893" s="39"/>
      <c r="R893" s="39"/>
      <c r="S893" s="39"/>
    </row>
    <row r="894" spans="1:19" s="1" customFormat="1" ht="15" customHeight="1">
      <c r="A894" s="39"/>
      <c r="B894" s="39"/>
      <c r="C894" s="39"/>
      <c r="D894" s="39"/>
      <c r="E894" s="39"/>
      <c r="F894" s="39"/>
      <c r="G894" s="39"/>
      <c r="H894" s="39"/>
      <c r="I894" s="39"/>
      <c r="J894" s="39"/>
      <c r="K894" s="39"/>
      <c r="L894" s="39"/>
      <c r="M894" s="39"/>
      <c r="N894" s="39"/>
      <c r="O894" s="39"/>
      <c r="P894" s="39"/>
      <c r="Q894" s="39"/>
      <c r="R894" s="39"/>
      <c r="S894" s="39"/>
    </row>
    <row r="895" spans="1:19" s="1" customFormat="1" ht="15" customHeight="1">
      <c r="A895" s="39"/>
      <c r="B895" s="39"/>
      <c r="C895" s="39"/>
      <c r="D895" s="39"/>
      <c r="E895" s="39"/>
      <c r="F895" s="39"/>
      <c r="G895" s="39"/>
      <c r="H895" s="39"/>
      <c r="I895" s="39"/>
      <c r="J895" s="39"/>
      <c r="K895" s="39"/>
      <c r="L895" s="39"/>
      <c r="M895" s="39"/>
      <c r="N895" s="39"/>
      <c r="O895" s="39"/>
      <c r="P895" s="39"/>
      <c r="Q895" s="39"/>
      <c r="R895" s="39"/>
      <c r="S895" s="39"/>
    </row>
    <row r="896" spans="1:19" s="1" customFormat="1" ht="15" customHeight="1">
      <c r="A896" s="39"/>
      <c r="B896" s="39"/>
      <c r="C896" s="39"/>
      <c r="D896" s="39"/>
      <c r="E896" s="39"/>
      <c r="F896" s="39"/>
      <c r="G896" s="39"/>
      <c r="H896" s="39"/>
      <c r="I896" s="39"/>
      <c r="J896" s="39"/>
      <c r="K896" s="39"/>
      <c r="L896" s="39"/>
      <c r="M896" s="39"/>
      <c r="N896" s="39"/>
      <c r="O896" s="39"/>
      <c r="P896" s="39"/>
      <c r="Q896" s="39"/>
      <c r="R896" s="39"/>
      <c r="S896" s="39"/>
    </row>
    <row r="897" spans="1:19" s="1" customFormat="1" ht="15" customHeight="1">
      <c r="A897" s="39"/>
      <c r="B897" s="39"/>
      <c r="C897" s="39"/>
      <c r="D897" s="39"/>
      <c r="E897" s="39"/>
      <c r="F897" s="39"/>
      <c r="G897" s="39"/>
      <c r="H897" s="39"/>
      <c r="I897" s="39"/>
      <c r="J897" s="39"/>
      <c r="K897" s="39"/>
      <c r="L897" s="39"/>
      <c r="M897" s="39"/>
      <c r="N897" s="39"/>
      <c r="O897" s="39"/>
      <c r="P897" s="39"/>
      <c r="Q897" s="39"/>
      <c r="R897" s="39"/>
      <c r="S897" s="39"/>
    </row>
    <row r="898" spans="1:19" s="1" customFormat="1" ht="15" customHeight="1">
      <c r="A898" s="39"/>
      <c r="B898" s="39"/>
      <c r="C898" s="39"/>
      <c r="D898" s="39"/>
      <c r="E898" s="39"/>
      <c r="F898" s="39"/>
      <c r="G898" s="39"/>
      <c r="H898" s="39"/>
      <c r="I898" s="39"/>
      <c r="J898" s="39"/>
      <c r="K898" s="39"/>
      <c r="L898" s="39"/>
      <c r="M898" s="39"/>
      <c r="N898" s="39"/>
      <c r="O898" s="39"/>
      <c r="P898" s="39"/>
      <c r="Q898" s="39"/>
      <c r="R898" s="39"/>
      <c r="S898" s="39"/>
    </row>
    <row r="899" spans="1:19" s="1" customFormat="1" ht="15" customHeight="1">
      <c r="A899" s="39"/>
      <c r="B899" s="39"/>
      <c r="C899" s="39"/>
      <c r="D899" s="39"/>
      <c r="E899" s="39"/>
      <c r="F899" s="39"/>
      <c r="G899" s="39"/>
      <c r="H899" s="39"/>
      <c r="I899" s="39"/>
      <c r="J899" s="39"/>
      <c r="K899" s="39"/>
      <c r="L899" s="39"/>
      <c r="M899" s="39"/>
      <c r="N899" s="39"/>
      <c r="O899" s="39"/>
      <c r="P899" s="39"/>
      <c r="Q899" s="39"/>
      <c r="R899" s="39"/>
      <c r="S899" s="39"/>
    </row>
    <row r="900" spans="1:19" s="1" customFormat="1" ht="15" customHeight="1">
      <c r="A900" s="39"/>
      <c r="B900" s="39"/>
      <c r="C900" s="39"/>
      <c r="D900" s="39"/>
      <c r="E900" s="39"/>
      <c r="F900" s="39"/>
      <c r="G900" s="39"/>
      <c r="H900" s="39"/>
      <c r="I900" s="39"/>
      <c r="J900" s="39"/>
      <c r="K900" s="39"/>
      <c r="L900" s="39"/>
      <c r="M900" s="39"/>
      <c r="N900" s="39"/>
      <c r="O900" s="39"/>
      <c r="P900" s="39"/>
      <c r="Q900" s="39"/>
      <c r="R900" s="39"/>
      <c r="S900" s="39"/>
    </row>
    <row r="901" spans="1:19" s="1" customFormat="1" ht="15" customHeight="1">
      <c r="A901" s="39"/>
      <c r="B901" s="39"/>
      <c r="C901" s="39"/>
      <c r="D901" s="39"/>
      <c r="E901" s="39"/>
      <c r="F901" s="39"/>
      <c r="G901" s="39"/>
      <c r="H901" s="39"/>
      <c r="I901" s="39"/>
      <c r="J901" s="39"/>
      <c r="K901" s="39"/>
      <c r="L901" s="39"/>
      <c r="M901" s="39"/>
      <c r="N901" s="39"/>
      <c r="O901" s="39"/>
      <c r="P901" s="39"/>
      <c r="Q901" s="39"/>
      <c r="R901" s="39"/>
      <c r="S901" s="39"/>
    </row>
    <row r="902" spans="1:19" s="1" customFormat="1" ht="15" customHeight="1">
      <c r="A902" s="39"/>
      <c r="B902" s="39"/>
      <c r="C902" s="39"/>
      <c r="D902" s="39"/>
      <c r="E902" s="39"/>
      <c r="F902" s="39"/>
      <c r="G902" s="39"/>
      <c r="H902" s="39"/>
      <c r="I902" s="39"/>
      <c r="J902" s="39"/>
      <c r="K902" s="39"/>
      <c r="L902" s="39"/>
      <c r="M902" s="39"/>
      <c r="N902" s="39"/>
      <c r="O902" s="39"/>
      <c r="P902" s="39"/>
      <c r="Q902" s="39"/>
      <c r="R902" s="39"/>
      <c r="S902" s="39"/>
    </row>
    <row r="903" spans="1:19" s="1" customFormat="1" ht="15" customHeight="1">
      <c r="A903" s="39"/>
      <c r="B903" s="39"/>
      <c r="C903" s="39"/>
      <c r="D903" s="39"/>
      <c r="E903" s="39"/>
      <c r="F903" s="39"/>
      <c r="G903" s="39"/>
      <c r="H903" s="39"/>
      <c r="I903" s="39"/>
      <c r="J903" s="39"/>
      <c r="K903" s="39"/>
      <c r="L903" s="39"/>
      <c r="M903" s="39"/>
      <c r="N903" s="39"/>
      <c r="O903" s="39"/>
      <c r="P903" s="39"/>
      <c r="Q903" s="39"/>
      <c r="R903" s="39"/>
      <c r="S903" s="39"/>
    </row>
    <row r="904" spans="1:19" s="1" customFormat="1" ht="15" customHeight="1">
      <c r="A904" s="39"/>
      <c r="B904" s="39"/>
      <c r="C904" s="39"/>
      <c r="D904" s="39"/>
      <c r="E904" s="39"/>
      <c r="F904" s="39"/>
      <c r="G904" s="39"/>
      <c r="H904" s="39"/>
      <c r="I904" s="39"/>
      <c r="J904" s="39"/>
      <c r="K904" s="39"/>
      <c r="L904" s="39"/>
      <c r="M904" s="39"/>
      <c r="N904" s="39"/>
      <c r="O904" s="39"/>
      <c r="P904" s="39"/>
      <c r="Q904" s="39"/>
      <c r="R904" s="39"/>
      <c r="S904" s="39"/>
    </row>
    <row r="905" spans="1:19" s="1" customFormat="1" ht="15" customHeight="1">
      <c r="A905" s="39"/>
      <c r="B905" s="39"/>
      <c r="C905" s="39"/>
      <c r="D905" s="39"/>
      <c r="E905" s="39"/>
      <c r="F905" s="39"/>
      <c r="G905" s="39"/>
      <c r="H905" s="39"/>
      <c r="I905" s="39"/>
      <c r="J905" s="39"/>
      <c r="K905" s="39"/>
      <c r="L905" s="39"/>
      <c r="M905" s="39"/>
      <c r="N905" s="39"/>
      <c r="O905" s="39"/>
      <c r="P905" s="39"/>
      <c r="Q905" s="39"/>
      <c r="R905" s="39"/>
      <c r="S905" s="39"/>
    </row>
    <row r="906" spans="1:19" s="1" customFormat="1" ht="15" customHeight="1">
      <c r="A906" s="39"/>
      <c r="B906" s="39"/>
      <c r="C906" s="39"/>
      <c r="D906" s="39"/>
      <c r="E906" s="39"/>
      <c r="F906" s="39"/>
      <c r="G906" s="39"/>
      <c r="H906" s="39"/>
      <c r="I906" s="39"/>
      <c r="J906" s="39"/>
      <c r="K906" s="39"/>
      <c r="L906" s="39"/>
      <c r="M906" s="39"/>
      <c r="N906" s="39"/>
      <c r="O906" s="39"/>
      <c r="P906" s="39"/>
      <c r="Q906" s="39"/>
      <c r="R906" s="39"/>
      <c r="S906" s="39"/>
    </row>
    <row r="907" spans="1:19" s="1" customFormat="1" ht="15" customHeight="1">
      <c r="A907" s="39"/>
      <c r="B907" s="39"/>
      <c r="C907" s="39"/>
      <c r="D907" s="39"/>
      <c r="E907" s="39"/>
      <c r="F907" s="39"/>
      <c r="G907" s="39"/>
      <c r="H907" s="39"/>
      <c r="I907" s="39"/>
      <c r="J907" s="39"/>
      <c r="K907" s="39"/>
      <c r="L907" s="39"/>
      <c r="M907" s="39"/>
      <c r="N907" s="39"/>
      <c r="O907" s="39"/>
      <c r="P907" s="39"/>
      <c r="Q907" s="39"/>
      <c r="R907" s="39"/>
      <c r="S907" s="39"/>
    </row>
    <row r="908" spans="1:19" s="1" customFormat="1" ht="15" customHeight="1">
      <c r="A908" s="39"/>
      <c r="B908" s="39"/>
      <c r="C908" s="39"/>
      <c r="D908" s="39"/>
      <c r="E908" s="39"/>
      <c r="F908" s="39"/>
      <c r="G908" s="39"/>
      <c r="H908" s="39"/>
      <c r="I908" s="39"/>
      <c r="J908" s="39"/>
      <c r="K908" s="39"/>
      <c r="L908" s="39"/>
      <c r="M908" s="39"/>
      <c r="N908" s="39"/>
      <c r="O908" s="39"/>
      <c r="P908" s="39"/>
      <c r="Q908" s="39"/>
      <c r="R908" s="39"/>
      <c r="S908" s="39"/>
    </row>
    <row r="909" spans="1:19" s="1" customFormat="1" ht="15" customHeight="1">
      <c r="A909" s="39"/>
      <c r="B909" s="39"/>
      <c r="C909" s="39"/>
      <c r="D909" s="39"/>
      <c r="E909" s="39"/>
      <c r="F909" s="39"/>
      <c r="G909" s="39"/>
      <c r="H909" s="39"/>
      <c r="I909" s="39"/>
      <c r="J909" s="39"/>
      <c r="K909" s="39"/>
      <c r="L909" s="39"/>
      <c r="M909" s="39"/>
      <c r="N909" s="39"/>
      <c r="O909" s="39"/>
      <c r="P909" s="39"/>
      <c r="Q909" s="39"/>
      <c r="R909" s="39"/>
      <c r="S909" s="39"/>
    </row>
    <row r="910" spans="1:19" s="1" customFormat="1" ht="15" customHeight="1">
      <c r="A910" s="39"/>
      <c r="B910" s="39"/>
      <c r="C910" s="39"/>
      <c r="D910" s="39"/>
      <c r="E910" s="39"/>
      <c r="F910" s="39"/>
      <c r="G910" s="39"/>
      <c r="H910" s="39"/>
      <c r="I910" s="39"/>
      <c r="J910" s="39"/>
      <c r="K910" s="39"/>
      <c r="L910" s="39"/>
      <c r="M910" s="39"/>
      <c r="N910" s="39"/>
      <c r="O910" s="39"/>
      <c r="P910" s="39"/>
      <c r="Q910" s="39"/>
      <c r="R910" s="39"/>
      <c r="S910" s="39"/>
    </row>
    <row r="911" spans="1:19" s="1" customFormat="1" ht="15" customHeight="1">
      <c r="A911" s="39"/>
      <c r="B911" s="39"/>
      <c r="C911" s="39"/>
      <c r="D911" s="39"/>
      <c r="E911" s="39"/>
      <c r="F911" s="39"/>
      <c r="G911" s="39"/>
      <c r="H911" s="39"/>
      <c r="I911" s="39"/>
      <c r="J911" s="39"/>
      <c r="K911" s="39"/>
      <c r="L911" s="39"/>
      <c r="M911" s="39"/>
      <c r="N911" s="39"/>
      <c r="O911" s="39"/>
      <c r="P911" s="39"/>
      <c r="Q911" s="39"/>
      <c r="R911" s="39"/>
      <c r="S911" s="39"/>
    </row>
    <row r="912" spans="1:19" s="1" customFormat="1" ht="15" customHeight="1">
      <c r="A912" s="39"/>
      <c r="B912" s="39"/>
      <c r="C912" s="39"/>
      <c r="D912" s="39"/>
      <c r="E912" s="39"/>
      <c r="F912" s="39"/>
      <c r="G912" s="39"/>
      <c r="H912" s="39"/>
      <c r="I912" s="39"/>
      <c r="J912" s="39"/>
      <c r="K912" s="39"/>
      <c r="L912" s="39"/>
      <c r="M912" s="39"/>
      <c r="N912" s="39"/>
      <c r="O912" s="39"/>
      <c r="P912" s="39"/>
      <c r="Q912" s="39"/>
      <c r="R912" s="39"/>
      <c r="S912" s="39"/>
    </row>
    <row r="913" spans="1:19" s="1" customFormat="1" ht="15" customHeight="1">
      <c r="A913" s="39"/>
      <c r="B913" s="39"/>
      <c r="C913" s="39"/>
      <c r="D913" s="39"/>
      <c r="E913" s="39"/>
      <c r="F913" s="39"/>
      <c r="G913" s="39"/>
      <c r="H913" s="39"/>
      <c r="I913" s="39"/>
      <c r="J913" s="39"/>
      <c r="K913" s="39"/>
      <c r="L913" s="39"/>
      <c r="M913" s="39"/>
      <c r="N913" s="39"/>
      <c r="O913" s="39"/>
      <c r="P913" s="39"/>
      <c r="Q913" s="39"/>
      <c r="R913" s="39"/>
      <c r="S913" s="39"/>
    </row>
    <row r="914" spans="1:19" s="1" customFormat="1" ht="15" customHeight="1">
      <c r="A914" s="39"/>
      <c r="B914" s="39"/>
      <c r="C914" s="39"/>
      <c r="D914" s="39"/>
      <c r="E914" s="39"/>
      <c r="F914" s="39"/>
      <c r="G914" s="39"/>
      <c r="H914" s="39"/>
      <c r="I914" s="39"/>
      <c r="J914" s="39"/>
      <c r="K914" s="39"/>
      <c r="L914" s="39"/>
      <c r="M914" s="39"/>
      <c r="N914" s="39"/>
      <c r="O914" s="39"/>
      <c r="P914" s="39"/>
      <c r="Q914" s="39"/>
      <c r="R914" s="39"/>
      <c r="S914" s="39"/>
    </row>
    <row r="915" spans="1:19" s="1" customFormat="1" ht="15" customHeight="1">
      <c r="A915" s="39"/>
      <c r="B915" s="39"/>
      <c r="C915" s="39"/>
      <c r="D915" s="39"/>
      <c r="E915" s="39"/>
      <c r="F915" s="39"/>
      <c r="G915" s="39"/>
      <c r="H915" s="39"/>
      <c r="I915" s="39"/>
      <c r="J915" s="39"/>
      <c r="K915" s="39"/>
      <c r="L915" s="39"/>
      <c r="M915" s="39"/>
      <c r="N915" s="39"/>
      <c r="O915" s="39"/>
      <c r="P915" s="39"/>
      <c r="Q915" s="39"/>
      <c r="R915" s="39"/>
      <c r="S915" s="39"/>
    </row>
    <row r="916" spans="1:19" s="1" customFormat="1" ht="15" customHeight="1">
      <c r="A916" s="39"/>
      <c r="B916" s="39"/>
      <c r="C916" s="39"/>
      <c r="D916" s="39"/>
      <c r="E916" s="39"/>
      <c r="F916" s="39"/>
      <c r="G916" s="39"/>
      <c r="H916" s="39"/>
      <c r="I916" s="39"/>
      <c r="J916" s="39"/>
      <c r="K916" s="39"/>
      <c r="L916" s="39"/>
      <c r="M916" s="39"/>
      <c r="N916" s="39"/>
      <c r="O916" s="39"/>
      <c r="P916" s="39"/>
      <c r="Q916" s="39"/>
      <c r="R916" s="39"/>
      <c r="S916" s="39"/>
    </row>
    <row r="917" spans="1:19" s="1" customFormat="1" ht="15" customHeight="1">
      <c r="A917" s="39"/>
      <c r="B917" s="39"/>
      <c r="C917" s="39"/>
      <c r="D917" s="39"/>
      <c r="E917" s="39"/>
      <c r="F917" s="39"/>
      <c r="G917" s="39"/>
      <c r="H917" s="39"/>
      <c r="I917" s="39"/>
      <c r="J917" s="39"/>
      <c r="K917" s="39"/>
      <c r="L917" s="39"/>
      <c r="M917" s="39"/>
      <c r="N917" s="39"/>
      <c r="O917" s="39"/>
      <c r="P917" s="39"/>
      <c r="Q917" s="39"/>
      <c r="R917" s="39"/>
      <c r="S917" s="39"/>
    </row>
    <row r="918" spans="1:19" s="1" customFormat="1" ht="15" customHeight="1">
      <c r="A918" s="39"/>
      <c r="B918" s="39"/>
      <c r="C918" s="39"/>
      <c r="D918" s="39"/>
      <c r="E918" s="39"/>
      <c r="F918" s="39"/>
      <c r="G918" s="39"/>
      <c r="H918" s="39"/>
      <c r="I918" s="39"/>
      <c r="J918" s="39"/>
      <c r="K918" s="39"/>
      <c r="L918" s="39"/>
      <c r="M918" s="39"/>
      <c r="N918" s="39"/>
      <c r="O918" s="39"/>
      <c r="P918" s="39"/>
      <c r="Q918" s="39"/>
      <c r="R918" s="39"/>
      <c r="S918" s="39"/>
    </row>
    <row r="919" spans="1:19" s="1" customFormat="1" ht="15" customHeight="1">
      <c r="A919" s="39"/>
      <c r="B919" s="39"/>
      <c r="C919" s="39"/>
      <c r="D919" s="39"/>
      <c r="E919" s="39"/>
      <c r="F919" s="39"/>
      <c r="G919" s="39"/>
      <c r="H919" s="39"/>
      <c r="I919" s="39"/>
      <c r="J919" s="39"/>
      <c r="K919" s="39"/>
      <c r="L919" s="39"/>
      <c r="M919" s="39"/>
      <c r="N919" s="39"/>
      <c r="O919" s="39"/>
      <c r="P919" s="39"/>
      <c r="Q919" s="39"/>
      <c r="R919" s="39"/>
      <c r="S919" s="39"/>
    </row>
    <row r="920" spans="1:19" s="1" customFormat="1" ht="15" customHeight="1">
      <c r="A920" s="39"/>
      <c r="B920" s="39"/>
      <c r="C920" s="39"/>
      <c r="D920" s="39"/>
      <c r="E920" s="39"/>
      <c r="F920" s="39"/>
      <c r="G920" s="39"/>
      <c r="H920" s="39"/>
      <c r="I920" s="39"/>
      <c r="J920" s="39"/>
      <c r="K920" s="39"/>
      <c r="L920" s="39"/>
      <c r="M920" s="39"/>
      <c r="N920" s="39"/>
      <c r="O920" s="39"/>
      <c r="P920" s="39"/>
      <c r="Q920" s="39"/>
      <c r="R920" s="39"/>
      <c r="S920" s="39"/>
    </row>
    <row r="921" spans="1:19" s="1" customFormat="1" ht="15" customHeight="1">
      <c r="A921" s="39"/>
      <c r="B921" s="39"/>
      <c r="C921" s="39"/>
      <c r="D921" s="39"/>
      <c r="E921" s="39"/>
      <c r="F921" s="39"/>
      <c r="G921" s="39"/>
      <c r="H921" s="39"/>
      <c r="I921" s="39"/>
      <c r="J921" s="39"/>
      <c r="K921" s="39"/>
      <c r="L921" s="39"/>
      <c r="M921" s="39"/>
      <c r="N921" s="39"/>
      <c r="O921" s="39"/>
      <c r="P921" s="39"/>
      <c r="Q921" s="39"/>
      <c r="R921" s="39"/>
      <c r="S921" s="39"/>
    </row>
    <row r="922" spans="1:19" s="1" customFormat="1" ht="15" customHeight="1">
      <c r="A922" s="39"/>
      <c r="B922" s="39"/>
      <c r="C922" s="39"/>
      <c r="D922" s="39"/>
      <c r="E922" s="39"/>
      <c r="F922" s="39"/>
      <c r="G922" s="39"/>
      <c r="H922" s="39"/>
      <c r="I922" s="39"/>
      <c r="J922" s="39"/>
      <c r="K922" s="39"/>
      <c r="L922" s="39"/>
      <c r="M922" s="39"/>
      <c r="N922" s="39"/>
      <c r="O922" s="39"/>
      <c r="P922" s="39"/>
      <c r="Q922" s="39"/>
      <c r="R922" s="39"/>
      <c r="S922" s="39"/>
    </row>
    <row r="923" spans="1:19" s="1" customFormat="1" ht="15" customHeight="1">
      <c r="A923" s="39"/>
      <c r="B923" s="39"/>
      <c r="C923" s="39"/>
      <c r="D923" s="39"/>
      <c r="E923" s="39"/>
      <c r="F923" s="39"/>
      <c r="G923" s="39"/>
      <c r="H923" s="39"/>
      <c r="I923" s="39"/>
      <c r="J923" s="39"/>
      <c r="K923" s="39"/>
      <c r="L923" s="39"/>
      <c r="M923" s="39"/>
      <c r="N923" s="39"/>
      <c r="O923" s="39"/>
      <c r="P923" s="39"/>
      <c r="Q923" s="39"/>
      <c r="R923" s="39"/>
      <c r="S923" s="39"/>
    </row>
    <row r="924" spans="1:19" s="1" customFormat="1" ht="15" customHeight="1">
      <c r="A924" s="39"/>
      <c r="B924" s="39"/>
      <c r="C924" s="39"/>
      <c r="D924" s="39"/>
      <c r="E924" s="39"/>
      <c r="F924" s="39"/>
      <c r="G924" s="39"/>
      <c r="H924" s="39"/>
      <c r="I924" s="39"/>
      <c r="J924" s="39"/>
      <c r="K924" s="39"/>
      <c r="L924" s="39"/>
      <c r="M924" s="39"/>
      <c r="N924" s="39"/>
      <c r="O924" s="39"/>
      <c r="P924" s="39"/>
      <c r="Q924" s="39"/>
      <c r="R924" s="39"/>
      <c r="S924" s="39"/>
    </row>
    <row r="925" spans="1:19" s="1" customFormat="1" ht="15" customHeight="1">
      <c r="A925" s="39"/>
      <c r="B925" s="39"/>
      <c r="C925" s="39"/>
      <c r="D925" s="39"/>
      <c r="E925" s="39"/>
      <c r="F925" s="39"/>
      <c r="G925" s="39"/>
      <c r="H925" s="39"/>
      <c r="I925" s="39"/>
      <c r="J925" s="39"/>
      <c r="K925" s="39"/>
      <c r="L925" s="39"/>
      <c r="M925" s="39"/>
      <c r="N925" s="39"/>
      <c r="O925" s="39"/>
      <c r="P925" s="39"/>
      <c r="Q925" s="39"/>
      <c r="R925" s="39"/>
      <c r="S925" s="39"/>
    </row>
    <row r="926" spans="1:19" s="1" customFormat="1" ht="15" customHeight="1">
      <c r="A926" s="39"/>
      <c r="B926" s="39"/>
      <c r="C926" s="39"/>
      <c r="D926" s="39"/>
      <c r="E926" s="39"/>
      <c r="F926" s="39"/>
      <c r="G926" s="39"/>
      <c r="H926" s="39"/>
      <c r="I926" s="39"/>
      <c r="J926" s="39"/>
      <c r="K926" s="39"/>
      <c r="L926" s="39"/>
      <c r="M926" s="39"/>
      <c r="N926" s="39"/>
      <c r="O926" s="39"/>
      <c r="P926" s="39"/>
      <c r="Q926" s="39"/>
      <c r="R926" s="39"/>
      <c r="S926" s="39"/>
    </row>
    <row r="927" spans="1:19" s="1" customFormat="1" ht="15" customHeight="1">
      <c r="A927" s="39"/>
      <c r="B927" s="39"/>
      <c r="C927" s="39"/>
      <c r="D927" s="39"/>
      <c r="E927" s="39"/>
      <c r="F927" s="39"/>
      <c r="G927" s="39"/>
      <c r="H927" s="39"/>
      <c r="I927" s="39"/>
      <c r="J927" s="39"/>
      <c r="K927" s="39"/>
      <c r="L927" s="39"/>
      <c r="M927" s="39"/>
      <c r="N927" s="39"/>
      <c r="O927" s="39"/>
      <c r="P927" s="39"/>
      <c r="Q927" s="39"/>
      <c r="R927" s="39"/>
      <c r="S927" s="39"/>
    </row>
    <row r="928" spans="1:19" s="1" customFormat="1" ht="15" customHeight="1">
      <c r="A928" s="39"/>
      <c r="B928" s="39"/>
      <c r="C928" s="39"/>
      <c r="D928" s="39"/>
      <c r="E928" s="39"/>
      <c r="F928" s="39"/>
      <c r="G928" s="39"/>
      <c r="H928" s="39"/>
      <c r="I928" s="39"/>
      <c r="J928" s="39"/>
      <c r="K928" s="39"/>
      <c r="L928" s="39"/>
      <c r="M928" s="39"/>
      <c r="N928" s="39"/>
      <c r="O928" s="39"/>
      <c r="P928" s="39"/>
      <c r="Q928" s="39"/>
      <c r="R928" s="39"/>
      <c r="S928" s="39"/>
    </row>
    <row r="929" spans="1:19" s="1" customFormat="1" ht="15" customHeight="1">
      <c r="A929" s="39"/>
      <c r="B929" s="39"/>
      <c r="C929" s="39"/>
      <c r="D929" s="39"/>
      <c r="E929" s="39"/>
      <c r="F929" s="39"/>
      <c r="G929" s="39"/>
      <c r="H929" s="39"/>
      <c r="I929" s="39"/>
      <c r="J929" s="39"/>
      <c r="K929" s="39"/>
      <c r="L929" s="39"/>
      <c r="M929" s="39"/>
      <c r="N929" s="39"/>
      <c r="O929" s="39"/>
      <c r="P929" s="39"/>
      <c r="Q929" s="39"/>
      <c r="R929" s="39"/>
      <c r="S929" s="39"/>
    </row>
    <row r="930" spans="1:19" s="1" customFormat="1" ht="15" customHeight="1">
      <c r="A930" s="39"/>
      <c r="B930" s="39"/>
      <c r="C930" s="39"/>
      <c r="D930" s="39"/>
      <c r="E930" s="39"/>
      <c r="F930" s="39"/>
      <c r="G930" s="39"/>
      <c r="H930" s="39"/>
      <c r="I930" s="39"/>
      <c r="J930" s="39"/>
      <c r="K930" s="39"/>
      <c r="L930" s="39"/>
      <c r="M930" s="39"/>
      <c r="N930" s="39"/>
      <c r="O930" s="39"/>
      <c r="P930" s="39"/>
      <c r="Q930" s="39"/>
      <c r="R930" s="39"/>
      <c r="S930" s="39"/>
    </row>
    <row r="931" spans="1:19" s="1" customFormat="1" ht="15" customHeight="1">
      <c r="A931" s="39"/>
      <c r="B931" s="39"/>
      <c r="C931" s="39"/>
      <c r="D931" s="39"/>
      <c r="E931" s="39"/>
      <c r="F931" s="39"/>
      <c r="G931" s="39"/>
      <c r="H931" s="39"/>
      <c r="I931" s="39"/>
      <c r="J931" s="39"/>
      <c r="K931" s="39"/>
      <c r="L931" s="39"/>
      <c r="M931" s="39"/>
      <c r="N931" s="39"/>
      <c r="O931" s="39"/>
      <c r="P931" s="39"/>
      <c r="Q931" s="39"/>
      <c r="R931" s="39"/>
      <c r="S931" s="39"/>
    </row>
    <row r="932" spans="1:19" s="1" customFormat="1" ht="15" customHeight="1">
      <c r="A932" s="39"/>
      <c r="B932" s="39"/>
      <c r="C932" s="39"/>
      <c r="D932" s="39"/>
      <c r="E932" s="39"/>
      <c r="F932" s="39"/>
      <c r="G932" s="39"/>
      <c r="H932" s="39"/>
      <c r="I932" s="39"/>
      <c r="J932" s="39"/>
      <c r="K932" s="39"/>
      <c r="L932" s="39"/>
      <c r="M932" s="39"/>
      <c r="N932" s="39"/>
      <c r="O932" s="39"/>
      <c r="P932" s="39"/>
      <c r="Q932" s="39"/>
      <c r="R932" s="39"/>
      <c r="S932" s="39"/>
    </row>
    <row r="933" spans="1:19" s="1" customFormat="1" ht="15" customHeight="1">
      <c r="A933" s="39"/>
      <c r="B933" s="39"/>
      <c r="C933" s="39"/>
      <c r="D933" s="39"/>
      <c r="E933" s="39"/>
      <c r="F933" s="39"/>
      <c r="G933" s="39"/>
      <c r="H933" s="39"/>
      <c r="I933" s="39"/>
      <c r="J933" s="39"/>
      <c r="K933" s="39"/>
      <c r="L933" s="39"/>
      <c r="M933" s="39"/>
      <c r="N933" s="39"/>
      <c r="O933" s="39"/>
      <c r="P933" s="39"/>
      <c r="Q933" s="39"/>
      <c r="R933" s="39"/>
      <c r="S933" s="39"/>
    </row>
    <row r="934" spans="1:19" s="1" customFormat="1" ht="15" customHeight="1">
      <c r="A934" s="39"/>
      <c r="B934" s="39"/>
      <c r="C934" s="39"/>
      <c r="D934" s="39"/>
      <c r="E934" s="39"/>
      <c r="F934" s="39"/>
      <c r="G934" s="39"/>
      <c r="H934" s="39"/>
      <c r="I934" s="39"/>
      <c r="J934" s="39"/>
      <c r="K934" s="39"/>
      <c r="L934" s="39"/>
      <c r="M934" s="39"/>
      <c r="N934" s="39"/>
      <c r="O934" s="39"/>
      <c r="P934" s="39"/>
      <c r="Q934" s="39"/>
      <c r="R934" s="39"/>
      <c r="S934" s="39"/>
    </row>
    <row r="935" spans="1:19" s="1" customFormat="1" ht="15" customHeight="1">
      <c r="A935" s="39"/>
      <c r="B935" s="39"/>
      <c r="C935" s="39"/>
      <c r="D935" s="39"/>
      <c r="E935" s="39"/>
      <c r="F935" s="39"/>
      <c r="G935" s="39"/>
      <c r="H935" s="39"/>
      <c r="I935" s="39"/>
      <c r="J935" s="39"/>
      <c r="K935" s="39"/>
      <c r="L935" s="39"/>
      <c r="M935" s="39"/>
      <c r="N935" s="39"/>
      <c r="O935" s="39"/>
      <c r="P935" s="39"/>
      <c r="Q935" s="39"/>
      <c r="R935" s="39"/>
      <c r="S935" s="39"/>
    </row>
    <row r="936" spans="1:19" s="1" customFormat="1" ht="15" customHeight="1">
      <c r="A936" s="39"/>
      <c r="B936" s="39"/>
      <c r="C936" s="39"/>
      <c r="D936" s="39"/>
      <c r="E936" s="39"/>
      <c r="F936" s="39"/>
      <c r="G936" s="39"/>
      <c r="H936" s="39"/>
      <c r="I936" s="39"/>
      <c r="J936" s="39"/>
      <c r="K936" s="39"/>
      <c r="L936" s="39"/>
      <c r="M936" s="39"/>
      <c r="N936" s="39"/>
      <c r="O936" s="39"/>
      <c r="P936" s="39"/>
      <c r="Q936" s="39"/>
      <c r="R936" s="39"/>
      <c r="S936" s="39"/>
    </row>
    <row r="937" spans="1:19" s="1" customFormat="1" ht="15" customHeight="1">
      <c r="A937" s="39"/>
      <c r="B937" s="39"/>
      <c r="C937" s="39"/>
      <c r="D937" s="39"/>
      <c r="E937" s="39"/>
      <c r="F937" s="39"/>
      <c r="G937" s="39"/>
      <c r="H937" s="39"/>
      <c r="I937" s="39"/>
      <c r="J937" s="39"/>
      <c r="K937" s="39"/>
      <c r="L937" s="39"/>
      <c r="M937" s="39"/>
      <c r="N937" s="39"/>
      <c r="O937" s="39"/>
      <c r="P937" s="39"/>
      <c r="Q937" s="39"/>
      <c r="R937" s="39"/>
      <c r="S937" s="39"/>
    </row>
    <row r="938" spans="1:19" s="1" customFormat="1" ht="15" customHeight="1">
      <c r="A938" s="39"/>
      <c r="B938" s="39"/>
      <c r="C938" s="39"/>
      <c r="D938" s="39"/>
      <c r="E938" s="39"/>
      <c r="F938" s="39"/>
      <c r="G938" s="39"/>
      <c r="H938" s="39"/>
      <c r="I938" s="39"/>
      <c r="J938" s="39"/>
      <c r="K938" s="39"/>
      <c r="L938" s="39"/>
      <c r="M938" s="39"/>
      <c r="N938" s="39"/>
      <c r="O938" s="39"/>
      <c r="P938" s="39"/>
      <c r="Q938" s="39"/>
      <c r="R938" s="39"/>
      <c r="S938" s="39"/>
    </row>
    <row r="939" spans="1:19" s="1" customFormat="1" ht="15" customHeight="1">
      <c r="A939" s="39"/>
      <c r="B939" s="39"/>
      <c r="C939" s="39"/>
      <c r="D939" s="39"/>
      <c r="E939" s="39"/>
      <c r="F939" s="39"/>
      <c r="G939" s="39"/>
      <c r="H939" s="39"/>
      <c r="I939" s="39"/>
      <c r="J939" s="39"/>
      <c r="K939" s="39"/>
      <c r="L939" s="39"/>
      <c r="M939" s="39"/>
      <c r="N939" s="39"/>
      <c r="O939" s="39"/>
      <c r="P939" s="39"/>
      <c r="Q939" s="39"/>
      <c r="R939" s="39"/>
      <c r="S939" s="39"/>
    </row>
    <row r="940" spans="1:19" s="1" customFormat="1" ht="15" customHeight="1">
      <c r="A940" s="39"/>
      <c r="B940" s="39"/>
      <c r="C940" s="39"/>
      <c r="D940" s="39"/>
      <c r="E940" s="39"/>
      <c r="F940" s="39"/>
      <c r="G940" s="39"/>
      <c r="H940" s="39"/>
      <c r="I940" s="39"/>
      <c r="J940" s="39"/>
      <c r="K940" s="39"/>
      <c r="L940" s="39"/>
      <c r="M940" s="39"/>
      <c r="N940" s="39"/>
      <c r="O940" s="39"/>
      <c r="P940" s="39"/>
      <c r="Q940" s="39"/>
      <c r="R940" s="39"/>
      <c r="S940" s="39"/>
    </row>
    <row r="941" spans="1:19" s="1" customFormat="1" ht="15" customHeight="1">
      <c r="A941" s="39"/>
      <c r="B941" s="39"/>
      <c r="C941" s="39"/>
      <c r="D941" s="39"/>
      <c r="E941" s="39"/>
      <c r="F941" s="39"/>
      <c r="G941" s="39"/>
      <c r="H941" s="39"/>
      <c r="I941" s="39"/>
      <c r="J941" s="39"/>
      <c r="K941" s="39"/>
      <c r="L941" s="39"/>
      <c r="M941" s="39"/>
      <c r="N941" s="39"/>
      <c r="O941" s="39"/>
      <c r="P941" s="39"/>
      <c r="Q941" s="39"/>
      <c r="R941" s="39"/>
      <c r="S941" s="39"/>
    </row>
    <row r="942" spans="1:19" s="1" customFormat="1" ht="15" customHeight="1">
      <c r="A942" s="39"/>
      <c r="B942" s="39"/>
      <c r="C942" s="39"/>
      <c r="D942" s="39"/>
      <c r="E942" s="39"/>
      <c r="F942" s="39"/>
      <c r="G942" s="39"/>
      <c r="H942" s="39"/>
      <c r="I942" s="39"/>
      <c r="J942" s="39"/>
      <c r="K942" s="39"/>
      <c r="L942" s="39"/>
      <c r="M942" s="39"/>
      <c r="N942" s="39"/>
      <c r="O942" s="39"/>
      <c r="P942" s="39"/>
      <c r="Q942" s="39"/>
      <c r="R942" s="39"/>
      <c r="S942" s="39"/>
    </row>
    <row r="943" spans="1:19" s="1" customFormat="1" ht="15" customHeight="1">
      <c r="A943" s="39"/>
      <c r="B943" s="39"/>
      <c r="C943" s="39"/>
      <c r="D943" s="39"/>
      <c r="E943" s="39"/>
      <c r="F943" s="39"/>
      <c r="G943" s="39"/>
      <c r="H943" s="39"/>
      <c r="I943" s="39"/>
      <c r="J943" s="39"/>
      <c r="K943" s="39"/>
      <c r="L943" s="39"/>
      <c r="M943" s="39"/>
      <c r="N943" s="39"/>
      <c r="O943" s="39"/>
      <c r="P943" s="39"/>
      <c r="Q943" s="39"/>
      <c r="R943" s="39"/>
      <c r="S943" s="39"/>
    </row>
    <row r="944" spans="1:19" s="1" customFormat="1" ht="15" customHeight="1">
      <c r="A944" s="39"/>
      <c r="B944" s="39"/>
      <c r="C944" s="39"/>
      <c r="D944" s="39"/>
      <c r="E944" s="39"/>
      <c r="F944" s="39"/>
      <c r="G944" s="39"/>
      <c r="H944" s="39"/>
      <c r="I944" s="39"/>
      <c r="J944" s="39"/>
      <c r="K944" s="39"/>
      <c r="L944" s="39"/>
      <c r="M944" s="39"/>
      <c r="N944" s="39"/>
      <c r="O944" s="39"/>
      <c r="P944" s="39"/>
      <c r="Q944" s="39"/>
      <c r="R944" s="39"/>
      <c r="S944" s="39"/>
    </row>
    <row r="945" spans="1:19" s="1" customFormat="1" ht="15" customHeight="1">
      <c r="A945" s="39"/>
      <c r="B945" s="39"/>
      <c r="C945" s="39"/>
      <c r="D945" s="39"/>
      <c r="E945" s="39"/>
      <c r="F945" s="39"/>
      <c r="G945" s="39"/>
      <c r="H945" s="39"/>
      <c r="I945" s="39"/>
      <c r="J945" s="39"/>
      <c r="K945" s="39"/>
      <c r="L945" s="39"/>
      <c r="M945" s="39"/>
      <c r="N945" s="39"/>
      <c r="O945" s="39"/>
      <c r="P945" s="39"/>
      <c r="Q945" s="39"/>
      <c r="R945" s="39"/>
      <c r="S945" s="39"/>
    </row>
    <row r="946" spans="1:19" s="1" customFormat="1" ht="15" customHeight="1">
      <c r="A946" s="39"/>
      <c r="B946" s="39"/>
      <c r="C946" s="39"/>
      <c r="D946" s="39"/>
      <c r="E946" s="39"/>
      <c r="F946" s="39"/>
      <c r="G946" s="39"/>
      <c r="H946" s="39"/>
      <c r="I946" s="39"/>
      <c r="J946" s="39"/>
      <c r="K946" s="39"/>
      <c r="L946" s="39"/>
      <c r="M946" s="39"/>
      <c r="N946" s="39"/>
      <c r="O946" s="39"/>
      <c r="P946" s="39"/>
      <c r="Q946" s="39"/>
      <c r="R946" s="39"/>
      <c r="S946" s="39"/>
    </row>
    <row r="947" spans="1:19" s="1" customFormat="1" ht="15" customHeight="1">
      <c r="A947" s="39"/>
      <c r="B947" s="39"/>
      <c r="C947" s="39"/>
      <c r="D947" s="39"/>
      <c r="E947" s="39"/>
      <c r="F947" s="39"/>
      <c r="G947" s="39"/>
      <c r="H947" s="39"/>
      <c r="I947" s="39"/>
      <c r="J947" s="39"/>
      <c r="K947" s="39"/>
      <c r="L947" s="39"/>
      <c r="M947" s="39"/>
      <c r="N947" s="39"/>
      <c r="O947" s="39"/>
      <c r="P947" s="39"/>
      <c r="Q947" s="39"/>
      <c r="R947" s="39"/>
      <c r="S947" s="39"/>
    </row>
    <row r="948" spans="1:19" s="1" customFormat="1" ht="15" customHeight="1">
      <c r="A948" s="39"/>
      <c r="B948" s="39"/>
      <c r="C948" s="39"/>
      <c r="D948" s="39"/>
      <c r="E948" s="39"/>
      <c r="F948" s="39"/>
      <c r="G948" s="39"/>
      <c r="H948" s="39"/>
      <c r="I948" s="39"/>
      <c r="J948" s="39"/>
      <c r="K948" s="39"/>
      <c r="L948" s="39"/>
      <c r="M948" s="39"/>
      <c r="N948" s="39"/>
      <c r="O948" s="39"/>
      <c r="P948" s="39"/>
      <c r="Q948" s="39"/>
      <c r="R948" s="39"/>
      <c r="S948" s="39"/>
    </row>
    <row r="949" spans="1:19" s="1" customFormat="1" ht="15" customHeight="1">
      <c r="A949" s="39"/>
      <c r="B949" s="39"/>
      <c r="C949" s="39"/>
      <c r="D949" s="39"/>
      <c r="E949" s="39"/>
      <c r="F949" s="39"/>
      <c r="G949" s="39"/>
      <c r="H949" s="39"/>
      <c r="I949" s="39"/>
      <c r="J949" s="39"/>
      <c r="K949" s="39"/>
      <c r="L949" s="39"/>
      <c r="M949" s="39"/>
      <c r="N949" s="39"/>
      <c r="O949" s="39"/>
      <c r="P949" s="39"/>
      <c r="Q949" s="39"/>
      <c r="R949" s="39"/>
      <c r="S949" s="39"/>
    </row>
    <row r="950" spans="1:19" s="1" customFormat="1" ht="15" customHeight="1">
      <c r="A950" s="39"/>
      <c r="B950" s="39"/>
      <c r="C950" s="39"/>
      <c r="D950" s="39"/>
      <c r="E950" s="39"/>
      <c r="F950" s="39"/>
      <c r="G950" s="39"/>
      <c r="H950" s="39"/>
      <c r="I950" s="39"/>
      <c r="J950" s="39"/>
      <c r="K950" s="39"/>
      <c r="L950" s="39"/>
      <c r="M950" s="39"/>
      <c r="N950" s="39"/>
      <c r="O950" s="39"/>
      <c r="P950" s="39"/>
      <c r="Q950" s="39"/>
      <c r="R950" s="39"/>
      <c r="S950" s="39"/>
    </row>
    <row r="951" spans="1:19" s="1" customFormat="1" ht="15" customHeight="1">
      <c r="A951" s="39"/>
      <c r="B951" s="39"/>
      <c r="C951" s="39"/>
      <c r="D951" s="39"/>
      <c r="E951" s="39"/>
      <c r="F951" s="39"/>
      <c r="G951" s="39"/>
      <c r="H951" s="39"/>
      <c r="I951" s="39"/>
      <c r="J951" s="39"/>
      <c r="K951" s="39"/>
      <c r="L951" s="39"/>
      <c r="M951" s="39"/>
      <c r="N951" s="39"/>
      <c r="O951" s="39"/>
      <c r="P951" s="39"/>
      <c r="Q951" s="39"/>
      <c r="R951" s="39"/>
      <c r="S951" s="39"/>
    </row>
    <row r="952" spans="1:19" s="1" customFormat="1" ht="15" customHeight="1">
      <c r="A952" s="39"/>
      <c r="B952" s="39"/>
      <c r="C952" s="39"/>
      <c r="D952" s="39"/>
      <c r="E952" s="39"/>
      <c r="F952" s="39"/>
      <c r="G952" s="39"/>
      <c r="H952" s="39"/>
      <c r="I952" s="39"/>
      <c r="J952" s="39"/>
      <c r="K952" s="39"/>
      <c r="L952" s="39"/>
      <c r="M952" s="39"/>
      <c r="N952" s="39"/>
      <c r="O952" s="39"/>
      <c r="P952" s="39"/>
      <c r="Q952" s="39"/>
      <c r="R952" s="39"/>
      <c r="S952" s="39"/>
    </row>
    <row r="953" spans="1:19" s="1" customFormat="1" ht="15" customHeight="1">
      <c r="A953" s="39"/>
      <c r="B953" s="39"/>
      <c r="C953" s="39"/>
      <c r="D953" s="39"/>
      <c r="E953" s="39"/>
      <c r="F953" s="39"/>
      <c r="G953" s="39"/>
      <c r="H953" s="39"/>
      <c r="I953" s="39"/>
      <c r="J953" s="39"/>
      <c r="K953" s="39"/>
      <c r="L953" s="39"/>
      <c r="M953" s="39"/>
      <c r="N953" s="39"/>
      <c r="O953" s="39"/>
      <c r="P953" s="39"/>
      <c r="Q953" s="39"/>
      <c r="R953" s="39"/>
      <c r="S953" s="39"/>
    </row>
    <row r="954" spans="1:19" s="1" customFormat="1" ht="15" customHeight="1">
      <c r="A954" s="39"/>
      <c r="B954" s="39"/>
      <c r="C954" s="39"/>
      <c r="D954" s="39"/>
      <c r="E954" s="39"/>
      <c r="F954" s="39"/>
      <c r="G954" s="39"/>
      <c r="H954" s="39"/>
      <c r="I954" s="39"/>
      <c r="J954" s="39"/>
      <c r="K954" s="39"/>
      <c r="L954" s="39"/>
      <c r="M954" s="39"/>
      <c r="N954" s="39"/>
      <c r="O954" s="39"/>
      <c r="P954" s="39"/>
      <c r="Q954" s="39"/>
      <c r="R954" s="39"/>
      <c r="S954" s="39"/>
    </row>
    <row r="955" spans="1:19" s="1" customFormat="1" ht="15" customHeight="1">
      <c r="A955" s="39"/>
      <c r="B955" s="39"/>
      <c r="C955" s="39"/>
      <c r="D955" s="39"/>
      <c r="E955" s="39"/>
      <c r="F955" s="39"/>
      <c r="G955" s="39"/>
      <c r="H955" s="39"/>
      <c r="I955" s="39"/>
      <c r="J955" s="39"/>
      <c r="K955" s="39"/>
      <c r="L955" s="39"/>
      <c r="M955" s="39"/>
      <c r="N955" s="39"/>
      <c r="O955" s="39"/>
      <c r="P955" s="39"/>
      <c r="Q955" s="39"/>
      <c r="R955" s="39"/>
      <c r="S955" s="39"/>
    </row>
    <row r="956" spans="1:19" s="1" customFormat="1" ht="15" customHeight="1">
      <c r="A956" s="39"/>
      <c r="B956" s="39"/>
      <c r="C956" s="39"/>
      <c r="D956" s="39"/>
      <c r="E956" s="39"/>
      <c r="F956" s="39"/>
      <c r="G956" s="39"/>
      <c r="H956" s="39"/>
      <c r="I956" s="39"/>
      <c r="J956" s="39"/>
      <c r="K956" s="39"/>
      <c r="L956" s="39"/>
      <c r="M956" s="39"/>
      <c r="N956" s="39"/>
      <c r="O956" s="39"/>
      <c r="P956" s="39"/>
      <c r="Q956" s="39"/>
      <c r="R956" s="39"/>
      <c r="S956" s="39"/>
    </row>
    <row r="957" spans="1:19" s="1" customFormat="1" ht="15" customHeight="1">
      <c r="A957" s="39"/>
      <c r="B957" s="39"/>
      <c r="C957" s="39"/>
      <c r="D957" s="39"/>
      <c r="E957" s="39"/>
      <c r="F957" s="39"/>
      <c r="G957" s="39"/>
      <c r="H957" s="39"/>
      <c r="I957" s="39"/>
      <c r="J957" s="39"/>
      <c r="K957" s="39"/>
      <c r="L957" s="39"/>
      <c r="M957" s="39"/>
      <c r="N957" s="39"/>
      <c r="O957" s="39"/>
      <c r="P957" s="39"/>
      <c r="Q957" s="39"/>
      <c r="R957" s="39"/>
      <c r="S957" s="39"/>
    </row>
    <row r="958" spans="1:19" s="1" customFormat="1" ht="15" customHeight="1">
      <c r="A958" s="39"/>
      <c r="B958" s="39"/>
      <c r="C958" s="39"/>
      <c r="D958" s="39"/>
      <c r="E958" s="39"/>
      <c r="F958" s="39"/>
      <c r="G958" s="39"/>
      <c r="H958" s="39"/>
      <c r="I958" s="39"/>
      <c r="J958" s="39"/>
      <c r="K958" s="39"/>
      <c r="L958" s="39"/>
      <c r="M958" s="39"/>
      <c r="N958" s="39"/>
      <c r="O958" s="39"/>
      <c r="P958" s="39"/>
      <c r="Q958" s="39"/>
      <c r="R958" s="39"/>
      <c r="S958" s="39"/>
    </row>
    <row r="959" spans="1:19" s="1" customFormat="1" ht="15" customHeight="1">
      <c r="A959" s="39"/>
      <c r="B959" s="39"/>
      <c r="C959" s="39"/>
      <c r="D959" s="39"/>
      <c r="E959" s="39"/>
      <c r="F959" s="39"/>
      <c r="G959" s="39"/>
      <c r="H959" s="39"/>
      <c r="I959" s="39"/>
      <c r="J959" s="39"/>
      <c r="K959" s="39"/>
      <c r="L959" s="39"/>
      <c r="M959" s="39"/>
      <c r="N959" s="39"/>
      <c r="O959" s="39"/>
      <c r="P959" s="39"/>
      <c r="Q959" s="39"/>
      <c r="R959" s="39"/>
      <c r="S959" s="39"/>
    </row>
    <row r="960" spans="1:19" s="1" customFormat="1" ht="15" customHeight="1">
      <c r="A960" s="39"/>
      <c r="B960" s="39"/>
      <c r="C960" s="39"/>
      <c r="D960" s="39"/>
      <c r="E960" s="39"/>
      <c r="F960" s="39"/>
      <c r="G960" s="39"/>
      <c r="H960" s="39"/>
      <c r="I960" s="39"/>
      <c r="J960" s="39"/>
      <c r="K960" s="39"/>
      <c r="L960" s="39"/>
      <c r="M960" s="39"/>
      <c r="N960" s="39"/>
      <c r="O960" s="39"/>
      <c r="P960" s="39"/>
      <c r="Q960" s="39"/>
      <c r="R960" s="39"/>
      <c r="S960" s="39"/>
    </row>
    <row r="961" spans="1:19" s="1" customFormat="1" ht="15" customHeight="1">
      <c r="A961" s="39"/>
      <c r="B961" s="39"/>
      <c r="C961" s="39"/>
      <c r="D961" s="39"/>
      <c r="E961" s="39"/>
      <c r="F961" s="39"/>
      <c r="G961" s="39"/>
      <c r="H961" s="39"/>
      <c r="I961" s="39"/>
      <c r="J961" s="39"/>
      <c r="K961" s="39"/>
      <c r="L961" s="39"/>
      <c r="M961" s="39"/>
      <c r="N961" s="39"/>
      <c r="O961" s="39"/>
      <c r="P961" s="39"/>
      <c r="Q961" s="39"/>
      <c r="R961" s="39"/>
      <c r="S961" s="39"/>
    </row>
    <row r="962" spans="1:19" s="1" customFormat="1" ht="15" customHeight="1">
      <c r="A962" s="39"/>
      <c r="B962" s="39"/>
      <c r="C962" s="39"/>
      <c r="D962" s="39"/>
      <c r="E962" s="39"/>
      <c r="F962" s="39"/>
      <c r="G962" s="39"/>
      <c r="H962" s="39"/>
      <c r="I962" s="39"/>
      <c r="J962" s="39"/>
      <c r="K962" s="39"/>
      <c r="L962" s="39"/>
      <c r="M962" s="39"/>
      <c r="N962" s="39"/>
      <c r="O962" s="39"/>
      <c r="P962" s="39"/>
      <c r="Q962" s="39"/>
      <c r="R962" s="39"/>
      <c r="S962" s="39"/>
    </row>
    <row r="963" spans="1:19" s="1" customFormat="1" ht="15" customHeight="1">
      <c r="A963" s="39"/>
      <c r="B963" s="39"/>
      <c r="C963" s="39"/>
      <c r="D963" s="39"/>
      <c r="E963" s="39"/>
      <c r="F963" s="39"/>
      <c r="G963" s="39"/>
      <c r="H963" s="39"/>
      <c r="I963" s="39"/>
      <c r="J963" s="39"/>
      <c r="K963" s="39"/>
      <c r="L963" s="39"/>
      <c r="M963" s="39"/>
      <c r="N963" s="39"/>
      <c r="O963" s="39"/>
      <c r="P963" s="39"/>
      <c r="Q963" s="39"/>
      <c r="R963" s="39"/>
      <c r="S963" s="39"/>
    </row>
    <row r="964" spans="1:19" s="1" customFormat="1" ht="15" customHeight="1">
      <c r="A964" s="39"/>
      <c r="B964" s="39"/>
      <c r="C964" s="39"/>
      <c r="D964" s="39"/>
      <c r="E964" s="39"/>
      <c r="F964" s="39"/>
      <c r="G964" s="39"/>
      <c r="H964" s="39"/>
      <c r="I964" s="39"/>
      <c r="J964" s="39"/>
      <c r="K964" s="39"/>
      <c r="L964" s="39"/>
      <c r="M964" s="39"/>
      <c r="N964" s="39"/>
      <c r="O964" s="39"/>
      <c r="P964" s="39"/>
      <c r="Q964" s="39"/>
      <c r="R964" s="39"/>
      <c r="S964" s="39"/>
    </row>
    <row r="965" spans="1:19" s="1" customFormat="1" ht="15" customHeight="1">
      <c r="A965" s="39"/>
      <c r="B965" s="39"/>
      <c r="C965" s="39"/>
      <c r="D965" s="39"/>
      <c r="E965" s="39"/>
      <c r="F965" s="39"/>
      <c r="G965" s="39"/>
      <c r="H965" s="39"/>
      <c r="I965" s="39"/>
      <c r="J965" s="39"/>
      <c r="K965" s="39"/>
      <c r="L965" s="39"/>
      <c r="M965" s="39"/>
      <c r="N965" s="39"/>
      <c r="O965" s="39"/>
      <c r="P965" s="39"/>
      <c r="Q965" s="39"/>
      <c r="R965" s="39"/>
      <c r="S965" s="39"/>
    </row>
    <row r="966" spans="1:19" s="1" customFormat="1" ht="15" customHeight="1">
      <c r="A966" s="39"/>
      <c r="B966" s="39"/>
      <c r="C966" s="39"/>
      <c r="D966" s="39"/>
      <c r="E966" s="39"/>
      <c r="F966" s="39"/>
      <c r="G966" s="39"/>
      <c r="H966" s="39"/>
      <c r="I966" s="39"/>
      <c r="J966" s="39"/>
      <c r="K966" s="39"/>
      <c r="L966" s="39"/>
      <c r="M966" s="39"/>
      <c r="N966" s="39"/>
      <c r="O966" s="39"/>
      <c r="P966" s="39"/>
      <c r="Q966" s="39"/>
      <c r="R966" s="39"/>
      <c r="S966" s="39"/>
    </row>
    <row r="967" spans="1:19" s="1" customFormat="1" ht="15" customHeight="1">
      <c r="A967" s="39"/>
      <c r="B967" s="39"/>
      <c r="C967" s="39"/>
      <c r="D967" s="39"/>
      <c r="E967" s="39"/>
      <c r="F967" s="39"/>
      <c r="G967" s="39"/>
      <c r="H967" s="39"/>
      <c r="I967" s="39"/>
      <c r="J967" s="39"/>
      <c r="K967" s="39"/>
      <c r="L967" s="39"/>
      <c r="M967" s="39"/>
      <c r="N967" s="39"/>
      <c r="O967" s="39"/>
      <c r="P967" s="39"/>
      <c r="Q967" s="39"/>
      <c r="R967" s="39"/>
      <c r="S967" s="39"/>
    </row>
    <row r="968" spans="1:19" s="1" customFormat="1" ht="15" customHeight="1">
      <c r="A968" s="39"/>
      <c r="B968" s="39"/>
      <c r="C968" s="39"/>
      <c r="D968" s="39"/>
      <c r="E968" s="39"/>
      <c r="F968" s="39"/>
      <c r="G968" s="39"/>
      <c r="H968" s="39"/>
      <c r="I968" s="39"/>
      <c r="J968" s="39"/>
      <c r="K968" s="39"/>
      <c r="L968" s="39"/>
      <c r="M968" s="39"/>
      <c r="N968" s="39"/>
      <c r="O968" s="39"/>
      <c r="P968" s="39"/>
      <c r="Q968" s="39"/>
      <c r="R968" s="39"/>
      <c r="S968" s="39"/>
    </row>
    <row r="969" spans="1:19" s="1" customFormat="1" ht="15" customHeight="1">
      <c r="A969" s="39"/>
      <c r="B969" s="39"/>
      <c r="C969" s="39"/>
      <c r="D969" s="39"/>
      <c r="E969" s="39"/>
      <c r="F969" s="39"/>
      <c r="G969" s="39"/>
      <c r="H969" s="39"/>
      <c r="I969" s="39"/>
      <c r="J969" s="39"/>
      <c r="K969" s="39"/>
      <c r="L969" s="39"/>
      <c r="M969" s="39"/>
      <c r="N969" s="39"/>
      <c r="O969" s="39"/>
      <c r="P969" s="39"/>
      <c r="Q969" s="39"/>
      <c r="R969" s="39"/>
      <c r="S969" s="39"/>
    </row>
    <row r="970" spans="1:19" s="1" customFormat="1" ht="15" customHeight="1">
      <c r="A970" s="39"/>
      <c r="B970" s="39"/>
      <c r="C970" s="39"/>
      <c r="D970" s="39"/>
      <c r="E970" s="39"/>
      <c r="F970" s="39"/>
      <c r="G970" s="39"/>
      <c r="H970" s="39"/>
      <c r="I970" s="39"/>
      <c r="J970" s="39"/>
      <c r="K970" s="39"/>
      <c r="L970" s="39"/>
      <c r="M970" s="39"/>
      <c r="N970" s="39"/>
      <c r="O970" s="39"/>
      <c r="P970" s="39"/>
      <c r="Q970" s="39"/>
      <c r="R970" s="39"/>
      <c r="S970" s="39"/>
    </row>
    <row r="971" spans="1:19" s="1" customFormat="1" ht="15" customHeight="1">
      <c r="A971" s="39"/>
      <c r="B971" s="39"/>
      <c r="C971" s="39"/>
      <c r="D971" s="39"/>
      <c r="E971" s="39"/>
      <c r="F971" s="39"/>
      <c r="G971" s="39"/>
      <c r="H971" s="39"/>
      <c r="I971" s="39"/>
      <c r="J971" s="39"/>
      <c r="K971" s="39"/>
      <c r="L971" s="39"/>
      <c r="M971" s="39"/>
      <c r="N971" s="39"/>
      <c r="O971" s="39"/>
      <c r="P971" s="39"/>
      <c r="Q971" s="39"/>
      <c r="R971" s="39"/>
      <c r="S971" s="39"/>
    </row>
    <row r="972" spans="1:19" s="1" customFormat="1" ht="15" customHeight="1">
      <c r="A972" s="39"/>
      <c r="B972" s="39"/>
      <c r="C972" s="39"/>
      <c r="D972" s="39"/>
      <c r="E972" s="39"/>
      <c r="F972" s="39"/>
      <c r="G972" s="39"/>
      <c r="H972" s="39"/>
      <c r="I972" s="39"/>
      <c r="J972" s="39"/>
      <c r="K972" s="39"/>
      <c r="L972" s="39"/>
      <c r="M972" s="39"/>
      <c r="N972" s="39"/>
      <c r="O972" s="39"/>
      <c r="P972" s="39"/>
      <c r="Q972" s="39"/>
      <c r="R972" s="39"/>
      <c r="S972" s="39"/>
    </row>
    <row r="973" spans="1:19" s="1" customFormat="1" ht="15" customHeight="1">
      <c r="A973" s="39"/>
      <c r="B973" s="39"/>
      <c r="C973" s="39"/>
      <c r="D973" s="39"/>
      <c r="E973" s="39"/>
      <c r="F973" s="39"/>
      <c r="G973" s="39"/>
      <c r="H973" s="39"/>
      <c r="I973" s="39"/>
      <c r="J973" s="39"/>
      <c r="K973" s="39"/>
      <c r="L973" s="39"/>
      <c r="M973" s="39"/>
      <c r="N973" s="39"/>
      <c r="O973" s="39"/>
      <c r="P973" s="39"/>
      <c r="Q973" s="39"/>
      <c r="R973" s="39"/>
      <c r="S973" s="39"/>
    </row>
    <row r="974" spans="1:19" s="1" customFormat="1" ht="15" customHeight="1">
      <c r="A974" s="39"/>
      <c r="B974" s="39"/>
      <c r="C974" s="39"/>
      <c r="D974" s="39"/>
      <c r="E974" s="39"/>
      <c r="F974" s="39"/>
      <c r="G974" s="39"/>
      <c r="H974" s="39"/>
      <c r="I974" s="39"/>
      <c r="J974" s="39"/>
      <c r="K974" s="39"/>
      <c r="L974" s="39"/>
      <c r="M974" s="39"/>
      <c r="N974" s="39"/>
      <c r="O974" s="39"/>
      <c r="P974" s="39"/>
      <c r="Q974" s="39"/>
      <c r="R974" s="39"/>
      <c r="S974" s="39"/>
    </row>
    <row r="975" spans="1:19" s="1" customFormat="1" ht="15" customHeight="1">
      <c r="A975" s="39"/>
      <c r="B975" s="39"/>
      <c r="C975" s="39"/>
      <c r="D975" s="39"/>
      <c r="E975" s="39"/>
      <c r="F975" s="39"/>
      <c r="G975" s="39"/>
      <c r="H975" s="39"/>
      <c r="I975" s="39"/>
      <c r="J975" s="39"/>
      <c r="K975" s="39"/>
      <c r="L975" s="39"/>
      <c r="M975" s="39"/>
      <c r="N975" s="39"/>
      <c r="O975" s="39"/>
      <c r="P975" s="39"/>
      <c r="Q975" s="39"/>
      <c r="R975" s="39"/>
      <c r="S975" s="39"/>
    </row>
    <row r="976" spans="1:19" s="1" customFormat="1" ht="15" customHeight="1">
      <c r="A976" s="39"/>
      <c r="B976" s="39"/>
      <c r="C976" s="39"/>
      <c r="D976" s="39"/>
      <c r="E976" s="39"/>
      <c r="F976" s="39"/>
      <c r="G976" s="39"/>
      <c r="H976" s="39"/>
      <c r="I976" s="39"/>
      <c r="J976" s="39"/>
      <c r="K976" s="39"/>
      <c r="L976" s="39"/>
      <c r="M976" s="39"/>
      <c r="N976" s="39"/>
      <c r="O976" s="39"/>
      <c r="P976" s="39"/>
      <c r="Q976" s="39"/>
      <c r="R976" s="39"/>
      <c r="S976" s="39"/>
    </row>
    <row r="977" spans="1:19" s="1" customFormat="1" ht="15" customHeight="1">
      <c r="A977" s="39"/>
      <c r="B977" s="39"/>
      <c r="C977" s="39"/>
      <c r="D977" s="39"/>
      <c r="E977" s="39"/>
      <c r="F977" s="39"/>
      <c r="G977" s="39"/>
      <c r="H977" s="39"/>
      <c r="I977" s="39"/>
      <c r="J977" s="39"/>
      <c r="K977" s="39"/>
      <c r="L977" s="39"/>
      <c r="M977" s="39"/>
      <c r="N977" s="39"/>
      <c r="O977" s="39"/>
      <c r="P977" s="39"/>
      <c r="Q977" s="39"/>
      <c r="R977" s="39"/>
      <c r="S977" s="39"/>
    </row>
    <row r="978" spans="1:19" s="1" customFormat="1" ht="15" customHeight="1">
      <c r="A978" s="39"/>
      <c r="B978" s="39"/>
      <c r="C978" s="39"/>
      <c r="D978" s="39"/>
      <c r="E978" s="39"/>
      <c r="F978" s="39"/>
      <c r="G978" s="39"/>
      <c r="H978" s="39"/>
      <c r="I978" s="39"/>
      <c r="J978" s="39"/>
      <c r="K978" s="39"/>
      <c r="L978" s="39"/>
      <c r="M978" s="39"/>
      <c r="N978" s="39"/>
      <c r="O978" s="39"/>
      <c r="P978" s="39"/>
      <c r="Q978" s="39"/>
      <c r="R978" s="39"/>
      <c r="S978" s="39"/>
    </row>
    <row r="979" spans="1:19" s="1" customFormat="1" ht="15" customHeight="1">
      <c r="A979" s="39"/>
      <c r="B979" s="39"/>
      <c r="C979" s="39"/>
      <c r="D979" s="39"/>
      <c r="E979" s="39"/>
      <c r="F979" s="39"/>
      <c r="G979" s="39"/>
      <c r="H979" s="39"/>
      <c r="I979" s="39"/>
      <c r="J979" s="39"/>
      <c r="K979" s="39"/>
      <c r="L979" s="39"/>
      <c r="M979" s="39"/>
      <c r="N979" s="39"/>
      <c r="O979" s="39"/>
      <c r="P979" s="39"/>
      <c r="Q979" s="39"/>
      <c r="R979" s="39"/>
      <c r="S979" s="39"/>
    </row>
    <row r="980" spans="1:19" s="1" customFormat="1" ht="15" customHeight="1">
      <c r="A980" s="39"/>
      <c r="B980" s="39"/>
      <c r="C980" s="39"/>
      <c r="D980" s="39"/>
      <c r="E980" s="39"/>
      <c r="F980" s="39"/>
      <c r="G980" s="39"/>
      <c r="H980" s="39"/>
      <c r="I980" s="39"/>
      <c r="J980" s="39"/>
      <c r="K980" s="39"/>
      <c r="L980" s="39"/>
      <c r="M980" s="39"/>
      <c r="N980" s="39"/>
      <c r="O980" s="39"/>
      <c r="P980" s="39"/>
      <c r="Q980" s="39"/>
      <c r="R980" s="39"/>
      <c r="S980" s="39"/>
    </row>
    <row r="981" spans="1:19" s="1" customFormat="1" ht="15" customHeight="1">
      <c r="A981" s="39"/>
      <c r="B981" s="39"/>
      <c r="C981" s="39"/>
      <c r="D981" s="39"/>
      <c r="E981" s="39"/>
      <c r="F981" s="39"/>
      <c r="G981" s="39"/>
      <c r="H981" s="39"/>
      <c r="I981" s="39"/>
      <c r="J981" s="39"/>
      <c r="K981" s="39"/>
      <c r="L981" s="39"/>
      <c r="M981" s="39"/>
      <c r="N981" s="39"/>
      <c r="O981" s="39"/>
      <c r="P981" s="39"/>
      <c r="Q981" s="39"/>
      <c r="R981" s="39"/>
      <c r="S981" s="39"/>
    </row>
    <row r="982" spans="1:19" s="1" customFormat="1" ht="15" customHeight="1">
      <c r="A982" s="39"/>
      <c r="B982" s="39"/>
      <c r="C982" s="39"/>
      <c r="D982" s="39"/>
      <c r="E982" s="39"/>
      <c r="F982" s="39"/>
      <c r="G982" s="39"/>
      <c r="H982" s="39"/>
      <c r="I982" s="39"/>
      <c r="J982" s="39"/>
      <c r="K982" s="39"/>
      <c r="L982" s="39"/>
      <c r="M982" s="39"/>
      <c r="N982" s="39"/>
      <c r="O982" s="39"/>
      <c r="P982" s="39"/>
      <c r="Q982" s="39"/>
      <c r="R982" s="39"/>
      <c r="S982" s="39"/>
    </row>
    <row r="983" spans="1:19" s="1" customFormat="1" ht="15" customHeight="1">
      <c r="A983" s="39"/>
      <c r="B983" s="39"/>
      <c r="C983" s="39"/>
      <c r="D983" s="39"/>
      <c r="E983" s="39"/>
      <c r="F983" s="39"/>
      <c r="G983" s="39"/>
      <c r="H983" s="39"/>
      <c r="I983" s="39"/>
      <c r="J983" s="39"/>
      <c r="K983" s="39"/>
      <c r="L983" s="39"/>
      <c r="M983" s="39"/>
      <c r="N983" s="39"/>
      <c r="O983" s="39"/>
      <c r="P983" s="39"/>
      <c r="Q983" s="39"/>
      <c r="R983" s="39"/>
      <c r="S983" s="39"/>
    </row>
    <row r="984" spans="1:19" s="1" customFormat="1" ht="15" customHeight="1">
      <c r="A984" s="39"/>
      <c r="B984" s="39"/>
      <c r="C984" s="39"/>
      <c r="D984" s="39"/>
      <c r="E984" s="39"/>
      <c r="F984" s="39"/>
      <c r="G984" s="39"/>
      <c r="H984" s="39"/>
      <c r="I984" s="39"/>
      <c r="J984" s="39"/>
      <c r="K984" s="39"/>
      <c r="L984" s="39"/>
      <c r="M984" s="39"/>
      <c r="N984" s="39"/>
      <c r="O984" s="39"/>
      <c r="P984" s="39"/>
      <c r="Q984" s="39"/>
      <c r="R984" s="39"/>
      <c r="S984" s="39"/>
    </row>
    <row r="985" spans="1:19" s="1" customFormat="1" ht="15" customHeight="1">
      <c r="A985" s="39"/>
      <c r="B985" s="39"/>
      <c r="C985" s="39"/>
      <c r="D985" s="39"/>
      <c r="E985" s="39"/>
      <c r="F985" s="39"/>
      <c r="G985" s="39"/>
      <c r="H985" s="39"/>
      <c r="I985" s="39"/>
      <c r="J985" s="39"/>
      <c r="K985" s="39"/>
      <c r="L985" s="39"/>
      <c r="M985" s="39"/>
      <c r="N985" s="39"/>
      <c r="O985" s="39"/>
      <c r="P985" s="39"/>
      <c r="Q985" s="39"/>
      <c r="R985" s="39"/>
      <c r="S985" s="39"/>
    </row>
    <row r="986" spans="1:19" s="1" customFormat="1" ht="15" customHeight="1">
      <c r="A986" s="39"/>
      <c r="B986" s="39"/>
      <c r="C986" s="39"/>
      <c r="D986" s="39"/>
      <c r="E986" s="39"/>
      <c r="F986" s="39"/>
      <c r="G986" s="39"/>
      <c r="H986" s="39"/>
      <c r="I986" s="39"/>
      <c r="J986" s="39"/>
      <c r="K986" s="39"/>
      <c r="L986" s="39"/>
      <c r="M986" s="39"/>
      <c r="N986" s="39"/>
      <c r="O986" s="39"/>
      <c r="P986" s="39"/>
      <c r="Q986" s="39"/>
      <c r="R986" s="39"/>
      <c r="S986" s="39"/>
    </row>
    <row r="987" spans="1:19" s="1" customFormat="1" ht="15" customHeight="1">
      <c r="A987" s="39"/>
      <c r="B987" s="39"/>
      <c r="C987" s="39"/>
      <c r="D987" s="39"/>
      <c r="E987" s="39"/>
      <c r="F987" s="39"/>
      <c r="G987" s="39"/>
      <c r="H987" s="39"/>
      <c r="I987" s="39"/>
      <c r="J987" s="39"/>
      <c r="K987" s="39"/>
      <c r="L987" s="39"/>
      <c r="M987" s="39"/>
      <c r="N987" s="39"/>
      <c r="O987" s="39"/>
      <c r="P987" s="39"/>
      <c r="Q987" s="39"/>
      <c r="R987" s="39"/>
      <c r="S987" s="39"/>
    </row>
    <row r="988" spans="1:19" s="1" customFormat="1" ht="15" customHeight="1">
      <c r="A988" s="39"/>
      <c r="B988" s="39"/>
      <c r="C988" s="39"/>
      <c r="D988" s="39"/>
      <c r="E988" s="39"/>
      <c r="F988" s="39"/>
      <c r="G988" s="39"/>
      <c r="H988" s="39"/>
      <c r="I988" s="39"/>
      <c r="J988" s="39"/>
      <c r="K988" s="39"/>
      <c r="L988" s="39"/>
      <c r="M988" s="39"/>
      <c r="N988" s="39"/>
      <c r="O988" s="39"/>
      <c r="P988" s="39"/>
      <c r="Q988" s="39"/>
      <c r="R988" s="39"/>
      <c r="S988" s="39"/>
    </row>
    <row r="989" spans="1:19" s="1" customFormat="1" ht="15" customHeight="1">
      <c r="A989" s="39"/>
      <c r="B989" s="39"/>
      <c r="C989" s="39"/>
      <c r="D989" s="39"/>
      <c r="E989" s="39"/>
      <c r="F989" s="39"/>
      <c r="G989" s="39"/>
      <c r="H989" s="39"/>
      <c r="I989" s="39"/>
      <c r="J989" s="39"/>
      <c r="K989" s="39"/>
      <c r="L989" s="39"/>
      <c r="M989" s="39"/>
      <c r="N989" s="39"/>
      <c r="O989" s="39"/>
      <c r="P989" s="39"/>
      <c r="Q989" s="39"/>
      <c r="R989" s="39"/>
      <c r="S989" s="39"/>
    </row>
    <row r="990" spans="1:19" s="1" customFormat="1" ht="15" customHeight="1">
      <c r="A990" s="39"/>
      <c r="B990" s="39"/>
      <c r="C990" s="39"/>
      <c r="D990" s="39"/>
      <c r="E990" s="39"/>
      <c r="F990" s="39"/>
      <c r="G990" s="39"/>
      <c r="H990" s="39"/>
      <c r="I990" s="39"/>
      <c r="J990" s="39"/>
      <c r="K990" s="39"/>
      <c r="L990" s="39"/>
      <c r="M990" s="39"/>
      <c r="N990" s="39"/>
      <c r="O990" s="39"/>
      <c r="P990" s="39"/>
      <c r="Q990" s="39"/>
      <c r="R990" s="39"/>
      <c r="S990" s="39"/>
    </row>
    <row r="991" spans="1:19" s="1" customFormat="1" ht="15" customHeight="1">
      <c r="A991" s="39"/>
      <c r="B991" s="39"/>
      <c r="C991" s="39"/>
      <c r="D991" s="39"/>
      <c r="E991" s="39"/>
      <c r="F991" s="39"/>
      <c r="G991" s="39"/>
      <c r="H991" s="39"/>
      <c r="I991" s="39"/>
      <c r="J991" s="39"/>
      <c r="K991" s="39"/>
      <c r="L991" s="39"/>
      <c r="M991" s="39"/>
      <c r="N991" s="39"/>
      <c r="O991" s="39"/>
      <c r="P991" s="39"/>
      <c r="Q991" s="39"/>
      <c r="R991" s="39"/>
      <c r="S991" s="39"/>
    </row>
    <row r="992" spans="1:19" s="1" customFormat="1" ht="15" customHeight="1">
      <c r="A992" s="39"/>
      <c r="B992" s="39"/>
      <c r="C992" s="39"/>
      <c r="D992" s="39"/>
      <c r="E992" s="39"/>
      <c r="F992" s="39"/>
      <c r="G992" s="39"/>
      <c r="H992" s="39"/>
      <c r="I992" s="39"/>
      <c r="J992" s="39"/>
      <c r="K992" s="39"/>
      <c r="L992" s="39"/>
      <c r="M992" s="39"/>
      <c r="N992" s="39"/>
      <c r="O992" s="39"/>
      <c r="P992" s="39"/>
      <c r="Q992" s="39"/>
      <c r="R992" s="39"/>
      <c r="S992" s="39"/>
    </row>
    <row r="993" spans="1:19" s="1" customFormat="1" ht="15" customHeight="1">
      <c r="A993" s="39"/>
      <c r="B993" s="39"/>
      <c r="C993" s="39"/>
      <c r="D993" s="39"/>
      <c r="E993" s="39"/>
      <c r="F993" s="39"/>
      <c r="G993" s="39"/>
      <c r="H993" s="39"/>
      <c r="I993" s="39"/>
      <c r="J993" s="39"/>
      <c r="K993" s="39"/>
      <c r="L993" s="39"/>
      <c r="M993" s="39"/>
      <c r="N993" s="39"/>
      <c r="O993" s="39"/>
      <c r="P993" s="39"/>
      <c r="Q993" s="39"/>
      <c r="R993" s="39"/>
      <c r="S993" s="39"/>
    </row>
    <row r="994" spans="1:19" s="1" customFormat="1" ht="15" customHeight="1">
      <c r="A994" s="39"/>
      <c r="B994" s="39"/>
      <c r="C994" s="39"/>
      <c r="D994" s="39"/>
      <c r="E994" s="39"/>
      <c r="F994" s="39"/>
      <c r="G994" s="39"/>
      <c r="H994" s="39"/>
      <c r="I994" s="39"/>
      <c r="J994" s="39"/>
      <c r="K994" s="39"/>
      <c r="L994" s="39"/>
      <c r="M994" s="39"/>
      <c r="N994" s="39"/>
      <c r="O994" s="39"/>
      <c r="P994" s="39"/>
      <c r="Q994" s="39"/>
      <c r="R994" s="39"/>
      <c r="S994" s="39"/>
    </row>
    <row r="995" spans="1:19" s="1" customFormat="1" ht="15" customHeight="1">
      <c r="A995" s="39"/>
      <c r="B995" s="39"/>
      <c r="C995" s="39"/>
      <c r="D995" s="39"/>
      <c r="E995" s="39"/>
      <c r="F995" s="39"/>
      <c r="G995" s="39"/>
      <c r="H995" s="39"/>
      <c r="I995" s="39"/>
      <c r="J995" s="39"/>
      <c r="K995" s="39"/>
      <c r="L995" s="39"/>
      <c r="M995" s="39"/>
      <c r="N995" s="39"/>
      <c r="O995" s="39"/>
      <c r="P995" s="39"/>
      <c r="Q995" s="39"/>
      <c r="R995" s="39"/>
      <c r="S995" s="39"/>
    </row>
    <row r="996" spans="1:19" s="1" customFormat="1" ht="15" customHeight="1">
      <c r="A996" s="39"/>
      <c r="B996" s="39"/>
      <c r="C996" s="39"/>
      <c r="D996" s="39"/>
      <c r="E996" s="39"/>
      <c r="F996" s="39"/>
      <c r="G996" s="39"/>
      <c r="H996" s="39"/>
      <c r="I996" s="39"/>
      <c r="J996" s="39"/>
      <c r="K996" s="39"/>
      <c r="L996" s="39"/>
      <c r="M996" s="39"/>
      <c r="N996" s="39"/>
      <c r="O996" s="39"/>
      <c r="P996" s="39"/>
      <c r="Q996" s="39"/>
      <c r="R996" s="39"/>
      <c r="S996" s="39"/>
    </row>
    <row r="997" spans="1:19" s="1" customFormat="1" ht="15" customHeight="1">
      <c r="A997" s="39"/>
      <c r="B997" s="39"/>
      <c r="C997" s="39"/>
      <c r="D997" s="39"/>
      <c r="E997" s="39"/>
      <c r="F997" s="39"/>
      <c r="G997" s="39"/>
      <c r="H997" s="39"/>
      <c r="I997" s="39"/>
      <c r="J997" s="39"/>
      <c r="K997" s="39"/>
      <c r="L997" s="39"/>
      <c r="M997" s="39"/>
      <c r="N997" s="39"/>
      <c r="O997" s="39"/>
      <c r="P997" s="39"/>
      <c r="Q997" s="39"/>
      <c r="R997" s="39"/>
      <c r="S997" s="39"/>
    </row>
    <row r="998" spans="1:19" s="1" customFormat="1" ht="15" customHeight="1">
      <c r="A998" s="39"/>
      <c r="B998" s="39"/>
      <c r="C998" s="39"/>
      <c r="D998" s="39"/>
      <c r="E998" s="39"/>
      <c r="F998" s="39"/>
      <c r="G998" s="39"/>
      <c r="H998" s="39"/>
      <c r="I998" s="39"/>
      <c r="J998" s="39"/>
      <c r="K998" s="39"/>
      <c r="L998" s="39"/>
      <c r="M998" s="39"/>
      <c r="N998" s="39"/>
      <c r="O998" s="39"/>
      <c r="P998" s="39"/>
      <c r="Q998" s="39"/>
      <c r="R998" s="39"/>
      <c r="S998" s="39"/>
    </row>
    <row r="999" spans="1:19" s="1" customFormat="1" ht="15" customHeight="1">
      <c r="A999" s="39"/>
      <c r="B999" s="39"/>
      <c r="C999" s="39"/>
      <c r="D999" s="39"/>
      <c r="E999" s="39"/>
      <c r="F999" s="39"/>
      <c r="G999" s="39"/>
      <c r="H999" s="39"/>
      <c r="I999" s="39"/>
      <c r="J999" s="39"/>
      <c r="K999" s="39"/>
      <c r="L999" s="39"/>
      <c r="M999" s="39"/>
      <c r="N999" s="39"/>
      <c r="O999" s="39"/>
      <c r="P999" s="39"/>
      <c r="Q999" s="39"/>
      <c r="R999" s="39"/>
      <c r="S999" s="39"/>
    </row>
    <row r="1000" spans="1:19" s="1" customFormat="1" ht="15" customHeight="1">
      <c r="A1000" s="39"/>
      <c r="B1000" s="39"/>
      <c r="C1000" s="39"/>
      <c r="D1000" s="39"/>
      <c r="E1000" s="39"/>
      <c r="F1000" s="39"/>
      <c r="G1000" s="39"/>
      <c r="H1000" s="39"/>
      <c r="I1000" s="39"/>
      <c r="J1000" s="39"/>
      <c r="K1000" s="39"/>
      <c r="L1000" s="39"/>
      <c r="M1000" s="39"/>
      <c r="N1000" s="39"/>
      <c r="O1000" s="39"/>
      <c r="P1000" s="39"/>
      <c r="Q1000" s="39"/>
      <c r="R1000" s="39"/>
      <c r="S1000" s="39"/>
    </row>
    <row r="1001" spans="1:19" s="1" customFormat="1" ht="15" customHeight="1">
      <c r="A1001" s="39"/>
      <c r="B1001" s="39"/>
      <c r="C1001" s="39"/>
      <c r="D1001" s="39"/>
      <c r="E1001" s="39"/>
      <c r="F1001" s="39"/>
      <c r="G1001" s="39"/>
      <c r="H1001" s="39"/>
      <c r="I1001" s="39"/>
      <c r="J1001" s="39"/>
      <c r="K1001" s="39"/>
      <c r="L1001" s="39"/>
      <c r="M1001" s="39"/>
      <c r="N1001" s="39"/>
      <c r="O1001" s="39"/>
      <c r="P1001" s="39"/>
      <c r="Q1001" s="39"/>
      <c r="R1001" s="39"/>
      <c r="S1001" s="39"/>
    </row>
    <row r="1002" spans="1:19" s="1" customFormat="1" ht="15" customHeight="1">
      <c r="A1002" s="39"/>
      <c r="B1002" s="39"/>
      <c r="C1002" s="39"/>
      <c r="D1002" s="39"/>
      <c r="E1002" s="39"/>
      <c r="F1002" s="39"/>
      <c r="G1002" s="39"/>
      <c r="H1002" s="39"/>
      <c r="I1002" s="39"/>
      <c r="J1002" s="39"/>
      <c r="K1002" s="39"/>
      <c r="L1002" s="39"/>
      <c r="M1002" s="39"/>
      <c r="N1002" s="39"/>
      <c r="O1002" s="39"/>
      <c r="P1002" s="39"/>
      <c r="Q1002" s="39"/>
      <c r="R1002" s="39"/>
      <c r="S1002" s="39"/>
    </row>
    <row r="1003" spans="1:19" s="1" customFormat="1" ht="15" customHeight="1">
      <c r="A1003" s="39"/>
      <c r="B1003" s="39"/>
      <c r="C1003" s="39"/>
      <c r="D1003" s="39"/>
      <c r="E1003" s="39"/>
      <c r="F1003" s="39"/>
      <c r="G1003" s="39"/>
      <c r="H1003" s="39"/>
      <c r="I1003" s="39"/>
      <c r="J1003" s="39"/>
      <c r="K1003" s="39"/>
      <c r="L1003" s="39"/>
      <c r="M1003" s="39"/>
      <c r="N1003" s="39"/>
      <c r="O1003" s="39"/>
      <c r="P1003" s="39"/>
      <c r="Q1003" s="39"/>
      <c r="R1003" s="39"/>
      <c r="S1003" s="39"/>
    </row>
    <row r="1004" spans="1:19" s="1" customFormat="1" ht="15" customHeight="1">
      <c r="A1004" s="39"/>
      <c r="B1004" s="39"/>
      <c r="C1004" s="39"/>
      <c r="D1004" s="39"/>
      <c r="E1004" s="39"/>
      <c r="F1004" s="39"/>
      <c r="G1004" s="39"/>
      <c r="H1004" s="39"/>
      <c r="I1004" s="39"/>
      <c r="J1004" s="39"/>
      <c r="K1004" s="39"/>
      <c r="L1004" s="39"/>
      <c r="M1004" s="39"/>
      <c r="N1004" s="39"/>
      <c r="O1004" s="39"/>
      <c r="P1004" s="39"/>
      <c r="Q1004" s="39"/>
      <c r="R1004" s="39"/>
      <c r="S1004" s="39"/>
    </row>
    <row r="1005" spans="1:19" s="1" customFormat="1" ht="15" customHeight="1">
      <c r="A1005" s="39"/>
      <c r="B1005" s="39"/>
      <c r="C1005" s="39"/>
      <c r="D1005" s="39"/>
      <c r="E1005" s="39"/>
      <c r="F1005" s="39"/>
      <c r="G1005" s="39"/>
      <c r="H1005" s="39"/>
      <c r="I1005" s="39"/>
      <c r="J1005" s="39"/>
      <c r="K1005" s="39"/>
      <c r="L1005" s="39"/>
      <c r="M1005" s="39"/>
      <c r="N1005" s="39"/>
      <c r="O1005" s="39"/>
      <c r="P1005" s="39"/>
      <c r="Q1005" s="39"/>
      <c r="R1005" s="39"/>
      <c r="S1005" s="39"/>
    </row>
    <row r="1006" spans="1:19" s="1" customFormat="1" ht="15" customHeight="1">
      <c r="A1006" s="39"/>
      <c r="B1006" s="39"/>
      <c r="C1006" s="39"/>
      <c r="D1006" s="39"/>
      <c r="E1006" s="39"/>
      <c r="F1006" s="39"/>
      <c r="G1006" s="39"/>
      <c r="H1006" s="39"/>
      <c r="I1006" s="39"/>
      <c r="J1006" s="39"/>
      <c r="K1006" s="39"/>
      <c r="L1006" s="39"/>
      <c r="M1006" s="39"/>
      <c r="N1006" s="39"/>
      <c r="O1006" s="39"/>
      <c r="P1006" s="39"/>
      <c r="Q1006" s="39"/>
      <c r="R1006" s="39"/>
      <c r="S1006" s="39"/>
    </row>
    <row r="1007" spans="1:19" s="1" customFormat="1" ht="15" customHeight="1">
      <c r="A1007" s="39"/>
      <c r="B1007" s="39"/>
      <c r="C1007" s="39"/>
      <c r="D1007" s="39"/>
      <c r="E1007" s="39"/>
      <c r="F1007" s="39"/>
      <c r="G1007" s="39"/>
      <c r="H1007" s="39"/>
      <c r="I1007" s="39"/>
      <c r="J1007" s="39"/>
      <c r="K1007" s="39"/>
      <c r="L1007" s="39"/>
      <c r="M1007" s="39"/>
      <c r="N1007" s="39"/>
      <c r="O1007" s="39"/>
      <c r="P1007" s="39"/>
      <c r="Q1007" s="39"/>
      <c r="R1007" s="39"/>
      <c r="S1007" s="39"/>
    </row>
    <row r="1008" spans="1:19" s="1" customFormat="1" ht="15" customHeight="1">
      <c r="A1008" s="39"/>
      <c r="B1008" s="39"/>
      <c r="C1008" s="39"/>
      <c r="D1008" s="39"/>
      <c r="E1008" s="39"/>
      <c r="F1008" s="39"/>
      <c r="G1008" s="39"/>
      <c r="H1008" s="39"/>
      <c r="I1008" s="39"/>
      <c r="J1008" s="39"/>
      <c r="K1008" s="39"/>
      <c r="L1008" s="39"/>
      <c r="M1008" s="39"/>
      <c r="N1008" s="39"/>
      <c r="O1008" s="39"/>
      <c r="P1008" s="39"/>
      <c r="Q1008" s="39"/>
      <c r="R1008" s="39"/>
      <c r="S1008" s="39"/>
    </row>
    <row r="1009" spans="1:19" s="1" customFormat="1" ht="15" customHeight="1">
      <c r="A1009" s="39"/>
      <c r="B1009" s="39"/>
      <c r="C1009" s="39"/>
      <c r="D1009" s="39"/>
      <c r="E1009" s="39"/>
      <c r="F1009" s="39"/>
      <c r="G1009" s="39"/>
      <c r="H1009" s="39"/>
      <c r="I1009" s="39"/>
      <c r="J1009" s="39"/>
      <c r="K1009" s="39"/>
      <c r="L1009" s="39"/>
      <c r="M1009" s="39"/>
      <c r="N1009" s="39"/>
      <c r="O1009" s="39"/>
      <c r="P1009" s="39"/>
      <c r="Q1009" s="39"/>
      <c r="R1009" s="39"/>
      <c r="S1009" s="39"/>
    </row>
    <row r="1010" spans="1:19" s="1" customFormat="1" ht="15" customHeight="1">
      <c r="A1010" s="39"/>
      <c r="B1010" s="39"/>
      <c r="C1010" s="39"/>
      <c r="D1010" s="39"/>
      <c r="E1010" s="39"/>
      <c r="F1010" s="39"/>
      <c r="G1010" s="39"/>
      <c r="H1010" s="39"/>
      <c r="I1010" s="39"/>
      <c r="J1010" s="39"/>
      <c r="K1010" s="39"/>
      <c r="L1010" s="39"/>
      <c r="M1010" s="39"/>
      <c r="N1010" s="39"/>
      <c r="O1010" s="39"/>
      <c r="P1010" s="39"/>
      <c r="Q1010" s="39"/>
      <c r="R1010" s="39"/>
      <c r="S1010" s="39"/>
    </row>
    <row r="1011" spans="1:19" s="1" customFormat="1" ht="15" customHeight="1">
      <c r="A1011" s="39"/>
      <c r="B1011" s="39"/>
      <c r="C1011" s="39"/>
      <c r="D1011" s="39"/>
      <c r="E1011" s="39"/>
      <c r="F1011" s="39"/>
      <c r="G1011" s="39"/>
      <c r="H1011" s="39"/>
      <c r="I1011" s="39"/>
      <c r="J1011" s="39"/>
      <c r="K1011" s="39"/>
      <c r="L1011" s="39"/>
      <c r="M1011" s="39"/>
      <c r="N1011" s="39"/>
      <c r="O1011" s="39"/>
      <c r="P1011" s="39"/>
      <c r="Q1011" s="39"/>
      <c r="R1011" s="39"/>
      <c r="S1011" s="39"/>
    </row>
    <row r="1012" spans="1:19" s="1" customFormat="1" ht="15" customHeight="1">
      <c r="A1012" s="39"/>
      <c r="B1012" s="39"/>
      <c r="C1012" s="39"/>
      <c r="D1012" s="39"/>
      <c r="E1012" s="39"/>
      <c r="F1012" s="39"/>
      <c r="G1012" s="39"/>
      <c r="H1012" s="39"/>
      <c r="I1012" s="39"/>
      <c r="J1012" s="39"/>
      <c r="K1012" s="39"/>
      <c r="L1012" s="39"/>
      <c r="M1012" s="39"/>
      <c r="N1012" s="39"/>
      <c r="O1012" s="39"/>
      <c r="P1012" s="39"/>
      <c r="Q1012" s="39"/>
      <c r="R1012" s="39"/>
      <c r="S1012" s="39"/>
    </row>
    <row r="1013" spans="1:19" s="1" customFormat="1" ht="15" customHeight="1">
      <c r="A1013" s="39"/>
      <c r="B1013" s="39"/>
      <c r="C1013" s="39"/>
      <c r="D1013" s="39"/>
      <c r="E1013" s="39"/>
      <c r="F1013" s="39"/>
      <c r="G1013" s="39"/>
      <c r="H1013" s="39"/>
      <c r="I1013" s="39"/>
      <c r="J1013" s="39"/>
      <c r="K1013" s="39"/>
      <c r="L1013" s="39"/>
      <c r="M1013" s="39"/>
      <c r="N1013" s="39"/>
      <c r="O1013" s="39"/>
      <c r="P1013" s="39"/>
      <c r="Q1013" s="39"/>
      <c r="R1013" s="39"/>
      <c r="S1013" s="39"/>
    </row>
    <row r="1014" spans="1:19" s="1" customFormat="1" ht="15" customHeight="1">
      <c r="A1014" s="39"/>
      <c r="B1014" s="39"/>
      <c r="C1014" s="39"/>
      <c r="D1014" s="39"/>
      <c r="E1014" s="39"/>
      <c r="F1014" s="39"/>
      <c r="G1014" s="39"/>
      <c r="H1014" s="39"/>
      <c r="I1014" s="39"/>
      <c r="J1014" s="39"/>
      <c r="K1014" s="39"/>
      <c r="L1014" s="39"/>
      <c r="M1014" s="39"/>
      <c r="N1014" s="39"/>
      <c r="O1014" s="39"/>
      <c r="P1014" s="39"/>
      <c r="Q1014" s="39"/>
      <c r="R1014" s="39"/>
      <c r="S1014" s="39"/>
    </row>
    <row r="1015" spans="1:19" s="1" customFormat="1" ht="15" customHeight="1">
      <c r="A1015" s="39"/>
      <c r="B1015" s="39"/>
      <c r="C1015" s="39"/>
      <c r="D1015" s="39"/>
      <c r="E1015" s="39"/>
      <c r="F1015" s="39"/>
      <c r="G1015" s="39"/>
      <c r="H1015" s="39"/>
      <c r="I1015" s="39"/>
      <c r="J1015" s="39"/>
      <c r="K1015" s="39"/>
      <c r="L1015" s="39"/>
      <c r="M1015" s="39"/>
      <c r="N1015" s="39"/>
      <c r="O1015" s="39"/>
      <c r="P1015" s="39"/>
      <c r="Q1015" s="39"/>
      <c r="R1015" s="39"/>
      <c r="S1015" s="39"/>
    </row>
    <row r="1016" spans="1:19" s="1" customFormat="1" ht="15" customHeight="1">
      <c r="A1016" s="39"/>
      <c r="B1016" s="39"/>
      <c r="C1016" s="39"/>
      <c r="D1016" s="39"/>
      <c r="E1016" s="39"/>
      <c r="F1016" s="39"/>
      <c r="G1016" s="39"/>
      <c r="H1016" s="39"/>
      <c r="I1016" s="39"/>
      <c r="J1016" s="39"/>
      <c r="K1016" s="39"/>
      <c r="L1016" s="39"/>
      <c r="M1016" s="39"/>
      <c r="N1016" s="39"/>
      <c r="O1016" s="39"/>
      <c r="P1016" s="39"/>
      <c r="Q1016" s="39"/>
      <c r="R1016" s="39"/>
      <c r="S1016" s="39"/>
    </row>
    <row r="1017" spans="1:19" s="1" customFormat="1" ht="15" customHeight="1">
      <c r="A1017" s="39"/>
      <c r="B1017" s="39"/>
      <c r="C1017" s="39"/>
      <c r="D1017" s="39"/>
      <c r="E1017" s="39"/>
      <c r="F1017" s="39"/>
      <c r="G1017" s="39"/>
      <c r="H1017" s="39"/>
      <c r="I1017" s="39"/>
      <c r="J1017" s="39"/>
      <c r="K1017" s="39"/>
      <c r="L1017" s="39"/>
      <c r="M1017" s="39"/>
      <c r="N1017" s="39"/>
      <c r="O1017" s="39"/>
      <c r="P1017" s="39"/>
      <c r="Q1017" s="39"/>
      <c r="R1017" s="39"/>
      <c r="S1017" s="39"/>
    </row>
    <row r="1018" spans="1:19" s="1" customFormat="1" ht="15" customHeight="1">
      <c r="A1018" s="39"/>
      <c r="B1018" s="39"/>
      <c r="C1018" s="39"/>
      <c r="D1018" s="39"/>
      <c r="E1018" s="39"/>
      <c r="F1018" s="39"/>
      <c r="G1018" s="39"/>
      <c r="H1018" s="39"/>
      <c r="I1018" s="39"/>
      <c r="J1018" s="39"/>
      <c r="K1018" s="39"/>
      <c r="L1018" s="39"/>
      <c r="M1018" s="39"/>
      <c r="N1018" s="39"/>
      <c r="O1018" s="39"/>
      <c r="P1018" s="39"/>
      <c r="Q1018" s="39"/>
      <c r="R1018" s="39"/>
      <c r="S1018" s="39"/>
    </row>
    <row r="1019" spans="1:19" s="1" customFormat="1" ht="15" customHeight="1">
      <c r="A1019" s="39"/>
      <c r="B1019" s="39"/>
      <c r="C1019" s="39"/>
      <c r="D1019" s="39"/>
      <c r="E1019" s="39"/>
      <c r="F1019" s="39"/>
      <c r="G1019" s="39"/>
      <c r="H1019" s="39"/>
      <c r="I1019" s="39"/>
      <c r="J1019" s="39"/>
      <c r="K1019" s="39"/>
      <c r="L1019" s="39"/>
      <c r="M1019" s="39"/>
      <c r="N1019" s="39"/>
      <c r="O1019" s="39"/>
      <c r="P1019" s="39"/>
      <c r="Q1019" s="39"/>
      <c r="R1019" s="39"/>
      <c r="S1019" s="39"/>
    </row>
    <row r="1020" spans="1:19" s="1" customFormat="1" ht="15" customHeight="1">
      <c r="A1020" s="39"/>
      <c r="B1020" s="39"/>
      <c r="C1020" s="39"/>
      <c r="D1020" s="39"/>
      <c r="E1020" s="39"/>
      <c r="F1020" s="39"/>
      <c r="G1020" s="39"/>
      <c r="H1020" s="39"/>
      <c r="I1020" s="39"/>
      <c r="J1020" s="39"/>
      <c r="K1020" s="39"/>
      <c r="L1020" s="39"/>
      <c r="M1020" s="39"/>
      <c r="N1020" s="39"/>
      <c r="O1020" s="39"/>
      <c r="P1020" s="39"/>
      <c r="Q1020" s="39"/>
      <c r="R1020" s="39"/>
      <c r="S1020" s="39"/>
    </row>
    <row r="1021" spans="1:19" s="1" customFormat="1" ht="15" customHeight="1">
      <c r="A1021" s="39"/>
      <c r="B1021" s="39"/>
      <c r="C1021" s="39"/>
      <c r="D1021" s="39"/>
      <c r="E1021" s="39"/>
      <c r="F1021" s="39"/>
      <c r="G1021" s="39"/>
      <c r="H1021" s="39"/>
      <c r="I1021" s="39"/>
      <c r="J1021" s="39"/>
      <c r="K1021" s="39"/>
      <c r="L1021" s="39"/>
      <c r="M1021" s="39"/>
      <c r="N1021" s="39"/>
      <c r="O1021" s="39"/>
      <c r="P1021" s="39"/>
      <c r="Q1021" s="39"/>
      <c r="R1021" s="39"/>
      <c r="S1021" s="39"/>
    </row>
    <row r="1022" spans="1:19" s="1" customFormat="1" ht="15" customHeight="1">
      <c r="A1022" s="39"/>
      <c r="B1022" s="39"/>
      <c r="C1022" s="39"/>
      <c r="D1022" s="39"/>
      <c r="E1022" s="39"/>
      <c r="F1022" s="39"/>
      <c r="G1022" s="39"/>
      <c r="H1022" s="39"/>
      <c r="I1022" s="39"/>
      <c r="J1022" s="39"/>
      <c r="K1022" s="39"/>
      <c r="L1022" s="39"/>
      <c r="M1022" s="39"/>
      <c r="N1022" s="39"/>
      <c r="O1022" s="39"/>
      <c r="P1022" s="39"/>
      <c r="Q1022" s="39"/>
      <c r="R1022" s="39"/>
      <c r="S1022" s="39"/>
    </row>
    <row r="1023" spans="1:19" s="1" customFormat="1" ht="15" customHeight="1">
      <c r="A1023" s="39"/>
      <c r="B1023" s="39"/>
      <c r="C1023" s="39"/>
      <c r="D1023" s="39"/>
      <c r="E1023" s="39"/>
      <c r="F1023" s="39"/>
      <c r="G1023" s="39"/>
      <c r="H1023" s="39"/>
      <c r="I1023" s="39"/>
      <c r="J1023" s="39"/>
      <c r="K1023" s="39"/>
      <c r="L1023" s="39"/>
      <c r="M1023" s="39"/>
      <c r="N1023" s="39"/>
      <c r="O1023" s="39"/>
      <c r="P1023" s="39"/>
      <c r="Q1023" s="39"/>
      <c r="R1023" s="39"/>
      <c r="S1023" s="39"/>
    </row>
    <row r="1024" spans="1:19" s="1" customFormat="1" ht="15" customHeight="1">
      <c r="A1024" s="39"/>
      <c r="B1024" s="39"/>
      <c r="C1024" s="39"/>
      <c r="D1024" s="39"/>
      <c r="E1024" s="39"/>
      <c r="F1024" s="39"/>
      <c r="G1024" s="39"/>
      <c r="H1024" s="39"/>
      <c r="I1024" s="39"/>
      <c r="J1024" s="39"/>
      <c r="K1024" s="39"/>
      <c r="L1024" s="39"/>
      <c r="M1024" s="39"/>
      <c r="N1024" s="39"/>
      <c r="O1024" s="39"/>
      <c r="P1024" s="39"/>
      <c r="Q1024" s="39"/>
      <c r="R1024" s="39"/>
      <c r="S1024" s="39"/>
    </row>
    <row r="1025" spans="1:19" s="1" customFormat="1" ht="15" customHeight="1">
      <c r="A1025" s="39"/>
      <c r="B1025" s="39"/>
      <c r="C1025" s="39"/>
      <c r="D1025" s="39"/>
      <c r="E1025" s="39"/>
      <c r="F1025" s="39"/>
      <c r="G1025" s="39"/>
      <c r="H1025" s="39"/>
      <c r="I1025" s="39"/>
      <c r="J1025" s="39"/>
      <c r="K1025" s="39"/>
      <c r="L1025" s="39"/>
      <c r="M1025" s="39"/>
      <c r="N1025" s="39"/>
      <c r="O1025" s="39"/>
      <c r="P1025" s="39"/>
      <c r="Q1025" s="39"/>
      <c r="R1025" s="39"/>
      <c r="S1025" s="39"/>
    </row>
    <row r="1026" spans="1:19" s="1" customFormat="1" ht="15" customHeight="1">
      <c r="A1026" s="39"/>
      <c r="B1026" s="39"/>
      <c r="C1026" s="39"/>
      <c r="D1026" s="39"/>
      <c r="E1026" s="39"/>
      <c r="F1026" s="39"/>
      <c r="G1026" s="39"/>
      <c r="H1026" s="39"/>
      <c r="I1026" s="39"/>
      <c r="J1026" s="39"/>
      <c r="K1026" s="39"/>
      <c r="L1026" s="39"/>
      <c r="M1026" s="39"/>
      <c r="N1026" s="39"/>
      <c r="O1026" s="39"/>
      <c r="P1026" s="39"/>
      <c r="Q1026" s="39"/>
      <c r="R1026" s="39"/>
      <c r="S1026" s="39"/>
    </row>
    <row r="1027" spans="1:19" s="1" customFormat="1" ht="15" customHeight="1">
      <c r="A1027" s="39"/>
      <c r="B1027" s="39"/>
      <c r="C1027" s="39"/>
      <c r="D1027" s="39"/>
      <c r="E1027" s="39"/>
      <c r="F1027" s="39"/>
      <c r="G1027" s="39"/>
      <c r="H1027" s="39"/>
      <c r="I1027" s="39"/>
      <c r="J1027" s="39"/>
      <c r="K1027" s="39"/>
      <c r="L1027" s="39"/>
      <c r="M1027" s="39"/>
      <c r="N1027" s="39"/>
      <c r="O1027" s="39"/>
      <c r="P1027" s="39"/>
      <c r="Q1027" s="39"/>
      <c r="R1027" s="39"/>
      <c r="S1027" s="39"/>
    </row>
    <row r="1028" spans="1:19" s="1" customFormat="1" ht="15" customHeight="1">
      <c r="A1028" s="39"/>
      <c r="B1028" s="39"/>
      <c r="C1028" s="39"/>
      <c r="D1028" s="39"/>
      <c r="E1028" s="39"/>
      <c r="F1028" s="39"/>
      <c r="G1028" s="39"/>
      <c r="H1028" s="39"/>
      <c r="I1028" s="39"/>
      <c r="J1028" s="39"/>
      <c r="K1028" s="39"/>
      <c r="L1028" s="39"/>
      <c r="M1028" s="39"/>
      <c r="N1028" s="39"/>
      <c r="O1028" s="39"/>
      <c r="P1028" s="39"/>
      <c r="Q1028" s="39"/>
      <c r="R1028" s="39"/>
      <c r="S1028" s="39"/>
    </row>
    <row r="1029" spans="1:19" s="1" customFormat="1" ht="15" customHeight="1">
      <c r="A1029" s="39"/>
      <c r="B1029" s="39"/>
      <c r="C1029" s="39"/>
      <c r="D1029" s="39"/>
      <c r="E1029" s="39"/>
      <c r="F1029" s="39"/>
      <c r="G1029" s="39"/>
      <c r="H1029" s="39"/>
      <c r="I1029" s="39"/>
      <c r="J1029" s="39"/>
      <c r="K1029" s="39"/>
      <c r="L1029" s="39"/>
      <c r="M1029" s="39"/>
      <c r="N1029" s="39"/>
      <c r="O1029" s="39"/>
      <c r="P1029" s="39"/>
      <c r="Q1029" s="39"/>
      <c r="R1029" s="39"/>
      <c r="S1029" s="39"/>
    </row>
    <row r="1030" spans="1:19" s="1" customFormat="1" ht="15" customHeight="1">
      <c r="A1030" s="39"/>
      <c r="B1030" s="39"/>
      <c r="C1030" s="39"/>
      <c r="D1030" s="39"/>
      <c r="E1030" s="39"/>
      <c r="F1030" s="39"/>
      <c r="G1030" s="39"/>
      <c r="H1030" s="39"/>
      <c r="I1030" s="39"/>
      <c r="J1030" s="39"/>
      <c r="K1030" s="39"/>
      <c r="L1030" s="39"/>
      <c r="M1030" s="39"/>
      <c r="N1030" s="39"/>
      <c r="O1030" s="39"/>
      <c r="P1030" s="39"/>
      <c r="Q1030" s="39"/>
      <c r="R1030" s="39"/>
      <c r="S1030" s="39"/>
    </row>
    <row r="1031" spans="1:19" s="1" customFormat="1" ht="15" customHeight="1">
      <c r="A1031" s="39"/>
      <c r="B1031" s="39"/>
      <c r="C1031" s="39"/>
      <c r="D1031" s="39"/>
      <c r="E1031" s="39"/>
      <c r="F1031" s="39"/>
      <c r="G1031" s="39"/>
      <c r="H1031" s="39"/>
      <c r="I1031" s="39"/>
      <c r="J1031" s="39"/>
      <c r="K1031" s="39"/>
      <c r="L1031" s="39"/>
      <c r="M1031" s="39"/>
      <c r="N1031" s="39"/>
      <c r="O1031" s="39"/>
      <c r="P1031" s="39"/>
      <c r="Q1031" s="39"/>
      <c r="R1031" s="39"/>
      <c r="S1031" s="39"/>
    </row>
    <row r="1032" spans="1:19" s="1" customFormat="1" ht="15" customHeight="1">
      <c r="A1032" s="39"/>
      <c r="B1032" s="39"/>
      <c r="C1032" s="39"/>
      <c r="D1032" s="39"/>
      <c r="E1032" s="39"/>
      <c r="F1032" s="39"/>
      <c r="G1032" s="39"/>
      <c r="H1032" s="39"/>
      <c r="I1032" s="39"/>
      <c r="J1032" s="39"/>
      <c r="K1032" s="39"/>
      <c r="L1032" s="39"/>
      <c r="M1032" s="39"/>
      <c r="N1032" s="39"/>
      <c r="O1032" s="39"/>
      <c r="P1032" s="39"/>
      <c r="Q1032" s="39"/>
      <c r="R1032" s="39"/>
      <c r="S1032" s="39"/>
    </row>
    <row r="1033" spans="1:19" s="1" customFormat="1" ht="15" customHeight="1">
      <c r="A1033" s="39"/>
      <c r="B1033" s="39"/>
      <c r="C1033" s="39"/>
      <c r="D1033" s="39"/>
      <c r="E1033" s="39"/>
      <c r="F1033" s="39"/>
      <c r="G1033" s="39"/>
      <c r="H1033" s="39"/>
      <c r="I1033" s="39"/>
      <c r="J1033" s="39"/>
      <c r="K1033" s="39"/>
      <c r="L1033" s="39"/>
      <c r="M1033" s="39"/>
      <c r="N1033" s="39"/>
      <c r="O1033" s="39"/>
      <c r="P1033" s="39"/>
      <c r="Q1033" s="39"/>
      <c r="R1033" s="39"/>
      <c r="S1033" s="39"/>
    </row>
    <row r="1034" spans="1:19" s="1" customFormat="1" ht="15" customHeight="1">
      <c r="A1034" s="39"/>
      <c r="B1034" s="39"/>
      <c r="C1034" s="39"/>
      <c r="D1034" s="39"/>
      <c r="E1034" s="39"/>
      <c r="F1034" s="39"/>
      <c r="G1034" s="39"/>
      <c r="H1034" s="39"/>
      <c r="I1034" s="39"/>
      <c r="J1034" s="39"/>
      <c r="K1034" s="39"/>
      <c r="L1034" s="39"/>
      <c r="M1034" s="39"/>
      <c r="N1034" s="39"/>
      <c r="O1034" s="39"/>
      <c r="P1034" s="39"/>
      <c r="Q1034" s="39"/>
      <c r="R1034" s="39"/>
      <c r="S1034" s="39"/>
    </row>
    <row r="1035" spans="1:19" s="1" customFormat="1" ht="15" customHeight="1">
      <c r="A1035" s="39"/>
      <c r="B1035" s="39"/>
      <c r="C1035" s="39"/>
      <c r="D1035" s="39"/>
      <c r="E1035" s="39"/>
      <c r="F1035" s="39"/>
      <c r="G1035" s="39"/>
      <c r="H1035" s="39"/>
      <c r="I1035" s="39"/>
      <c r="J1035" s="39"/>
      <c r="K1035" s="39"/>
      <c r="L1035" s="39"/>
      <c r="M1035" s="39"/>
      <c r="N1035" s="39"/>
      <c r="O1035" s="39"/>
      <c r="P1035" s="39"/>
      <c r="Q1035" s="39"/>
      <c r="R1035" s="39"/>
      <c r="S1035" s="39"/>
    </row>
    <row r="1036" spans="1:19" s="1" customFormat="1" ht="15" customHeight="1">
      <c r="A1036" s="39"/>
      <c r="B1036" s="39"/>
      <c r="C1036" s="39"/>
      <c r="D1036" s="39"/>
      <c r="E1036" s="39"/>
      <c r="F1036" s="39"/>
      <c r="G1036" s="39"/>
      <c r="H1036" s="39"/>
      <c r="I1036" s="39"/>
      <c r="J1036" s="39"/>
      <c r="K1036" s="39"/>
      <c r="L1036" s="39"/>
      <c r="M1036" s="39"/>
      <c r="N1036" s="39"/>
      <c r="O1036" s="39"/>
      <c r="P1036" s="39"/>
      <c r="Q1036" s="39"/>
      <c r="R1036" s="39"/>
      <c r="S1036" s="39"/>
    </row>
    <row r="1037" spans="1:19" s="1" customFormat="1" ht="15" customHeight="1">
      <c r="A1037" s="39"/>
      <c r="B1037" s="39"/>
      <c r="C1037" s="39"/>
      <c r="D1037" s="39"/>
      <c r="E1037" s="39"/>
      <c r="F1037" s="39"/>
      <c r="G1037" s="39"/>
      <c r="H1037" s="39"/>
      <c r="I1037" s="39"/>
      <c r="J1037" s="39"/>
      <c r="K1037" s="39"/>
      <c r="L1037" s="39"/>
      <c r="M1037" s="39"/>
      <c r="N1037" s="39"/>
      <c r="O1037" s="39"/>
      <c r="P1037" s="39"/>
      <c r="Q1037" s="39"/>
      <c r="R1037" s="39"/>
      <c r="S1037" s="39"/>
    </row>
    <row r="1038" spans="1:19" s="1" customFormat="1" ht="15" customHeight="1">
      <c r="A1038" s="39"/>
      <c r="B1038" s="39"/>
      <c r="C1038" s="39"/>
      <c r="D1038" s="39"/>
      <c r="E1038" s="39"/>
      <c r="F1038" s="39"/>
      <c r="G1038" s="39"/>
      <c r="H1038" s="39"/>
      <c r="I1038" s="39"/>
      <c r="J1038" s="39"/>
      <c r="K1038" s="39"/>
      <c r="L1038" s="39"/>
      <c r="M1038" s="39"/>
      <c r="N1038" s="39"/>
      <c r="O1038" s="39"/>
      <c r="P1038" s="39"/>
      <c r="Q1038" s="39"/>
      <c r="R1038" s="39"/>
      <c r="S1038" s="39"/>
    </row>
    <row r="1039" spans="1:19" s="1" customFormat="1" ht="15" customHeight="1">
      <c r="A1039" s="39"/>
      <c r="B1039" s="39"/>
      <c r="C1039" s="39"/>
      <c r="D1039" s="39"/>
      <c r="E1039" s="39"/>
      <c r="F1039" s="39"/>
      <c r="G1039" s="39"/>
      <c r="H1039" s="39"/>
      <c r="I1039" s="39"/>
      <c r="J1039" s="39"/>
      <c r="K1039" s="39"/>
      <c r="L1039" s="39"/>
      <c r="M1039" s="39"/>
      <c r="N1039" s="39"/>
      <c r="O1039" s="39"/>
      <c r="P1039" s="39"/>
      <c r="Q1039" s="39"/>
      <c r="R1039" s="39"/>
      <c r="S1039" s="39"/>
    </row>
    <row r="1040" spans="1:19" s="1" customFormat="1" ht="15" customHeight="1">
      <c r="A1040" s="39"/>
      <c r="B1040" s="39"/>
      <c r="C1040" s="39"/>
      <c r="D1040" s="39"/>
      <c r="E1040" s="39"/>
      <c r="F1040" s="39"/>
      <c r="G1040" s="39"/>
      <c r="H1040" s="39"/>
      <c r="I1040" s="39"/>
      <c r="J1040" s="39"/>
      <c r="K1040" s="39"/>
      <c r="L1040" s="39"/>
      <c r="M1040" s="39"/>
      <c r="N1040" s="39"/>
      <c r="O1040" s="39"/>
      <c r="P1040" s="39"/>
      <c r="Q1040" s="39"/>
      <c r="R1040" s="39"/>
      <c r="S1040" s="39"/>
    </row>
    <row r="1041" spans="1:19" s="1" customFormat="1" ht="15" customHeight="1">
      <c r="A1041" s="39"/>
      <c r="B1041" s="39"/>
      <c r="C1041" s="39"/>
      <c r="D1041" s="39"/>
      <c r="E1041" s="39"/>
      <c r="F1041" s="39"/>
      <c r="G1041" s="39"/>
      <c r="H1041" s="39"/>
      <c r="I1041" s="39"/>
      <c r="J1041" s="39"/>
      <c r="K1041" s="39"/>
      <c r="L1041" s="39"/>
      <c r="M1041" s="39"/>
      <c r="N1041" s="39"/>
      <c r="O1041" s="39"/>
      <c r="P1041" s="39"/>
      <c r="Q1041" s="39"/>
      <c r="R1041" s="39"/>
      <c r="S1041" s="39"/>
    </row>
    <row r="1042" spans="1:19" s="1" customFormat="1" ht="15" customHeight="1">
      <c r="A1042" s="39"/>
      <c r="B1042" s="39"/>
      <c r="C1042" s="39"/>
      <c r="D1042" s="39"/>
      <c r="E1042" s="39"/>
      <c r="F1042" s="39"/>
      <c r="G1042" s="39"/>
      <c r="H1042" s="39"/>
      <c r="I1042" s="39"/>
      <c r="J1042" s="39"/>
      <c r="K1042" s="39"/>
      <c r="L1042" s="39"/>
      <c r="M1042" s="39"/>
      <c r="N1042" s="39"/>
      <c r="O1042" s="39"/>
      <c r="P1042" s="39"/>
      <c r="Q1042" s="39"/>
      <c r="R1042" s="39"/>
      <c r="S1042" s="39"/>
    </row>
    <row r="1043" spans="1:19" s="1" customFormat="1" ht="15" customHeight="1">
      <c r="A1043" s="39"/>
      <c r="B1043" s="39"/>
      <c r="C1043" s="39"/>
      <c r="D1043" s="39"/>
      <c r="E1043" s="39"/>
      <c r="F1043" s="39"/>
      <c r="G1043" s="39"/>
      <c r="H1043" s="39"/>
      <c r="I1043" s="39"/>
      <c r="J1043" s="39"/>
      <c r="K1043" s="39"/>
      <c r="L1043" s="39"/>
      <c r="M1043" s="39"/>
      <c r="N1043" s="39"/>
      <c r="O1043" s="39"/>
      <c r="P1043" s="39"/>
      <c r="Q1043" s="39"/>
      <c r="R1043" s="39"/>
      <c r="S1043" s="39"/>
    </row>
    <row r="1044" spans="1:19" s="1" customFormat="1" ht="15" customHeight="1">
      <c r="A1044" s="39"/>
      <c r="B1044" s="39"/>
      <c r="C1044" s="39"/>
      <c r="D1044" s="39"/>
      <c r="E1044" s="39"/>
      <c r="F1044" s="39"/>
      <c r="G1044" s="39"/>
      <c r="H1044" s="39"/>
      <c r="I1044" s="39"/>
      <c r="J1044" s="39"/>
      <c r="K1044" s="39"/>
      <c r="L1044" s="39"/>
      <c r="M1044" s="39"/>
      <c r="N1044" s="39"/>
      <c r="O1044" s="39"/>
      <c r="P1044" s="39"/>
      <c r="Q1044" s="39"/>
      <c r="R1044" s="39"/>
      <c r="S1044" s="39"/>
    </row>
    <row r="1045" spans="1:19" s="1" customFormat="1" ht="15" customHeight="1">
      <c r="A1045" s="39"/>
      <c r="B1045" s="39"/>
      <c r="C1045" s="39"/>
      <c r="D1045" s="39"/>
      <c r="E1045" s="39"/>
      <c r="F1045" s="39"/>
      <c r="G1045" s="39"/>
      <c r="H1045" s="39"/>
      <c r="I1045" s="39"/>
      <c r="J1045" s="39"/>
      <c r="K1045" s="39"/>
      <c r="L1045" s="39"/>
      <c r="M1045" s="39"/>
      <c r="N1045" s="39"/>
      <c r="O1045" s="39"/>
      <c r="P1045" s="39"/>
      <c r="Q1045" s="39"/>
      <c r="R1045" s="39"/>
      <c r="S1045" s="39"/>
    </row>
    <row r="1046" spans="1:19" s="1" customFormat="1" ht="15" customHeight="1">
      <c r="A1046" s="39"/>
      <c r="B1046" s="39"/>
      <c r="C1046" s="39"/>
      <c r="D1046" s="39"/>
      <c r="E1046" s="39"/>
      <c r="F1046" s="39"/>
      <c r="G1046" s="39"/>
      <c r="H1046" s="39"/>
      <c r="I1046" s="39"/>
      <c r="J1046" s="39"/>
      <c r="K1046" s="39"/>
      <c r="L1046" s="39"/>
      <c r="M1046" s="39"/>
      <c r="N1046" s="39"/>
      <c r="O1046" s="39"/>
      <c r="P1046" s="39"/>
      <c r="Q1046" s="39"/>
      <c r="R1046" s="39"/>
      <c r="S1046" s="39"/>
    </row>
    <row r="1047" spans="1:19" s="1" customFormat="1" ht="15" customHeight="1">
      <c r="A1047" s="39"/>
      <c r="B1047" s="39"/>
      <c r="C1047" s="39"/>
      <c r="D1047" s="39"/>
      <c r="E1047" s="39"/>
      <c r="F1047" s="39"/>
      <c r="G1047" s="39"/>
      <c r="H1047" s="39"/>
      <c r="I1047" s="39"/>
      <c r="J1047" s="39"/>
      <c r="K1047" s="39"/>
      <c r="L1047" s="39"/>
      <c r="M1047" s="39"/>
      <c r="N1047" s="39"/>
      <c r="O1047" s="39"/>
      <c r="P1047" s="39"/>
      <c r="Q1047" s="39"/>
      <c r="R1047" s="39"/>
      <c r="S1047" s="39"/>
    </row>
    <row r="1048" spans="1:19" s="1" customFormat="1" ht="15" customHeight="1">
      <c r="A1048" s="39"/>
      <c r="B1048" s="39"/>
      <c r="C1048" s="39"/>
      <c r="D1048" s="39"/>
      <c r="E1048" s="39"/>
      <c r="F1048" s="39"/>
      <c r="G1048" s="39"/>
      <c r="H1048" s="39"/>
      <c r="I1048" s="39"/>
      <c r="J1048" s="39"/>
      <c r="K1048" s="39"/>
      <c r="L1048" s="39"/>
      <c r="M1048" s="39"/>
      <c r="N1048" s="39"/>
      <c r="O1048" s="39"/>
      <c r="P1048" s="39"/>
      <c r="Q1048" s="39"/>
      <c r="R1048" s="39"/>
      <c r="S1048" s="39"/>
    </row>
    <row r="1049" spans="1:19" s="1" customFormat="1" ht="15" customHeight="1">
      <c r="A1049" s="39"/>
      <c r="B1049" s="39"/>
      <c r="C1049" s="39"/>
      <c r="D1049" s="39"/>
      <c r="E1049" s="39"/>
      <c r="F1049" s="39"/>
      <c r="G1049" s="39"/>
      <c r="H1049" s="39"/>
      <c r="I1049" s="39"/>
      <c r="J1049" s="39"/>
      <c r="K1049" s="39"/>
      <c r="L1049" s="39"/>
      <c r="M1049" s="39"/>
      <c r="N1049" s="39"/>
      <c r="O1049" s="39"/>
      <c r="P1049" s="39"/>
      <c r="Q1049" s="39"/>
      <c r="R1049" s="39"/>
      <c r="S1049" s="39"/>
    </row>
    <row r="1050" spans="1:19" s="1" customFormat="1" ht="15" customHeight="1">
      <c r="A1050" s="39"/>
      <c r="B1050" s="39"/>
      <c r="C1050" s="39"/>
      <c r="D1050" s="39"/>
      <c r="E1050" s="39"/>
      <c r="F1050" s="39"/>
      <c r="G1050" s="39"/>
      <c r="H1050" s="39"/>
      <c r="I1050" s="39"/>
      <c r="J1050" s="39"/>
      <c r="K1050" s="39"/>
      <c r="L1050" s="39"/>
      <c r="M1050" s="39"/>
      <c r="N1050" s="39"/>
      <c r="O1050" s="39"/>
      <c r="P1050" s="39"/>
      <c r="Q1050" s="39"/>
      <c r="R1050" s="39"/>
      <c r="S1050" s="39"/>
    </row>
    <row r="1051" spans="1:19" s="1" customFormat="1" ht="15" customHeight="1">
      <c r="A1051" s="39"/>
      <c r="B1051" s="39"/>
      <c r="C1051" s="39"/>
      <c r="D1051" s="39"/>
      <c r="E1051" s="39"/>
      <c r="F1051" s="39"/>
      <c r="G1051" s="39"/>
      <c r="H1051" s="39"/>
      <c r="I1051" s="39"/>
      <c r="J1051" s="39"/>
      <c r="K1051" s="39"/>
      <c r="L1051" s="39"/>
      <c r="M1051" s="39"/>
      <c r="N1051" s="39"/>
      <c r="O1051" s="39"/>
      <c r="P1051" s="39"/>
      <c r="Q1051" s="39"/>
      <c r="R1051" s="39"/>
      <c r="S1051" s="39"/>
    </row>
    <row r="1052" spans="1:19" s="1" customFormat="1" ht="15" customHeight="1">
      <c r="A1052" s="39"/>
      <c r="B1052" s="39"/>
      <c r="C1052" s="39"/>
      <c r="D1052" s="39"/>
      <c r="E1052" s="39"/>
      <c r="F1052" s="39"/>
      <c r="G1052" s="39"/>
      <c r="H1052" s="39"/>
      <c r="I1052" s="39"/>
      <c r="J1052" s="39"/>
      <c r="K1052" s="39"/>
      <c r="L1052" s="39"/>
      <c r="M1052" s="39"/>
      <c r="N1052" s="39"/>
      <c r="O1052" s="39"/>
      <c r="P1052" s="39"/>
      <c r="Q1052" s="39"/>
      <c r="R1052" s="39"/>
      <c r="S1052" s="39"/>
    </row>
    <row r="1053" spans="1:19" s="1" customFormat="1" ht="15" customHeight="1">
      <c r="A1053" s="39"/>
      <c r="B1053" s="39"/>
      <c r="C1053" s="39"/>
      <c r="D1053" s="39"/>
      <c r="E1053" s="39"/>
      <c r="F1053" s="39"/>
      <c r="G1053" s="39"/>
      <c r="H1053" s="39"/>
      <c r="I1053" s="39"/>
      <c r="J1053" s="39"/>
      <c r="K1053" s="39"/>
      <c r="L1053" s="39"/>
      <c r="M1053" s="39"/>
      <c r="N1053" s="39"/>
      <c r="O1053" s="39"/>
      <c r="P1053" s="39"/>
      <c r="Q1053" s="39"/>
      <c r="R1053" s="39"/>
      <c r="S1053" s="39"/>
    </row>
    <row r="1054" spans="1:19" s="1" customFormat="1" ht="15" customHeight="1">
      <c r="A1054" s="39"/>
      <c r="B1054" s="39"/>
      <c r="C1054" s="39"/>
      <c r="D1054" s="39"/>
      <c r="E1054" s="39"/>
      <c r="F1054" s="39"/>
      <c r="G1054" s="39"/>
      <c r="H1054" s="39"/>
      <c r="I1054" s="39"/>
      <c r="J1054" s="39"/>
      <c r="K1054" s="39"/>
      <c r="L1054" s="39"/>
      <c r="M1054" s="39"/>
      <c r="N1054" s="39"/>
      <c r="O1054" s="39"/>
      <c r="P1054" s="39"/>
      <c r="Q1054" s="39"/>
      <c r="R1054" s="39"/>
      <c r="S1054" s="39"/>
    </row>
    <row r="1055" spans="1:19" s="1" customFormat="1" ht="15" customHeight="1">
      <c r="A1055" s="39"/>
      <c r="B1055" s="39"/>
      <c r="C1055" s="39"/>
      <c r="D1055" s="39"/>
      <c r="E1055" s="39"/>
      <c r="F1055" s="39"/>
      <c r="G1055" s="39"/>
      <c r="H1055" s="39"/>
      <c r="I1055" s="39"/>
      <c r="J1055" s="39"/>
      <c r="K1055" s="39"/>
      <c r="L1055" s="39"/>
      <c r="M1055" s="39"/>
      <c r="N1055" s="39"/>
      <c r="O1055" s="39"/>
      <c r="P1055" s="39"/>
      <c r="Q1055" s="39"/>
      <c r="R1055" s="39"/>
      <c r="S1055" s="39"/>
    </row>
    <row r="1056" spans="1:19" s="1" customFormat="1" ht="15" customHeight="1">
      <c r="A1056" s="39"/>
      <c r="B1056" s="39"/>
      <c r="C1056" s="39"/>
      <c r="D1056" s="39"/>
      <c r="E1056" s="39"/>
      <c r="F1056" s="39"/>
      <c r="G1056" s="39"/>
      <c r="H1056" s="39"/>
      <c r="I1056" s="39"/>
      <c r="J1056" s="39"/>
      <c r="K1056" s="39"/>
      <c r="L1056" s="39"/>
      <c r="M1056" s="39"/>
      <c r="N1056" s="39"/>
      <c r="O1056" s="39"/>
      <c r="P1056" s="39"/>
      <c r="Q1056" s="39"/>
      <c r="R1056" s="39"/>
      <c r="S1056" s="39"/>
    </row>
    <row r="1057" spans="1:19" s="1" customFormat="1" ht="15" customHeight="1">
      <c r="A1057" s="39"/>
      <c r="B1057" s="39"/>
      <c r="C1057" s="39"/>
      <c r="D1057" s="39"/>
      <c r="E1057" s="39"/>
      <c r="F1057" s="39"/>
      <c r="G1057" s="39"/>
      <c r="H1057" s="39"/>
      <c r="I1057" s="39"/>
      <c r="J1057" s="39"/>
      <c r="K1057" s="39"/>
      <c r="L1057" s="39"/>
      <c r="M1057" s="39"/>
      <c r="N1057" s="39"/>
      <c r="O1057" s="39"/>
      <c r="P1057" s="39"/>
      <c r="Q1057" s="39"/>
      <c r="R1057" s="39"/>
      <c r="S1057" s="39"/>
    </row>
    <row r="1058" spans="1:19" s="1" customFormat="1" ht="15" customHeight="1">
      <c r="A1058" s="39"/>
      <c r="B1058" s="39"/>
      <c r="C1058" s="39"/>
      <c r="D1058" s="39"/>
      <c r="E1058" s="39"/>
      <c r="F1058" s="39"/>
      <c r="G1058" s="39"/>
      <c r="H1058" s="39"/>
      <c r="I1058" s="39"/>
      <c r="J1058" s="39"/>
      <c r="K1058" s="39"/>
      <c r="L1058" s="39"/>
      <c r="M1058" s="39"/>
      <c r="N1058" s="39"/>
      <c r="O1058" s="39"/>
      <c r="P1058" s="39"/>
      <c r="Q1058" s="39"/>
      <c r="R1058" s="39"/>
      <c r="S1058" s="39"/>
    </row>
    <row r="1059" spans="1:19" s="1" customFormat="1" ht="15" customHeight="1">
      <c r="A1059" s="39"/>
      <c r="B1059" s="39"/>
      <c r="C1059" s="39"/>
      <c r="D1059" s="39"/>
      <c r="E1059" s="39"/>
      <c r="F1059" s="39"/>
      <c r="G1059" s="39"/>
      <c r="H1059" s="39"/>
      <c r="I1059" s="39"/>
      <c r="J1059" s="39"/>
      <c r="K1059" s="39"/>
      <c r="L1059" s="39"/>
      <c r="M1059" s="39"/>
      <c r="N1059" s="39"/>
      <c r="O1059" s="39"/>
      <c r="P1059" s="39"/>
      <c r="Q1059" s="39"/>
      <c r="R1059" s="39"/>
      <c r="S1059" s="39"/>
    </row>
    <row r="1060" spans="1:19" s="1" customFormat="1" ht="15" customHeight="1">
      <c r="A1060" s="39"/>
      <c r="B1060" s="39"/>
      <c r="C1060" s="39"/>
      <c r="D1060" s="39"/>
      <c r="E1060" s="39"/>
      <c r="F1060" s="39"/>
      <c r="G1060" s="39"/>
      <c r="H1060" s="39"/>
      <c r="I1060" s="39"/>
      <c r="J1060" s="39"/>
      <c r="K1060" s="39"/>
      <c r="L1060" s="39"/>
      <c r="M1060" s="39"/>
      <c r="N1060" s="39"/>
      <c r="O1060" s="39"/>
      <c r="P1060" s="39"/>
      <c r="Q1060" s="39"/>
      <c r="R1060" s="39"/>
      <c r="S1060" s="39"/>
    </row>
    <row r="1061" spans="1:19" s="1" customFormat="1" ht="15" customHeight="1">
      <c r="A1061" s="39"/>
      <c r="B1061" s="39"/>
      <c r="C1061" s="39"/>
      <c r="D1061" s="39"/>
      <c r="E1061" s="39"/>
      <c r="F1061" s="39"/>
      <c r="G1061" s="39"/>
      <c r="H1061" s="39"/>
      <c r="I1061" s="39"/>
      <c r="J1061" s="39"/>
      <c r="K1061" s="39"/>
      <c r="L1061" s="39"/>
      <c r="M1061" s="39"/>
      <c r="N1061" s="39"/>
      <c r="O1061" s="39"/>
      <c r="P1061" s="39"/>
      <c r="Q1061" s="39"/>
      <c r="R1061" s="39"/>
      <c r="S1061" s="39"/>
    </row>
    <row r="1062" spans="1:19" s="1" customFormat="1" ht="15" customHeight="1">
      <c r="A1062" s="39"/>
      <c r="B1062" s="39"/>
      <c r="C1062" s="39"/>
      <c r="D1062" s="39"/>
      <c r="E1062" s="39"/>
      <c r="F1062" s="39"/>
      <c r="G1062" s="39"/>
      <c r="H1062" s="39"/>
      <c r="I1062" s="39"/>
      <c r="J1062" s="39"/>
      <c r="K1062" s="39"/>
      <c r="L1062" s="39"/>
      <c r="M1062" s="39"/>
      <c r="N1062" s="39"/>
      <c r="O1062" s="39"/>
      <c r="P1062" s="39"/>
      <c r="Q1062" s="39"/>
      <c r="R1062" s="39"/>
      <c r="S1062" s="39"/>
    </row>
    <row r="1063" spans="1:19" s="1" customFormat="1" ht="15" customHeight="1">
      <c r="A1063" s="39"/>
      <c r="B1063" s="39"/>
      <c r="C1063" s="39"/>
      <c r="D1063" s="39"/>
      <c r="E1063" s="39"/>
      <c r="F1063" s="39"/>
      <c r="G1063" s="39"/>
      <c r="H1063" s="39"/>
      <c r="I1063" s="39"/>
      <c r="J1063" s="39"/>
      <c r="K1063" s="39"/>
      <c r="L1063" s="39"/>
      <c r="M1063" s="39"/>
      <c r="N1063" s="39"/>
      <c r="O1063" s="39"/>
      <c r="P1063" s="39"/>
      <c r="Q1063" s="39"/>
      <c r="R1063" s="39"/>
      <c r="S1063" s="39"/>
    </row>
    <row r="1064" spans="1:19" s="1" customFormat="1" ht="15" customHeight="1">
      <c r="A1064" s="39"/>
      <c r="B1064" s="39"/>
      <c r="C1064" s="39"/>
      <c r="D1064" s="39"/>
      <c r="E1064" s="39"/>
      <c r="F1064" s="39"/>
      <c r="G1064" s="39"/>
      <c r="H1064" s="39"/>
      <c r="I1064" s="39"/>
      <c r="J1064" s="39"/>
      <c r="K1064" s="39"/>
      <c r="L1064" s="39"/>
      <c r="M1064" s="39"/>
      <c r="N1064" s="39"/>
      <c r="O1064" s="39"/>
      <c r="P1064" s="39"/>
      <c r="Q1064" s="39"/>
      <c r="R1064" s="39"/>
      <c r="S1064" s="39"/>
    </row>
    <row r="1065" spans="1:19" s="1" customFormat="1" ht="15" customHeight="1">
      <c r="A1065" s="39"/>
      <c r="B1065" s="39"/>
      <c r="C1065" s="39"/>
      <c r="D1065" s="39"/>
      <c r="E1065" s="39"/>
      <c r="F1065" s="39"/>
      <c r="G1065" s="39"/>
      <c r="H1065" s="39"/>
      <c r="I1065" s="39"/>
      <c r="J1065" s="39"/>
      <c r="K1065" s="39"/>
      <c r="L1065" s="39"/>
      <c r="M1065" s="39"/>
      <c r="N1065" s="39"/>
      <c r="O1065" s="39"/>
      <c r="P1065" s="39"/>
      <c r="Q1065" s="39"/>
      <c r="R1065" s="39"/>
      <c r="S1065" s="39"/>
    </row>
    <row r="1066" spans="1:19" s="1" customFormat="1" ht="15" customHeight="1">
      <c r="A1066" s="39"/>
      <c r="B1066" s="39"/>
      <c r="C1066" s="39"/>
      <c r="D1066" s="39"/>
      <c r="E1066" s="39"/>
      <c r="F1066" s="39"/>
      <c r="G1066" s="39"/>
      <c r="H1066" s="39"/>
      <c r="I1066" s="39"/>
      <c r="J1066" s="39"/>
      <c r="K1066" s="39"/>
      <c r="L1066" s="39"/>
      <c r="M1066" s="39"/>
      <c r="N1066" s="39"/>
      <c r="O1066" s="39"/>
      <c r="P1066" s="39"/>
      <c r="Q1066" s="39"/>
      <c r="R1066" s="39"/>
      <c r="S1066" s="39"/>
    </row>
    <row r="1067" spans="1:19" s="1" customFormat="1" ht="15" customHeight="1">
      <c r="A1067" s="39"/>
      <c r="B1067" s="39"/>
      <c r="C1067" s="39"/>
      <c r="D1067" s="39"/>
      <c r="E1067" s="39"/>
      <c r="F1067" s="39"/>
      <c r="G1067" s="39"/>
      <c r="H1067" s="39"/>
      <c r="I1067" s="39"/>
      <c r="J1067" s="39"/>
      <c r="K1067" s="39"/>
      <c r="L1067" s="39"/>
      <c r="M1067" s="39"/>
      <c r="N1067" s="39"/>
      <c r="O1067" s="39"/>
      <c r="P1067" s="39"/>
      <c r="Q1067" s="39"/>
      <c r="R1067" s="39"/>
      <c r="S1067" s="39"/>
    </row>
    <row r="1068" spans="1:19" s="1" customFormat="1" ht="15" customHeight="1">
      <c r="A1068" s="39"/>
      <c r="B1068" s="39"/>
      <c r="C1068" s="39"/>
      <c r="D1068" s="39"/>
      <c r="E1068" s="39"/>
      <c r="F1068" s="39"/>
      <c r="G1068" s="39"/>
      <c r="H1068" s="39"/>
      <c r="I1068" s="39"/>
      <c r="J1068" s="39"/>
      <c r="K1068" s="39"/>
      <c r="L1068" s="39"/>
      <c r="M1068" s="39"/>
      <c r="N1068" s="39"/>
      <c r="O1068" s="39"/>
      <c r="P1068" s="39"/>
      <c r="Q1068" s="39"/>
      <c r="R1068" s="39"/>
      <c r="S1068" s="39"/>
    </row>
    <row r="1069" spans="1:19" s="1" customFormat="1" ht="15" customHeight="1">
      <c r="A1069" s="39"/>
      <c r="B1069" s="39"/>
      <c r="C1069" s="39"/>
      <c r="D1069" s="39"/>
      <c r="E1069" s="39"/>
      <c r="F1069" s="39"/>
      <c r="G1069" s="39"/>
      <c r="H1069" s="39"/>
      <c r="I1069" s="39"/>
      <c r="J1069" s="39"/>
      <c r="K1069" s="39"/>
      <c r="L1069" s="39"/>
      <c r="M1069" s="39"/>
      <c r="N1069" s="39"/>
      <c r="O1069" s="39"/>
      <c r="P1069" s="39"/>
      <c r="Q1069" s="39"/>
      <c r="R1069" s="39"/>
      <c r="S1069" s="39"/>
    </row>
    <row r="1070" spans="1:19" s="1" customFormat="1" ht="15" customHeight="1">
      <c r="A1070" s="39"/>
      <c r="B1070" s="39"/>
      <c r="C1070" s="39"/>
      <c r="D1070" s="39"/>
      <c r="E1070" s="39"/>
      <c r="F1070" s="39"/>
      <c r="G1070" s="39"/>
      <c r="H1070" s="39"/>
      <c r="I1070" s="39"/>
      <c r="J1070" s="39"/>
      <c r="K1070" s="39"/>
      <c r="L1070" s="39"/>
      <c r="M1070" s="39"/>
      <c r="N1070" s="39"/>
      <c r="O1070" s="39"/>
      <c r="P1070" s="39"/>
      <c r="Q1070" s="39"/>
      <c r="R1070" s="39"/>
      <c r="S1070" s="39"/>
    </row>
    <row r="1071" spans="1:19" s="1" customFormat="1" ht="15" customHeight="1">
      <c r="A1071" s="39"/>
      <c r="B1071" s="39"/>
      <c r="C1071" s="39"/>
      <c r="D1071" s="39"/>
      <c r="E1071" s="39"/>
      <c r="F1071" s="39"/>
      <c r="G1071" s="39"/>
      <c r="H1071" s="39"/>
      <c r="I1071" s="39"/>
      <c r="J1071" s="39"/>
      <c r="K1071" s="39"/>
      <c r="L1071" s="39"/>
      <c r="M1071" s="39"/>
      <c r="N1071" s="39"/>
      <c r="O1071" s="39"/>
      <c r="P1071" s="39"/>
      <c r="Q1071" s="39"/>
      <c r="R1071" s="39"/>
      <c r="S1071" s="39"/>
    </row>
    <row r="1072" spans="1:19" s="1" customFormat="1" ht="15" customHeight="1">
      <c r="A1072" s="39"/>
      <c r="B1072" s="39"/>
      <c r="C1072" s="39"/>
      <c r="D1072" s="39"/>
      <c r="E1072" s="39"/>
      <c r="F1072" s="39"/>
      <c r="G1072" s="39"/>
      <c r="H1072" s="39"/>
      <c r="I1072" s="39"/>
      <c r="J1072" s="39"/>
      <c r="K1072" s="39"/>
      <c r="L1072" s="39"/>
      <c r="M1072" s="39"/>
      <c r="N1072" s="39"/>
      <c r="O1072" s="39"/>
      <c r="P1072" s="39"/>
      <c r="Q1072" s="39"/>
      <c r="R1072" s="39"/>
      <c r="S1072" s="39"/>
    </row>
    <row r="1073" spans="1:19" s="1" customFormat="1" ht="15" customHeight="1">
      <c r="A1073" s="39"/>
      <c r="B1073" s="39"/>
      <c r="C1073" s="39"/>
      <c r="D1073" s="39"/>
      <c r="E1073" s="39"/>
      <c r="F1073" s="39"/>
      <c r="G1073" s="39"/>
      <c r="H1073" s="39"/>
      <c r="I1073" s="39"/>
      <c r="J1073" s="39"/>
      <c r="K1073" s="39"/>
      <c r="L1073" s="39"/>
      <c r="M1073" s="39"/>
      <c r="N1073" s="39"/>
      <c r="O1073" s="39"/>
      <c r="P1073" s="39"/>
      <c r="Q1073" s="39"/>
      <c r="R1073" s="39"/>
      <c r="S1073" s="39"/>
    </row>
    <row r="1074" spans="1:19" s="1" customFormat="1" ht="15" customHeight="1">
      <c r="A1074" s="39"/>
      <c r="B1074" s="39"/>
      <c r="C1074" s="39"/>
      <c r="D1074" s="39"/>
      <c r="E1074" s="39"/>
      <c r="F1074" s="39"/>
      <c r="G1074" s="39"/>
      <c r="H1074" s="39"/>
      <c r="I1074" s="39"/>
      <c r="J1074" s="39"/>
      <c r="K1074" s="39"/>
      <c r="L1074" s="39"/>
      <c r="M1074" s="39"/>
      <c r="N1074" s="39"/>
      <c r="O1074" s="39"/>
      <c r="P1074" s="39"/>
      <c r="Q1074" s="39"/>
      <c r="R1074" s="39"/>
      <c r="S1074" s="39"/>
    </row>
    <row r="1075" spans="1:19" s="1" customFormat="1" ht="15" customHeight="1">
      <c r="A1075" s="39"/>
      <c r="B1075" s="39"/>
      <c r="C1075" s="39"/>
      <c r="D1075" s="39"/>
      <c r="E1075" s="39"/>
      <c r="F1075" s="39"/>
      <c r="G1075" s="39"/>
      <c r="H1075" s="39"/>
      <c r="I1075" s="39"/>
      <c r="J1075" s="39"/>
      <c r="K1075" s="39"/>
      <c r="L1075" s="39"/>
      <c r="M1075" s="39"/>
      <c r="N1075" s="39"/>
      <c r="O1075" s="39"/>
      <c r="P1075" s="39"/>
      <c r="Q1075" s="39"/>
      <c r="R1075" s="39"/>
      <c r="S1075" s="39"/>
    </row>
    <row r="1076" spans="1:19" s="1" customFormat="1" ht="15" customHeight="1">
      <c r="A1076" s="39"/>
      <c r="B1076" s="39"/>
      <c r="C1076" s="39"/>
      <c r="D1076" s="39"/>
      <c r="E1076" s="39"/>
      <c r="F1076" s="39"/>
      <c r="G1076" s="39"/>
      <c r="H1076" s="39"/>
      <c r="I1076" s="39"/>
      <c r="J1076" s="39"/>
      <c r="K1076" s="39"/>
      <c r="L1076" s="39"/>
      <c r="M1076" s="39"/>
      <c r="N1076" s="39"/>
      <c r="O1076" s="39"/>
      <c r="P1076" s="39"/>
      <c r="Q1076" s="39"/>
      <c r="R1076" s="39"/>
      <c r="S1076" s="39"/>
    </row>
    <row r="1077" spans="1:19" s="1" customFormat="1" ht="15" customHeight="1">
      <c r="A1077" s="39"/>
      <c r="B1077" s="39"/>
      <c r="C1077" s="39"/>
      <c r="D1077" s="39"/>
      <c r="E1077" s="39"/>
      <c r="F1077" s="39"/>
      <c r="G1077" s="39"/>
      <c r="H1077" s="39"/>
      <c r="I1077" s="39"/>
      <c r="J1077" s="39"/>
      <c r="K1077" s="39"/>
      <c r="L1077" s="39"/>
      <c r="M1077" s="39"/>
      <c r="N1077" s="39"/>
      <c r="O1077" s="39"/>
      <c r="P1077" s="39"/>
      <c r="Q1077" s="39"/>
      <c r="R1077" s="39"/>
      <c r="S1077" s="39"/>
    </row>
    <row r="1078" spans="1:19" s="1" customFormat="1" ht="15" customHeight="1">
      <c r="A1078" s="39"/>
      <c r="B1078" s="39"/>
      <c r="C1078" s="39"/>
      <c r="D1078" s="39"/>
      <c r="E1078" s="39"/>
      <c r="F1078" s="39"/>
      <c r="G1078" s="39"/>
      <c r="H1078" s="39"/>
      <c r="I1078" s="39"/>
      <c r="J1078" s="39"/>
      <c r="K1078" s="39"/>
      <c r="L1078" s="39"/>
      <c r="M1078" s="39"/>
      <c r="N1078" s="39"/>
      <c r="O1078" s="39"/>
      <c r="P1078" s="39"/>
      <c r="Q1078" s="39"/>
      <c r="R1078" s="39"/>
      <c r="S1078" s="39"/>
    </row>
    <row r="1079" spans="1:19" s="1" customFormat="1" ht="15" customHeight="1">
      <c r="A1079" s="39"/>
      <c r="B1079" s="39"/>
      <c r="C1079" s="39"/>
      <c r="D1079" s="39"/>
      <c r="E1079" s="39"/>
      <c r="F1079" s="39"/>
      <c r="G1079" s="39"/>
      <c r="H1079" s="39"/>
      <c r="I1079" s="39"/>
      <c r="J1079" s="39"/>
      <c r="K1079" s="39"/>
      <c r="L1079" s="39"/>
      <c r="M1079" s="39"/>
      <c r="N1079" s="39"/>
      <c r="O1079" s="39"/>
      <c r="P1079" s="39"/>
      <c r="Q1079" s="39"/>
      <c r="R1079" s="39"/>
      <c r="S1079" s="39"/>
    </row>
    <row r="1080" spans="1:19" s="1" customFormat="1" ht="15" customHeight="1">
      <c r="A1080" s="39"/>
      <c r="B1080" s="39"/>
      <c r="C1080" s="39"/>
      <c r="D1080" s="39"/>
      <c r="E1080" s="39"/>
      <c r="F1080" s="39"/>
      <c r="G1080" s="39"/>
      <c r="H1080" s="39"/>
      <c r="I1080" s="39"/>
      <c r="J1080" s="39"/>
      <c r="K1080" s="39"/>
      <c r="L1080" s="39"/>
      <c r="M1080" s="39"/>
      <c r="N1080" s="39"/>
      <c r="O1080" s="39"/>
      <c r="P1080" s="39"/>
      <c r="Q1080" s="39"/>
      <c r="R1080" s="39"/>
      <c r="S1080" s="39"/>
    </row>
    <row r="1081" spans="1:19" s="1" customFormat="1" ht="15" customHeight="1">
      <c r="A1081" s="39"/>
      <c r="B1081" s="39"/>
      <c r="C1081" s="39"/>
      <c r="D1081" s="39"/>
      <c r="E1081" s="39"/>
      <c r="F1081" s="39"/>
      <c r="G1081" s="39"/>
      <c r="H1081" s="39"/>
      <c r="I1081" s="39"/>
      <c r="J1081" s="39"/>
      <c r="K1081" s="39"/>
      <c r="L1081" s="39"/>
      <c r="M1081" s="39"/>
      <c r="N1081" s="39"/>
      <c r="O1081" s="39"/>
      <c r="P1081" s="39"/>
      <c r="Q1081" s="39"/>
      <c r="R1081" s="39"/>
      <c r="S1081" s="39"/>
    </row>
    <row r="1082" spans="1:19" s="1" customFormat="1" ht="15" customHeight="1">
      <c r="A1082" s="39"/>
      <c r="B1082" s="39"/>
      <c r="C1082" s="39"/>
      <c r="D1082" s="39"/>
      <c r="E1082" s="39"/>
      <c r="F1082" s="39"/>
      <c r="G1082" s="39"/>
      <c r="H1082" s="39"/>
      <c r="I1082" s="39"/>
      <c r="J1082" s="39"/>
      <c r="K1082" s="39"/>
      <c r="L1082" s="39"/>
      <c r="M1082" s="39"/>
      <c r="N1082" s="39"/>
      <c r="O1082" s="39"/>
      <c r="P1082" s="39"/>
      <c r="Q1082" s="39"/>
      <c r="R1082" s="39"/>
      <c r="S1082" s="39"/>
    </row>
    <row r="1083" spans="1:19" s="1" customFormat="1" ht="15" customHeight="1">
      <c r="A1083" s="39"/>
      <c r="B1083" s="39"/>
      <c r="C1083" s="39"/>
      <c r="D1083" s="39"/>
      <c r="E1083" s="39"/>
      <c r="F1083" s="39"/>
      <c r="G1083" s="39"/>
      <c r="H1083" s="39"/>
      <c r="I1083" s="39"/>
      <c r="J1083" s="39"/>
      <c r="K1083" s="39"/>
      <c r="L1083" s="39"/>
      <c r="M1083" s="39"/>
      <c r="N1083" s="39"/>
      <c r="O1083" s="39"/>
      <c r="P1083" s="39"/>
      <c r="Q1083" s="39"/>
      <c r="R1083" s="39"/>
      <c r="S1083" s="39"/>
    </row>
    <row r="1084" spans="1:19" s="1" customFormat="1" ht="15" customHeight="1">
      <c r="A1084" s="39"/>
      <c r="B1084" s="39"/>
      <c r="C1084" s="39"/>
      <c r="D1084" s="39"/>
      <c r="E1084" s="39"/>
      <c r="F1084" s="39"/>
      <c r="G1084" s="39"/>
      <c r="H1084" s="39"/>
      <c r="I1084" s="39"/>
      <c r="J1084" s="39"/>
      <c r="K1084" s="39"/>
      <c r="L1084" s="39"/>
      <c r="M1084" s="39"/>
      <c r="N1084" s="39"/>
      <c r="O1084" s="39"/>
      <c r="P1084" s="39"/>
      <c r="Q1084" s="39"/>
      <c r="R1084" s="39"/>
      <c r="S1084" s="39"/>
    </row>
    <row r="1085" spans="1:19" s="1" customFormat="1" ht="15" customHeight="1">
      <c r="A1085" s="39"/>
      <c r="B1085" s="39"/>
      <c r="C1085" s="39"/>
      <c r="D1085" s="39"/>
      <c r="E1085" s="39"/>
      <c r="F1085" s="39"/>
      <c r="G1085" s="39"/>
      <c r="H1085" s="39"/>
      <c r="I1085" s="39"/>
      <c r="J1085" s="39"/>
      <c r="K1085" s="39"/>
      <c r="L1085" s="39"/>
      <c r="M1085" s="39"/>
      <c r="N1085" s="39"/>
      <c r="O1085" s="39"/>
      <c r="P1085" s="39"/>
      <c r="Q1085" s="39"/>
      <c r="R1085" s="39"/>
      <c r="S1085" s="39"/>
    </row>
    <row r="1086" spans="1:19" s="1" customFormat="1" ht="15" customHeight="1">
      <c r="A1086" s="39"/>
      <c r="B1086" s="39"/>
      <c r="C1086" s="39"/>
      <c r="D1086" s="39"/>
      <c r="E1086" s="39"/>
      <c r="F1086" s="39"/>
      <c r="G1086" s="39"/>
      <c r="H1086" s="39"/>
      <c r="I1086" s="39"/>
      <c r="J1086" s="39"/>
      <c r="K1086" s="39"/>
      <c r="L1086" s="39"/>
      <c r="M1086" s="39"/>
      <c r="N1086" s="39"/>
      <c r="O1086" s="39"/>
      <c r="P1086" s="39"/>
      <c r="Q1086" s="39"/>
      <c r="R1086" s="39"/>
      <c r="S1086" s="39"/>
    </row>
    <row r="1087" spans="1:19" s="1" customFormat="1" ht="15" customHeight="1">
      <c r="A1087" s="39"/>
      <c r="B1087" s="39"/>
      <c r="C1087" s="39"/>
      <c r="D1087" s="39"/>
      <c r="E1087" s="39"/>
      <c r="F1087" s="39"/>
      <c r="G1087" s="39"/>
      <c r="H1087" s="39"/>
      <c r="I1087" s="39"/>
      <c r="J1087" s="39"/>
      <c r="K1087" s="39"/>
      <c r="L1087" s="39"/>
      <c r="M1087" s="39"/>
      <c r="N1087" s="39"/>
      <c r="O1087" s="39"/>
      <c r="P1087" s="39"/>
      <c r="Q1087" s="39"/>
      <c r="R1087" s="39"/>
      <c r="S1087" s="39"/>
    </row>
    <row r="1088" spans="1:19" s="1" customFormat="1" ht="15" customHeight="1">
      <c r="A1088" s="39"/>
      <c r="B1088" s="39"/>
      <c r="C1088" s="39"/>
      <c r="D1088" s="39"/>
      <c r="E1088" s="39"/>
      <c r="F1088" s="39"/>
      <c r="G1088" s="39"/>
      <c r="H1088" s="39"/>
      <c r="I1088" s="39"/>
      <c r="J1088" s="39"/>
      <c r="K1088" s="39"/>
      <c r="L1088" s="39"/>
      <c r="M1088" s="39"/>
      <c r="N1088" s="39"/>
      <c r="O1088" s="39"/>
      <c r="P1088" s="39"/>
      <c r="Q1088" s="39"/>
      <c r="R1088" s="39"/>
      <c r="S1088" s="39"/>
    </row>
    <row r="1089" spans="1:19" s="1" customFormat="1" ht="15" customHeight="1">
      <c r="A1089" s="39"/>
      <c r="B1089" s="39"/>
      <c r="C1089" s="39"/>
      <c r="D1089" s="39"/>
      <c r="E1089" s="39"/>
      <c r="F1089" s="39"/>
      <c r="G1089" s="39"/>
      <c r="H1089" s="39"/>
      <c r="I1089" s="39"/>
      <c r="J1089" s="39"/>
      <c r="K1089" s="39"/>
      <c r="L1089" s="39"/>
      <c r="M1089" s="39"/>
      <c r="N1089" s="39"/>
      <c r="O1089" s="39"/>
      <c r="P1089" s="39"/>
      <c r="Q1089" s="39"/>
      <c r="R1089" s="39"/>
      <c r="S1089" s="39"/>
    </row>
    <row r="1090" spans="1:19" s="1" customFormat="1" ht="15" customHeight="1">
      <c r="A1090" s="39"/>
      <c r="B1090" s="39"/>
      <c r="C1090" s="39"/>
      <c r="D1090" s="39"/>
      <c r="E1090" s="39"/>
      <c r="F1090" s="39"/>
      <c r="G1090" s="39"/>
      <c r="H1090" s="39"/>
      <c r="I1090" s="39"/>
      <c r="J1090" s="39"/>
      <c r="K1090" s="39"/>
      <c r="L1090" s="39"/>
      <c r="M1090" s="39"/>
      <c r="N1090" s="39"/>
      <c r="O1090" s="39"/>
      <c r="P1090" s="39"/>
      <c r="Q1090" s="39"/>
      <c r="R1090" s="39"/>
      <c r="S1090" s="39"/>
    </row>
    <row r="1091" spans="1:19" s="1" customFormat="1" ht="15" customHeight="1">
      <c r="A1091" s="39"/>
      <c r="B1091" s="39"/>
      <c r="C1091" s="39"/>
      <c r="D1091" s="39"/>
      <c r="E1091" s="39"/>
      <c r="F1091" s="39"/>
      <c r="G1091" s="39"/>
      <c r="H1091" s="39"/>
      <c r="I1091" s="39"/>
      <c r="J1091" s="39"/>
      <c r="K1091" s="39"/>
      <c r="L1091" s="39"/>
      <c r="M1091" s="39"/>
      <c r="N1091" s="39"/>
      <c r="O1091" s="39"/>
      <c r="P1091" s="39"/>
      <c r="Q1091" s="39"/>
      <c r="R1091" s="39"/>
      <c r="S1091" s="39"/>
    </row>
    <row r="1092" spans="1:19" s="1" customFormat="1" ht="15" customHeight="1">
      <c r="A1092" s="39"/>
      <c r="B1092" s="39"/>
      <c r="C1092" s="39"/>
      <c r="D1092" s="39"/>
      <c r="E1092" s="39"/>
      <c r="F1092" s="39"/>
      <c r="G1092" s="39"/>
      <c r="H1092" s="39"/>
      <c r="I1092" s="39"/>
      <c r="J1092" s="39"/>
      <c r="K1092" s="39"/>
      <c r="L1092" s="39"/>
      <c r="M1092" s="39"/>
      <c r="N1092" s="39"/>
      <c r="O1092" s="39"/>
      <c r="P1092" s="39"/>
      <c r="Q1092" s="39"/>
      <c r="R1092" s="39"/>
      <c r="S1092" s="39"/>
    </row>
    <row r="1093" spans="1:19" s="1" customFormat="1" ht="15" customHeight="1">
      <c r="A1093" s="39"/>
      <c r="B1093" s="39"/>
      <c r="C1093" s="39"/>
      <c r="D1093" s="39"/>
      <c r="E1093" s="39"/>
      <c r="F1093" s="39"/>
      <c r="G1093" s="39"/>
      <c r="H1093" s="39"/>
      <c r="I1093" s="39"/>
      <c r="J1093" s="39"/>
      <c r="K1093" s="39"/>
      <c r="L1093" s="39"/>
      <c r="M1093" s="39"/>
      <c r="N1093" s="39"/>
      <c r="O1093" s="39"/>
      <c r="P1093" s="39"/>
      <c r="Q1093" s="39"/>
      <c r="R1093" s="39"/>
      <c r="S1093" s="39"/>
    </row>
    <row r="1094" spans="1:19" s="1" customFormat="1" ht="15" customHeight="1">
      <c r="A1094" s="39"/>
      <c r="B1094" s="39"/>
      <c r="C1094" s="39"/>
      <c r="D1094" s="39"/>
      <c r="E1094" s="39"/>
      <c r="F1094" s="39"/>
      <c r="G1094" s="39"/>
      <c r="H1094" s="39"/>
      <c r="I1094" s="39"/>
      <c r="J1094" s="39"/>
      <c r="K1094" s="39"/>
      <c r="L1094" s="39"/>
      <c r="M1094" s="39"/>
      <c r="N1094" s="39"/>
      <c r="O1094" s="39"/>
      <c r="P1094" s="39"/>
      <c r="Q1094" s="39"/>
      <c r="R1094" s="39"/>
      <c r="S1094" s="39"/>
    </row>
    <row r="1095" spans="1:19" s="1" customFormat="1" ht="15" customHeight="1">
      <c r="A1095" s="39"/>
      <c r="B1095" s="39"/>
      <c r="C1095" s="39"/>
      <c r="D1095" s="39"/>
      <c r="E1095" s="39"/>
      <c r="F1095" s="39"/>
      <c r="G1095" s="39"/>
      <c r="H1095" s="39"/>
      <c r="I1095" s="39"/>
      <c r="J1095" s="39"/>
      <c r="K1095" s="39"/>
      <c r="L1095" s="39"/>
      <c r="M1095" s="39"/>
      <c r="N1095" s="39"/>
      <c r="O1095" s="39"/>
      <c r="P1095" s="39"/>
      <c r="Q1095" s="39"/>
      <c r="R1095" s="39"/>
      <c r="S1095" s="39"/>
    </row>
    <row r="1096" spans="1:19" s="1" customFormat="1" ht="15" customHeight="1">
      <c r="A1096" s="39"/>
      <c r="B1096" s="39"/>
      <c r="C1096" s="39"/>
      <c r="D1096" s="39"/>
      <c r="E1096" s="39"/>
      <c r="F1096" s="39"/>
      <c r="G1096" s="39"/>
      <c r="H1096" s="39"/>
      <c r="I1096" s="39"/>
      <c r="J1096" s="39"/>
      <c r="K1096" s="39"/>
      <c r="L1096" s="39"/>
      <c r="M1096" s="39"/>
      <c r="N1096" s="39"/>
      <c r="O1096" s="39"/>
      <c r="P1096" s="39"/>
      <c r="Q1096" s="39"/>
      <c r="R1096" s="39"/>
      <c r="S1096" s="39"/>
    </row>
    <row r="1097" spans="1:19" s="1" customFormat="1" ht="15" customHeight="1">
      <c r="A1097" s="39"/>
      <c r="B1097" s="39"/>
      <c r="C1097" s="39"/>
      <c r="D1097" s="39"/>
      <c r="E1097" s="39"/>
      <c r="F1097" s="39"/>
      <c r="G1097" s="39"/>
      <c r="H1097" s="39"/>
      <c r="I1097" s="39"/>
      <c r="J1097" s="39"/>
      <c r="K1097" s="39"/>
      <c r="L1097" s="39"/>
      <c r="M1097" s="39"/>
      <c r="N1097" s="39"/>
      <c r="O1097" s="39"/>
      <c r="P1097" s="39"/>
      <c r="Q1097" s="39"/>
      <c r="R1097" s="39"/>
      <c r="S1097" s="39"/>
    </row>
    <row r="1098" spans="1:19" s="1" customFormat="1" ht="15" customHeight="1">
      <c r="A1098" s="39"/>
      <c r="B1098" s="39"/>
      <c r="C1098" s="39"/>
      <c r="D1098" s="39"/>
      <c r="E1098" s="39"/>
      <c r="F1098" s="39"/>
      <c r="G1098" s="39"/>
      <c r="H1098" s="39"/>
      <c r="I1098" s="39"/>
      <c r="J1098" s="39"/>
      <c r="K1098" s="39"/>
      <c r="L1098" s="39"/>
      <c r="M1098" s="39"/>
      <c r="N1098" s="39"/>
      <c r="O1098" s="39"/>
      <c r="P1098" s="39"/>
      <c r="Q1098" s="39"/>
      <c r="R1098" s="39"/>
      <c r="S1098" s="39"/>
    </row>
    <row r="1099" spans="1:19" s="1" customFormat="1" ht="15" customHeight="1">
      <c r="A1099" s="39"/>
      <c r="B1099" s="39"/>
      <c r="C1099" s="39"/>
      <c r="D1099" s="39"/>
      <c r="E1099" s="39"/>
      <c r="F1099" s="39"/>
      <c r="G1099" s="39"/>
      <c r="H1099" s="39"/>
      <c r="I1099" s="39"/>
      <c r="J1099" s="39"/>
      <c r="K1099" s="39"/>
      <c r="L1099" s="39"/>
      <c r="M1099" s="39"/>
      <c r="N1099" s="39"/>
      <c r="O1099" s="39"/>
      <c r="P1099" s="39"/>
      <c r="Q1099" s="39"/>
      <c r="R1099" s="39"/>
      <c r="S1099" s="39"/>
    </row>
    <row r="1100" spans="1:19" s="1" customFormat="1" ht="15" customHeight="1">
      <c r="A1100" s="39"/>
      <c r="B1100" s="39"/>
      <c r="C1100" s="39"/>
      <c r="D1100" s="39"/>
      <c r="E1100" s="39"/>
      <c r="F1100" s="39"/>
      <c r="G1100" s="39"/>
      <c r="H1100" s="39"/>
      <c r="I1100" s="39"/>
      <c r="J1100" s="39"/>
      <c r="K1100" s="39"/>
      <c r="L1100" s="39"/>
      <c r="M1100" s="39"/>
      <c r="N1100" s="39"/>
      <c r="O1100" s="39"/>
      <c r="P1100" s="39"/>
      <c r="Q1100" s="39"/>
      <c r="R1100" s="39"/>
      <c r="S1100" s="39"/>
    </row>
    <row r="1101" spans="1:19" s="1" customFormat="1" ht="15" customHeight="1">
      <c r="A1101" s="39"/>
      <c r="B1101" s="39"/>
      <c r="C1101" s="39"/>
      <c r="D1101" s="39"/>
      <c r="E1101" s="39"/>
      <c r="F1101" s="39"/>
      <c r="G1101" s="39"/>
      <c r="H1101" s="39"/>
      <c r="I1101" s="39"/>
      <c r="J1101" s="39"/>
      <c r="K1101" s="39"/>
      <c r="L1101" s="39"/>
      <c r="M1101" s="39"/>
      <c r="N1101" s="39"/>
      <c r="O1101" s="39"/>
      <c r="P1101" s="39"/>
      <c r="Q1101" s="39"/>
      <c r="R1101" s="39"/>
      <c r="S1101" s="39"/>
    </row>
    <row r="1102" spans="1:19" s="1" customFormat="1" ht="15" customHeight="1">
      <c r="A1102" s="39"/>
      <c r="B1102" s="39"/>
      <c r="C1102" s="39"/>
      <c r="D1102" s="39"/>
      <c r="E1102" s="39"/>
      <c r="F1102" s="39"/>
      <c r="G1102" s="39"/>
      <c r="H1102" s="39"/>
      <c r="I1102" s="39"/>
      <c r="J1102" s="39"/>
      <c r="K1102" s="39"/>
      <c r="L1102" s="39"/>
      <c r="M1102" s="39"/>
      <c r="N1102" s="39"/>
      <c r="O1102" s="39"/>
      <c r="P1102" s="39"/>
      <c r="Q1102" s="39"/>
      <c r="R1102" s="39"/>
      <c r="S1102" s="39"/>
    </row>
    <row r="1103" spans="1:19" s="1" customFormat="1" ht="15" customHeight="1">
      <c r="A1103" s="39"/>
      <c r="B1103" s="39"/>
      <c r="C1103" s="39"/>
      <c r="D1103" s="39"/>
      <c r="E1103" s="39"/>
      <c r="F1103" s="39"/>
      <c r="G1103" s="39"/>
      <c r="H1103" s="39"/>
      <c r="I1103" s="39"/>
      <c r="J1103" s="39"/>
      <c r="K1103" s="39"/>
      <c r="L1103" s="39"/>
      <c r="M1103" s="39"/>
      <c r="N1103" s="39"/>
      <c r="O1103" s="39"/>
      <c r="P1103" s="39"/>
      <c r="Q1103" s="39"/>
      <c r="R1103" s="39"/>
      <c r="S1103" s="39"/>
    </row>
    <row r="1104" spans="1:19" s="1" customFormat="1" ht="15" customHeight="1">
      <c r="A1104" s="39"/>
      <c r="B1104" s="39"/>
      <c r="C1104" s="39"/>
      <c r="D1104" s="39"/>
      <c r="E1104" s="39"/>
      <c r="F1104" s="39"/>
      <c r="G1104" s="39"/>
      <c r="H1104" s="39"/>
      <c r="I1104" s="39"/>
      <c r="J1104" s="39"/>
      <c r="K1104" s="39"/>
      <c r="L1104" s="39"/>
      <c r="M1104" s="39"/>
      <c r="N1104" s="39"/>
      <c r="O1104" s="39"/>
      <c r="P1104" s="39"/>
      <c r="Q1104" s="39"/>
      <c r="R1104" s="39"/>
      <c r="S1104" s="39"/>
    </row>
    <row r="1105" spans="1:19" s="1" customFormat="1" ht="15" customHeight="1">
      <c r="A1105" s="39"/>
      <c r="B1105" s="39"/>
      <c r="C1105" s="39"/>
      <c r="D1105" s="39"/>
      <c r="E1105" s="39"/>
      <c r="F1105" s="39"/>
      <c r="G1105" s="39"/>
      <c r="H1105" s="39"/>
      <c r="I1105" s="39"/>
      <c r="J1105" s="39"/>
      <c r="K1105" s="39"/>
      <c r="L1105" s="39"/>
      <c r="M1105" s="39"/>
      <c r="N1105" s="39"/>
      <c r="O1105" s="39"/>
      <c r="P1105" s="39"/>
      <c r="Q1105" s="39"/>
      <c r="R1105" s="39"/>
      <c r="S1105" s="39"/>
    </row>
    <row r="1106" spans="1:19" s="1" customFormat="1" ht="15" customHeight="1">
      <c r="A1106" s="39"/>
      <c r="B1106" s="39"/>
      <c r="C1106" s="39"/>
      <c r="D1106" s="39"/>
      <c r="E1106" s="39"/>
      <c r="F1106" s="39"/>
      <c r="G1106" s="39"/>
      <c r="H1106" s="39"/>
      <c r="I1106" s="39"/>
      <c r="J1106" s="39"/>
      <c r="K1106" s="39"/>
      <c r="L1106" s="39"/>
      <c r="M1106" s="39"/>
      <c r="N1106" s="39"/>
      <c r="O1106" s="39"/>
      <c r="P1106" s="39"/>
      <c r="Q1106" s="39"/>
      <c r="R1106" s="39"/>
      <c r="S1106" s="39"/>
    </row>
    <row r="1107" spans="1:19" s="1" customFormat="1" ht="15" customHeight="1">
      <c r="A1107" s="39"/>
      <c r="B1107" s="39"/>
      <c r="C1107" s="39"/>
      <c r="D1107" s="39"/>
      <c r="E1107" s="39"/>
      <c r="F1107" s="39"/>
      <c r="G1107" s="39"/>
      <c r="H1107" s="39"/>
      <c r="I1107" s="39"/>
      <c r="J1107" s="39"/>
      <c r="K1107" s="39"/>
      <c r="L1107" s="39"/>
      <c r="M1107" s="39"/>
      <c r="N1107" s="39"/>
      <c r="O1107" s="39"/>
      <c r="P1107" s="39"/>
      <c r="Q1107" s="39"/>
      <c r="R1107" s="39"/>
      <c r="S1107" s="39"/>
    </row>
    <row r="1108" spans="1:19" s="1" customFormat="1" ht="15" customHeight="1">
      <c r="A1108" s="39"/>
      <c r="B1108" s="39"/>
      <c r="C1108" s="39"/>
      <c r="D1108" s="39"/>
      <c r="E1108" s="39"/>
      <c r="F1108" s="39"/>
      <c r="G1108" s="39"/>
      <c r="H1108" s="39"/>
      <c r="I1108" s="39"/>
      <c r="J1108" s="39"/>
      <c r="K1108" s="39"/>
      <c r="L1108" s="39"/>
      <c r="M1108" s="39"/>
      <c r="N1108" s="39"/>
      <c r="O1108" s="39"/>
      <c r="P1108" s="39"/>
      <c r="Q1108" s="39"/>
      <c r="R1108" s="39"/>
      <c r="S1108" s="39"/>
    </row>
    <row r="1109" spans="1:19" s="1" customFormat="1" ht="15" customHeight="1">
      <c r="A1109" s="39"/>
      <c r="B1109" s="39"/>
      <c r="C1109" s="39"/>
      <c r="D1109" s="39"/>
      <c r="E1109" s="39"/>
      <c r="F1109" s="39"/>
      <c r="G1109" s="39"/>
      <c r="H1109" s="39"/>
      <c r="I1109" s="39"/>
      <c r="J1109" s="39"/>
      <c r="K1109" s="39"/>
      <c r="L1109" s="39"/>
      <c r="M1109" s="39"/>
      <c r="N1109" s="39"/>
      <c r="O1109" s="39"/>
      <c r="P1109" s="39"/>
      <c r="Q1109" s="39"/>
      <c r="R1109" s="39"/>
      <c r="S1109" s="39"/>
    </row>
    <row r="1110" spans="1:19" s="1" customFormat="1" ht="15" customHeight="1">
      <c r="A1110" s="39"/>
      <c r="B1110" s="39"/>
      <c r="C1110" s="39"/>
      <c r="D1110" s="39"/>
      <c r="E1110" s="39"/>
      <c r="F1110" s="39"/>
      <c r="G1110" s="39"/>
      <c r="H1110" s="39"/>
      <c r="I1110" s="39"/>
      <c r="J1110" s="39"/>
      <c r="K1110" s="39"/>
      <c r="L1110" s="39"/>
      <c r="M1110" s="39"/>
      <c r="N1110" s="39"/>
      <c r="O1110" s="39"/>
      <c r="P1110" s="39"/>
      <c r="Q1110" s="39"/>
      <c r="R1110" s="39"/>
      <c r="S1110" s="39"/>
    </row>
    <row r="1111" spans="1:19" s="1" customFormat="1" ht="15" customHeight="1">
      <c r="A1111" s="39"/>
      <c r="B1111" s="39"/>
      <c r="C1111" s="39"/>
      <c r="D1111" s="39"/>
      <c r="E1111" s="39"/>
      <c r="F1111" s="39"/>
      <c r="G1111" s="39"/>
      <c r="H1111" s="39"/>
      <c r="I1111" s="39"/>
      <c r="J1111" s="39"/>
      <c r="K1111" s="39"/>
      <c r="L1111" s="39"/>
      <c r="M1111" s="39"/>
      <c r="N1111" s="39"/>
      <c r="O1111" s="39"/>
      <c r="P1111" s="39"/>
      <c r="Q1111" s="39"/>
      <c r="R1111" s="39"/>
      <c r="S1111" s="39"/>
    </row>
    <row r="1112" spans="1:19" s="1" customFormat="1" ht="15" customHeight="1">
      <c r="A1112" s="39"/>
      <c r="B1112" s="39"/>
      <c r="C1112" s="39"/>
      <c r="D1112" s="39"/>
      <c r="E1112" s="39"/>
      <c r="F1112" s="39"/>
      <c r="G1112" s="39"/>
      <c r="H1112" s="39"/>
      <c r="I1112" s="39"/>
      <c r="J1112" s="39"/>
      <c r="K1112" s="39"/>
      <c r="L1112" s="39"/>
      <c r="M1112" s="39"/>
      <c r="N1112" s="39"/>
      <c r="O1112" s="39"/>
      <c r="P1112" s="39"/>
      <c r="Q1112" s="39"/>
      <c r="R1112" s="39"/>
      <c r="S1112" s="39"/>
    </row>
    <row r="1113" spans="1:19" s="1" customFormat="1" ht="15" customHeight="1">
      <c r="A1113" s="39"/>
      <c r="B1113" s="39"/>
      <c r="C1113" s="39"/>
      <c r="D1113" s="39"/>
      <c r="E1113" s="39"/>
      <c r="F1113" s="39"/>
      <c r="G1113" s="39"/>
      <c r="H1113" s="39"/>
      <c r="I1113" s="39"/>
      <c r="J1113" s="39"/>
      <c r="K1113" s="39"/>
      <c r="L1113" s="39"/>
      <c r="M1113" s="39"/>
      <c r="N1113" s="39"/>
      <c r="O1113" s="39"/>
      <c r="P1113" s="39"/>
      <c r="Q1113" s="39"/>
      <c r="R1113" s="39"/>
      <c r="S1113" s="39"/>
    </row>
    <row r="1114" spans="1:19" s="1" customFormat="1" ht="15" customHeight="1">
      <c r="A1114" s="39"/>
      <c r="B1114" s="39"/>
      <c r="C1114" s="39"/>
      <c r="D1114" s="39"/>
      <c r="E1114" s="39"/>
      <c r="F1114" s="39"/>
      <c r="G1114" s="39"/>
      <c r="H1114" s="39"/>
      <c r="I1114" s="39"/>
      <c r="J1114" s="39"/>
      <c r="K1114" s="39"/>
      <c r="L1114" s="39"/>
      <c r="M1114" s="39"/>
      <c r="N1114" s="39"/>
      <c r="O1114" s="39"/>
      <c r="P1114" s="39"/>
      <c r="Q1114" s="39"/>
      <c r="R1114" s="39"/>
      <c r="S1114" s="39"/>
    </row>
    <row r="1115" spans="1:19" s="1" customFormat="1" ht="15" customHeight="1">
      <c r="A1115" s="39"/>
      <c r="B1115" s="39"/>
      <c r="C1115" s="39"/>
      <c r="D1115" s="39"/>
      <c r="E1115" s="39"/>
      <c r="F1115" s="39"/>
      <c r="G1115" s="39"/>
      <c r="H1115" s="39"/>
      <c r="I1115" s="39"/>
      <c r="J1115" s="39"/>
      <c r="K1115" s="39"/>
      <c r="L1115" s="39"/>
      <c r="M1115" s="39"/>
      <c r="N1115" s="39"/>
      <c r="O1115" s="39"/>
      <c r="P1115" s="39"/>
      <c r="Q1115" s="39"/>
      <c r="R1115" s="39"/>
      <c r="S1115" s="39"/>
    </row>
    <row r="1116" spans="1:19" s="1" customFormat="1" ht="15" customHeight="1">
      <c r="A1116" s="39"/>
      <c r="B1116" s="39"/>
      <c r="C1116" s="39"/>
      <c r="D1116" s="39"/>
      <c r="E1116" s="39"/>
      <c r="F1116" s="39"/>
      <c r="G1116" s="39"/>
      <c r="H1116" s="39"/>
      <c r="I1116" s="39"/>
      <c r="J1116" s="39"/>
      <c r="K1116" s="39"/>
      <c r="L1116" s="39"/>
      <c r="M1116" s="39"/>
      <c r="N1116" s="39"/>
      <c r="O1116" s="39"/>
      <c r="P1116" s="39"/>
      <c r="Q1116" s="39"/>
      <c r="R1116" s="39"/>
      <c r="S1116" s="39"/>
    </row>
    <row r="1117" spans="1:19" s="1" customFormat="1" ht="15" customHeight="1">
      <c r="A1117" s="39"/>
      <c r="B1117" s="39"/>
      <c r="C1117" s="39"/>
      <c r="D1117" s="39"/>
      <c r="E1117" s="39"/>
      <c r="F1117" s="39"/>
      <c r="G1117" s="39"/>
      <c r="H1117" s="39"/>
      <c r="I1117" s="39"/>
      <c r="J1117" s="39"/>
      <c r="K1117" s="39"/>
      <c r="L1117" s="39"/>
      <c r="M1117" s="39"/>
      <c r="N1117" s="39"/>
      <c r="O1117" s="39"/>
      <c r="P1117" s="39"/>
      <c r="Q1117" s="39"/>
      <c r="R1117" s="39"/>
      <c r="S1117" s="39"/>
    </row>
    <row r="1118" spans="1:19" s="1" customFormat="1" ht="15" customHeight="1">
      <c r="A1118" s="39"/>
      <c r="B1118" s="39"/>
      <c r="C1118" s="39"/>
      <c r="D1118" s="39"/>
      <c r="E1118" s="39"/>
      <c r="F1118" s="39"/>
      <c r="G1118" s="39"/>
      <c r="H1118" s="39"/>
      <c r="I1118" s="39"/>
      <c r="J1118" s="39"/>
      <c r="K1118" s="39"/>
      <c r="L1118" s="39"/>
      <c r="M1118" s="39"/>
      <c r="N1118" s="39"/>
      <c r="O1118" s="39"/>
      <c r="P1118" s="39"/>
      <c r="Q1118" s="39"/>
      <c r="R1118" s="39"/>
      <c r="S1118" s="39"/>
    </row>
    <row r="1119" spans="1:19" s="1" customFormat="1" ht="15" customHeight="1">
      <c r="A1119" s="39"/>
      <c r="B1119" s="39"/>
      <c r="C1119" s="39"/>
      <c r="D1119" s="39"/>
      <c r="E1119" s="39"/>
      <c r="F1119" s="39"/>
      <c r="G1119" s="39"/>
      <c r="H1119" s="39"/>
      <c r="I1119" s="39"/>
      <c r="J1119" s="39"/>
      <c r="K1119" s="39"/>
      <c r="L1119" s="39"/>
      <c r="M1119" s="39"/>
      <c r="N1119" s="39"/>
      <c r="O1119" s="39"/>
      <c r="P1119" s="39"/>
      <c r="Q1119" s="39"/>
      <c r="R1119" s="39"/>
      <c r="S1119" s="39"/>
    </row>
    <row r="1120" spans="1:19" s="1" customFormat="1" ht="15" customHeight="1">
      <c r="A1120" s="39"/>
      <c r="B1120" s="39"/>
      <c r="C1120" s="39"/>
      <c r="D1120" s="39"/>
      <c r="E1120" s="39"/>
      <c r="F1120" s="39"/>
      <c r="G1120" s="39"/>
      <c r="H1120" s="39"/>
      <c r="I1120" s="39"/>
      <c r="J1120" s="39"/>
      <c r="K1120" s="39"/>
      <c r="L1120" s="39"/>
      <c r="M1120" s="39"/>
      <c r="N1120" s="39"/>
      <c r="O1120" s="39"/>
      <c r="P1120" s="39"/>
      <c r="Q1120" s="39"/>
      <c r="R1120" s="39"/>
      <c r="S1120" s="39"/>
    </row>
    <row r="1121" spans="1:19" s="1" customFormat="1" ht="15" customHeight="1">
      <c r="A1121" s="39"/>
      <c r="B1121" s="39"/>
      <c r="C1121" s="39"/>
      <c r="D1121" s="39"/>
      <c r="E1121" s="39"/>
      <c r="F1121" s="39"/>
      <c r="G1121" s="39"/>
      <c r="H1121" s="39"/>
      <c r="I1121" s="39"/>
      <c r="J1121" s="39"/>
      <c r="K1121" s="39"/>
      <c r="L1121" s="39"/>
      <c r="M1121" s="39"/>
      <c r="N1121" s="39"/>
      <c r="O1121" s="39"/>
      <c r="P1121" s="39"/>
      <c r="Q1121" s="39"/>
      <c r="R1121" s="39"/>
      <c r="S1121" s="39"/>
    </row>
    <row r="1122" spans="1:19" s="1" customFormat="1" ht="15" customHeight="1">
      <c r="A1122" s="39"/>
      <c r="B1122" s="39"/>
      <c r="C1122" s="39"/>
      <c r="D1122" s="39"/>
      <c r="E1122" s="39"/>
      <c r="F1122" s="39"/>
      <c r="G1122" s="39"/>
      <c r="H1122" s="39"/>
      <c r="I1122" s="39"/>
      <c r="J1122" s="39"/>
      <c r="K1122" s="39"/>
      <c r="L1122" s="39"/>
      <c r="M1122" s="39"/>
      <c r="N1122" s="39"/>
      <c r="O1122" s="39"/>
      <c r="P1122" s="39"/>
      <c r="Q1122" s="39"/>
      <c r="R1122" s="39"/>
      <c r="S1122" s="39"/>
    </row>
    <row r="1123" spans="1:19" s="1" customFormat="1" ht="15" customHeight="1">
      <c r="A1123" s="39"/>
      <c r="B1123" s="39"/>
      <c r="C1123" s="39"/>
      <c r="D1123" s="39"/>
      <c r="E1123" s="39"/>
      <c r="F1123" s="39"/>
      <c r="G1123" s="39"/>
      <c r="H1123" s="39"/>
      <c r="I1123" s="39"/>
      <c r="J1123" s="39"/>
      <c r="K1123" s="39"/>
      <c r="L1123" s="39"/>
      <c r="M1123" s="39"/>
      <c r="N1123" s="39"/>
      <c r="O1123" s="39"/>
      <c r="P1123" s="39"/>
      <c r="Q1123" s="39"/>
      <c r="R1123" s="39"/>
      <c r="S1123" s="39"/>
    </row>
    <row r="1124" spans="1:19" s="1" customFormat="1" ht="15" customHeight="1">
      <c r="A1124" s="39"/>
      <c r="B1124" s="39"/>
      <c r="C1124" s="39"/>
      <c r="D1124" s="39"/>
      <c r="E1124" s="39"/>
      <c r="F1124" s="39"/>
      <c r="G1124" s="39"/>
      <c r="H1124" s="39"/>
      <c r="I1124" s="39"/>
      <c r="J1124" s="39"/>
      <c r="K1124" s="39"/>
      <c r="L1124" s="39"/>
      <c r="M1124" s="39"/>
      <c r="N1124" s="39"/>
      <c r="O1124" s="39"/>
      <c r="P1124" s="39"/>
      <c r="Q1124" s="39"/>
      <c r="R1124" s="39"/>
      <c r="S1124" s="39"/>
    </row>
    <row r="1125" spans="1:19" s="1" customFormat="1" ht="15" customHeight="1">
      <c r="A1125" s="39"/>
      <c r="B1125" s="39"/>
      <c r="C1125" s="39"/>
      <c r="D1125" s="39"/>
      <c r="E1125" s="39"/>
      <c r="F1125" s="39"/>
      <c r="G1125" s="39"/>
      <c r="H1125" s="39"/>
      <c r="I1125" s="39"/>
      <c r="J1125" s="39"/>
      <c r="K1125" s="39"/>
      <c r="L1125" s="39"/>
      <c r="M1125" s="39"/>
      <c r="N1125" s="39"/>
      <c r="O1125" s="39"/>
      <c r="P1125" s="39"/>
      <c r="Q1125" s="39"/>
      <c r="R1125" s="39"/>
      <c r="S1125" s="39"/>
    </row>
    <row r="1126" spans="1:19" s="1" customFormat="1" ht="15" customHeight="1">
      <c r="A1126" s="39"/>
      <c r="B1126" s="39"/>
      <c r="C1126" s="39"/>
      <c r="D1126" s="39"/>
      <c r="E1126" s="39"/>
      <c r="F1126" s="39"/>
      <c r="G1126" s="39"/>
      <c r="H1126" s="39"/>
      <c r="I1126" s="39"/>
      <c r="J1126" s="39"/>
      <c r="K1126" s="39"/>
      <c r="L1126" s="39"/>
      <c r="M1126" s="39"/>
      <c r="N1126" s="39"/>
      <c r="O1126" s="39"/>
      <c r="P1126" s="39"/>
      <c r="Q1126" s="39"/>
      <c r="R1126" s="39"/>
      <c r="S1126" s="39"/>
    </row>
    <row r="1127" spans="1:19" s="1" customFormat="1" ht="15" customHeight="1">
      <c r="A1127" s="39"/>
      <c r="B1127" s="39"/>
      <c r="C1127" s="39"/>
      <c r="D1127" s="39"/>
      <c r="E1127" s="39"/>
      <c r="F1127" s="39"/>
      <c r="G1127" s="39"/>
      <c r="H1127" s="39"/>
      <c r="I1127" s="39"/>
      <c r="J1127" s="39"/>
      <c r="K1127" s="39"/>
      <c r="L1127" s="39"/>
      <c r="M1127" s="39"/>
      <c r="N1127" s="39"/>
      <c r="O1127" s="39"/>
      <c r="P1127" s="39"/>
      <c r="Q1127" s="39"/>
      <c r="R1127" s="39"/>
      <c r="S1127" s="39"/>
    </row>
    <row r="1128" spans="1:19" s="1" customFormat="1" ht="15" customHeight="1">
      <c r="A1128" s="39"/>
      <c r="B1128" s="39"/>
      <c r="C1128" s="39"/>
      <c r="D1128" s="39"/>
      <c r="E1128" s="39"/>
      <c r="F1128" s="39"/>
      <c r="G1128" s="39"/>
      <c r="H1128" s="39"/>
      <c r="I1128" s="39"/>
      <c r="J1128" s="39"/>
      <c r="K1128" s="39"/>
      <c r="L1128" s="39"/>
      <c r="M1128" s="39"/>
      <c r="N1128" s="39"/>
      <c r="O1128" s="39"/>
      <c r="P1128" s="39"/>
      <c r="Q1128" s="39"/>
      <c r="R1128" s="39"/>
      <c r="S1128" s="39"/>
    </row>
    <row r="1129" spans="1:19" s="1" customFormat="1" ht="15" customHeight="1">
      <c r="A1129" s="39"/>
      <c r="B1129" s="39"/>
      <c r="C1129" s="39"/>
      <c r="D1129" s="39"/>
      <c r="E1129" s="39"/>
      <c r="F1129" s="39"/>
      <c r="G1129" s="39"/>
      <c r="H1129" s="39"/>
      <c r="I1129" s="39"/>
      <c r="J1129" s="39"/>
      <c r="K1129" s="39"/>
      <c r="L1129" s="39"/>
      <c r="M1129" s="39"/>
      <c r="N1129" s="39"/>
      <c r="O1129" s="39"/>
      <c r="P1129" s="39"/>
      <c r="Q1129" s="39"/>
      <c r="R1129" s="39"/>
      <c r="S1129" s="39"/>
    </row>
    <row r="1130" spans="1:19" s="1" customFormat="1" ht="15" customHeight="1">
      <c r="A1130" s="39"/>
      <c r="B1130" s="39"/>
      <c r="C1130" s="39"/>
      <c r="D1130" s="39"/>
      <c r="E1130" s="39"/>
      <c r="F1130" s="39"/>
      <c r="G1130" s="39"/>
      <c r="H1130" s="39"/>
      <c r="I1130" s="39"/>
      <c r="J1130" s="39"/>
      <c r="K1130" s="39"/>
      <c r="L1130" s="39"/>
      <c r="M1130" s="39"/>
      <c r="N1130" s="39"/>
      <c r="O1130" s="39"/>
      <c r="P1130" s="39"/>
      <c r="Q1130" s="39"/>
      <c r="R1130" s="39"/>
      <c r="S1130" s="39"/>
    </row>
    <row r="1131" spans="1:19" s="1" customFormat="1" ht="15" customHeight="1">
      <c r="A1131" s="39"/>
      <c r="B1131" s="39"/>
      <c r="C1131" s="39"/>
      <c r="D1131" s="39"/>
      <c r="E1131" s="39"/>
      <c r="F1131" s="39"/>
      <c r="G1131" s="39"/>
      <c r="H1131" s="39"/>
      <c r="I1131" s="39"/>
      <c r="J1131" s="39"/>
      <c r="K1131" s="39"/>
      <c r="L1131" s="39"/>
      <c r="M1131" s="39"/>
      <c r="N1131" s="39"/>
      <c r="O1131" s="39"/>
      <c r="P1131" s="39"/>
      <c r="Q1131" s="39"/>
      <c r="R1131" s="39"/>
      <c r="S1131" s="39"/>
    </row>
    <row r="1132" spans="1:19" s="1" customFormat="1" ht="15" customHeight="1">
      <c r="A1132" s="39"/>
      <c r="B1132" s="39"/>
      <c r="C1132" s="39"/>
      <c r="D1132" s="39"/>
      <c r="E1132" s="39"/>
      <c r="F1132" s="39"/>
      <c r="G1132" s="39"/>
      <c r="H1132" s="39"/>
      <c r="I1132" s="39"/>
      <c r="J1132" s="39"/>
      <c r="K1132" s="39"/>
      <c r="L1132" s="39"/>
      <c r="M1132" s="39"/>
      <c r="N1132" s="39"/>
      <c r="O1132" s="39"/>
      <c r="P1132" s="39"/>
      <c r="Q1132" s="39"/>
      <c r="R1132" s="39"/>
      <c r="S1132" s="39"/>
    </row>
    <row r="1133" spans="1:19" s="1" customFormat="1" ht="15" customHeight="1">
      <c r="A1133" s="39"/>
      <c r="B1133" s="39"/>
      <c r="C1133" s="39"/>
      <c r="D1133" s="39"/>
      <c r="E1133" s="39"/>
      <c r="F1133" s="39"/>
      <c r="G1133" s="39"/>
      <c r="H1133" s="39"/>
      <c r="I1133" s="39"/>
      <c r="J1133" s="39"/>
      <c r="K1133" s="39"/>
      <c r="L1133" s="39"/>
      <c r="M1133" s="39"/>
      <c r="N1133" s="39"/>
      <c r="O1133" s="39"/>
      <c r="P1133" s="39"/>
      <c r="Q1133" s="39"/>
      <c r="R1133" s="39"/>
      <c r="S1133" s="39"/>
    </row>
    <row r="1134" spans="1:19" s="1" customFormat="1" ht="15" customHeight="1">
      <c r="A1134" s="39"/>
      <c r="B1134" s="39"/>
      <c r="C1134" s="39"/>
      <c r="D1134" s="39"/>
      <c r="E1134" s="39"/>
      <c r="F1134" s="39"/>
      <c r="G1134" s="39"/>
      <c r="H1134" s="39"/>
      <c r="I1134" s="39"/>
      <c r="J1134" s="39"/>
      <c r="K1134" s="39"/>
      <c r="L1134" s="39"/>
      <c r="M1134" s="39"/>
      <c r="N1134" s="39"/>
      <c r="O1134" s="39"/>
      <c r="P1134" s="39"/>
      <c r="Q1134" s="39"/>
      <c r="R1134" s="39"/>
      <c r="S1134" s="39"/>
    </row>
    <row r="1135" spans="1:19" s="1" customFormat="1" ht="15" customHeight="1">
      <c r="A1135" s="39"/>
      <c r="B1135" s="39"/>
      <c r="C1135" s="39"/>
      <c r="D1135" s="39"/>
      <c r="E1135" s="39"/>
      <c r="F1135" s="39"/>
      <c r="G1135" s="39"/>
      <c r="H1135" s="39"/>
      <c r="I1135" s="39"/>
      <c r="J1135" s="39"/>
      <c r="K1135" s="39"/>
      <c r="L1135" s="39"/>
      <c r="M1135" s="39"/>
      <c r="N1135" s="39"/>
      <c r="O1135" s="39"/>
      <c r="P1135" s="39"/>
      <c r="Q1135" s="39"/>
      <c r="R1135" s="39"/>
      <c r="S1135" s="39"/>
    </row>
    <row r="1136" spans="1:19" s="1" customFormat="1" ht="15" customHeight="1">
      <c r="A1136" s="39"/>
      <c r="B1136" s="39"/>
      <c r="C1136" s="39"/>
      <c r="D1136" s="39"/>
      <c r="E1136" s="39"/>
      <c r="F1136" s="39"/>
      <c r="G1136" s="39"/>
      <c r="H1136" s="39"/>
      <c r="I1136" s="39"/>
      <c r="J1136" s="39"/>
      <c r="K1136" s="39"/>
      <c r="L1136" s="39"/>
      <c r="M1136" s="39"/>
      <c r="N1136" s="39"/>
      <c r="O1136" s="39"/>
      <c r="P1136" s="39"/>
      <c r="Q1136" s="39"/>
      <c r="R1136" s="39"/>
      <c r="S1136" s="39"/>
    </row>
    <row r="1137" spans="1:19" s="1" customFormat="1" ht="15" customHeight="1">
      <c r="A1137" s="39"/>
      <c r="B1137" s="39"/>
      <c r="C1137" s="39"/>
      <c r="D1137" s="39"/>
      <c r="E1137" s="39"/>
      <c r="F1137" s="39"/>
      <c r="G1137" s="39"/>
      <c r="H1137" s="39"/>
      <c r="I1137" s="39"/>
      <c r="J1137" s="39"/>
      <c r="K1137" s="39"/>
      <c r="L1137" s="39"/>
      <c r="M1137" s="39"/>
      <c r="N1137" s="39"/>
      <c r="O1137" s="39"/>
      <c r="P1137" s="39"/>
      <c r="Q1137" s="39"/>
      <c r="R1137" s="39"/>
      <c r="S1137" s="39"/>
    </row>
    <row r="1138" spans="1:19" s="1" customFormat="1" ht="15" customHeight="1">
      <c r="A1138" s="39"/>
      <c r="B1138" s="39"/>
      <c r="C1138" s="39"/>
      <c r="D1138" s="39"/>
      <c r="E1138" s="39"/>
      <c r="F1138" s="39"/>
      <c r="G1138" s="39"/>
      <c r="H1138" s="39"/>
      <c r="I1138" s="39"/>
      <c r="J1138" s="39"/>
      <c r="K1138" s="39"/>
      <c r="L1138" s="39"/>
      <c r="M1138" s="39"/>
      <c r="N1138" s="39"/>
      <c r="O1138" s="39"/>
      <c r="P1138" s="39"/>
      <c r="Q1138" s="39"/>
      <c r="R1138" s="39"/>
      <c r="S1138" s="39"/>
    </row>
    <row r="1139" spans="1:19" s="1" customFormat="1" ht="15" customHeight="1">
      <c r="A1139" s="39"/>
      <c r="B1139" s="39"/>
      <c r="C1139" s="39"/>
      <c r="D1139" s="39"/>
      <c r="E1139" s="39"/>
      <c r="F1139" s="39"/>
      <c r="G1139" s="39"/>
      <c r="H1139" s="39"/>
      <c r="I1139" s="39"/>
      <c r="J1139" s="39"/>
      <c r="K1139" s="39"/>
      <c r="L1139" s="39"/>
      <c r="M1139" s="39"/>
      <c r="N1139" s="39"/>
      <c r="O1139" s="39"/>
      <c r="P1139" s="39"/>
      <c r="Q1139" s="39"/>
      <c r="R1139" s="39"/>
      <c r="S1139" s="39"/>
    </row>
    <row r="1140" spans="1:19" s="1" customFormat="1" ht="15" customHeight="1">
      <c r="A1140" s="39"/>
      <c r="B1140" s="39"/>
      <c r="C1140" s="39"/>
      <c r="D1140" s="39"/>
      <c r="E1140" s="39"/>
      <c r="F1140" s="39"/>
      <c r="G1140" s="39"/>
      <c r="H1140" s="39"/>
      <c r="I1140" s="39"/>
      <c r="J1140" s="39"/>
      <c r="K1140" s="39"/>
      <c r="L1140" s="39"/>
      <c r="M1140" s="39"/>
      <c r="N1140" s="39"/>
      <c r="O1140" s="39"/>
      <c r="P1140" s="39"/>
      <c r="Q1140" s="39"/>
      <c r="R1140" s="39"/>
      <c r="S1140" s="39"/>
    </row>
    <row r="1141" spans="1:19" s="1" customFormat="1" ht="15" customHeight="1">
      <c r="A1141" s="39"/>
      <c r="B1141" s="39"/>
      <c r="C1141" s="39"/>
      <c r="D1141" s="39"/>
      <c r="E1141" s="39"/>
      <c r="F1141" s="39"/>
      <c r="G1141" s="39"/>
      <c r="H1141" s="39"/>
      <c r="I1141" s="39"/>
      <c r="J1141" s="39"/>
      <c r="K1141" s="39"/>
      <c r="L1141" s="39"/>
      <c r="M1141" s="39"/>
      <c r="N1141" s="39"/>
      <c r="O1141" s="39"/>
      <c r="P1141" s="39"/>
      <c r="Q1141" s="39"/>
      <c r="R1141" s="39"/>
      <c r="S1141" s="39"/>
    </row>
    <row r="1142" spans="1:19" s="1" customFormat="1" ht="15" customHeight="1">
      <c r="A1142" s="39"/>
      <c r="B1142" s="39"/>
      <c r="C1142" s="39"/>
      <c r="D1142" s="39"/>
      <c r="E1142" s="39"/>
      <c r="F1142" s="39"/>
      <c r="G1142" s="39"/>
      <c r="H1142" s="39"/>
      <c r="I1142" s="39"/>
      <c r="J1142" s="39"/>
      <c r="K1142" s="39"/>
      <c r="L1142" s="39"/>
      <c r="M1142" s="39"/>
      <c r="N1142" s="39"/>
      <c r="O1142" s="39"/>
      <c r="P1142" s="39"/>
      <c r="Q1142" s="39"/>
      <c r="R1142" s="39"/>
      <c r="S1142" s="39"/>
    </row>
    <row r="1143" spans="1:19" s="1" customFormat="1" ht="15" customHeight="1">
      <c r="A1143" s="39"/>
      <c r="B1143" s="39"/>
      <c r="C1143" s="39"/>
      <c r="D1143" s="39"/>
      <c r="E1143" s="39"/>
      <c r="F1143" s="39"/>
      <c r="G1143" s="39"/>
      <c r="H1143" s="39"/>
      <c r="I1143" s="39"/>
      <c r="J1143" s="39"/>
      <c r="K1143" s="39"/>
      <c r="L1143" s="39"/>
      <c r="M1143" s="39"/>
      <c r="N1143" s="39"/>
      <c r="O1143" s="39"/>
      <c r="P1143" s="39"/>
      <c r="Q1143" s="39"/>
      <c r="R1143" s="39"/>
      <c r="S1143" s="39"/>
    </row>
    <row r="1144" spans="1:19" s="1" customFormat="1" ht="15" customHeight="1">
      <c r="A1144" s="39"/>
      <c r="B1144" s="39"/>
      <c r="C1144" s="39"/>
      <c r="D1144" s="39"/>
      <c r="E1144" s="39"/>
      <c r="F1144" s="39"/>
      <c r="G1144" s="39"/>
      <c r="H1144" s="39"/>
      <c r="I1144" s="39"/>
      <c r="J1144" s="39"/>
      <c r="K1144" s="39"/>
      <c r="L1144" s="39"/>
      <c r="M1144" s="39"/>
      <c r="N1144" s="39"/>
      <c r="O1144" s="39"/>
      <c r="P1144" s="39"/>
      <c r="Q1144" s="39"/>
      <c r="R1144" s="39"/>
      <c r="S1144" s="39"/>
    </row>
    <row r="1145" spans="1:19" s="1" customFormat="1" ht="15" customHeight="1">
      <c r="A1145" s="39"/>
      <c r="B1145" s="39"/>
      <c r="C1145" s="39"/>
      <c r="D1145" s="39"/>
      <c r="E1145" s="39"/>
      <c r="F1145" s="39"/>
      <c r="G1145" s="39"/>
      <c r="H1145" s="39"/>
      <c r="I1145" s="39"/>
      <c r="J1145" s="39"/>
      <c r="K1145" s="39"/>
      <c r="L1145" s="39"/>
      <c r="M1145" s="39"/>
      <c r="N1145" s="39"/>
      <c r="O1145" s="39"/>
      <c r="P1145" s="39"/>
      <c r="Q1145" s="39"/>
      <c r="R1145" s="39"/>
      <c r="S1145" s="39"/>
    </row>
    <row r="1146" spans="1:19" s="1" customFormat="1" ht="15" customHeight="1">
      <c r="A1146" s="39"/>
      <c r="B1146" s="39"/>
      <c r="C1146" s="39"/>
      <c r="D1146" s="39"/>
      <c r="E1146" s="39"/>
      <c r="F1146" s="39"/>
      <c r="G1146" s="39"/>
      <c r="H1146" s="39"/>
      <c r="I1146" s="39"/>
      <c r="J1146" s="39"/>
      <c r="K1146" s="39"/>
      <c r="L1146" s="39"/>
      <c r="M1146" s="39"/>
      <c r="N1146" s="39"/>
      <c r="O1146" s="39"/>
      <c r="P1146" s="39"/>
      <c r="Q1146" s="39"/>
      <c r="R1146" s="39"/>
      <c r="S1146" s="39"/>
    </row>
    <row r="1147" spans="1:19" s="1" customFormat="1" ht="15" customHeight="1">
      <c r="A1147" s="39"/>
      <c r="B1147" s="39"/>
      <c r="C1147" s="39"/>
      <c r="D1147" s="39"/>
      <c r="E1147" s="39"/>
      <c r="F1147" s="39"/>
      <c r="G1147" s="39"/>
      <c r="H1147" s="39"/>
      <c r="I1147" s="39"/>
      <c r="J1147" s="39"/>
      <c r="K1147" s="39"/>
      <c r="L1147" s="39"/>
      <c r="M1147" s="39"/>
      <c r="N1147" s="39"/>
      <c r="O1147" s="39"/>
      <c r="P1147" s="39"/>
      <c r="Q1147" s="39"/>
      <c r="R1147" s="39"/>
      <c r="S1147" s="39"/>
    </row>
    <row r="1148" spans="1:19" s="1" customFormat="1" ht="15" customHeight="1">
      <c r="A1148" s="39"/>
      <c r="B1148" s="39"/>
      <c r="C1148" s="39"/>
      <c r="D1148" s="39"/>
      <c r="E1148" s="39"/>
      <c r="F1148" s="39"/>
      <c r="G1148" s="39"/>
      <c r="H1148" s="39"/>
      <c r="I1148" s="39"/>
      <c r="J1148" s="39"/>
      <c r="K1148" s="39"/>
      <c r="L1148" s="39"/>
      <c r="M1148" s="39"/>
      <c r="N1148" s="39"/>
      <c r="O1148" s="39"/>
      <c r="P1148" s="39"/>
      <c r="Q1148" s="39"/>
      <c r="R1148" s="39"/>
      <c r="S1148" s="39"/>
    </row>
    <row r="1149" spans="1:19" s="1" customFormat="1" ht="15" customHeight="1">
      <c r="A1149" s="39"/>
      <c r="B1149" s="39"/>
      <c r="C1149" s="39"/>
      <c r="D1149" s="39"/>
      <c r="E1149" s="39"/>
      <c r="F1149" s="39"/>
      <c r="G1149" s="39"/>
      <c r="H1149" s="39"/>
      <c r="I1149" s="39"/>
      <c r="J1149" s="39"/>
      <c r="K1149" s="39"/>
      <c r="L1149" s="39"/>
      <c r="M1149" s="39"/>
      <c r="N1149" s="39"/>
      <c r="O1149" s="39"/>
      <c r="P1149" s="39"/>
      <c r="Q1149" s="39"/>
      <c r="R1149" s="39"/>
      <c r="S1149" s="39"/>
    </row>
    <row r="1150" spans="1:19" s="1" customFormat="1" ht="15" customHeight="1">
      <c r="A1150" s="39"/>
      <c r="B1150" s="39"/>
      <c r="C1150" s="39"/>
      <c r="D1150" s="39"/>
      <c r="E1150" s="39"/>
      <c r="F1150" s="39"/>
      <c r="G1150" s="39"/>
      <c r="H1150" s="39"/>
      <c r="I1150" s="39"/>
      <c r="J1150" s="39"/>
      <c r="K1150" s="39"/>
      <c r="L1150" s="39"/>
      <c r="M1150" s="39"/>
      <c r="N1150" s="39"/>
      <c r="O1150" s="39"/>
      <c r="P1150" s="39"/>
      <c r="Q1150" s="39"/>
      <c r="R1150" s="39"/>
      <c r="S1150" s="39"/>
    </row>
    <row r="1151" spans="1:19" s="1" customFormat="1" ht="15" customHeight="1">
      <c r="A1151" s="39"/>
      <c r="B1151" s="39"/>
      <c r="C1151" s="39"/>
      <c r="D1151" s="39"/>
      <c r="E1151" s="39"/>
      <c r="F1151" s="39"/>
      <c r="G1151" s="39"/>
      <c r="H1151" s="39"/>
      <c r="I1151" s="39"/>
      <c r="J1151" s="39"/>
      <c r="K1151" s="39"/>
      <c r="L1151" s="39"/>
      <c r="M1151" s="39"/>
      <c r="N1151" s="39"/>
      <c r="O1151" s="39"/>
      <c r="P1151" s="39"/>
      <c r="Q1151" s="39"/>
      <c r="R1151" s="39"/>
      <c r="S1151" s="39"/>
    </row>
    <row r="1152" spans="1:19" s="1" customFormat="1" ht="15" customHeight="1">
      <c r="A1152" s="39"/>
      <c r="B1152" s="39"/>
      <c r="C1152" s="39"/>
      <c r="D1152" s="39"/>
      <c r="E1152" s="39"/>
      <c r="F1152" s="39"/>
      <c r="G1152" s="39"/>
      <c r="H1152" s="39"/>
      <c r="I1152" s="39"/>
      <c r="J1152" s="39"/>
      <c r="K1152" s="39"/>
      <c r="L1152" s="39"/>
      <c r="M1152" s="39"/>
      <c r="N1152" s="39"/>
      <c r="O1152" s="39"/>
      <c r="P1152" s="39"/>
      <c r="Q1152" s="39"/>
      <c r="R1152" s="39"/>
      <c r="S1152" s="39"/>
    </row>
    <row r="1153" spans="1:19" s="1" customFormat="1" ht="15" customHeight="1">
      <c r="A1153" s="39"/>
      <c r="B1153" s="39"/>
      <c r="C1153" s="39"/>
      <c r="D1153" s="39"/>
      <c r="E1153" s="39"/>
      <c r="F1153" s="39"/>
      <c r="G1153" s="39"/>
      <c r="H1153" s="39"/>
      <c r="I1153" s="39"/>
      <c r="J1153" s="39"/>
      <c r="K1153" s="39"/>
      <c r="L1153" s="39"/>
      <c r="M1153" s="39"/>
      <c r="N1153" s="39"/>
      <c r="O1153" s="39"/>
      <c r="P1153" s="39"/>
      <c r="Q1153" s="39"/>
      <c r="R1153" s="39"/>
      <c r="S1153" s="39"/>
    </row>
    <row r="1154" spans="1:19" s="1" customFormat="1" ht="15" customHeight="1">
      <c r="A1154" s="39"/>
      <c r="B1154" s="39"/>
      <c r="C1154" s="39"/>
      <c r="D1154" s="39"/>
      <c r="E1154" s="39"/>
      <c r="F1154" s="39"/>
      <c r="G1154" s="39"/>
      <c r="H1154" s="39"/>
      <c r="I1154" s="39"/>
      <c r="J1154" s="39"/>
      <c r="K1154" s="39"/>
      <c r="L1154" s="39"/>
      <c r="M1154" s="39"/>
      <c r="N1154" s="39"/>
      <c r="O1154" s="39"/>
      <c r="P1154" s="39"/>
      <c r="Q1154" s="39"/>
      <c r="R1154" s="39"/>
      <c r="S1154" s="39"/>
    </row>
    <row r="1155" spans="1:19" s="1" customFormat="1" ht="15" customHeight="1">
      <c r="A1155" s="39"/>
      <c r="B1155" s="39"/>
      <c r="C1155" s="39"/>
      <c r="D1155" s="39"/>
      <c r="E1155" s="39"/>
      <c r="F1155" s="39"/>
      <c r="G1155" s="39"/>
      <c r="H1155" s="39"/>
      <c r="I1155" s="39"/>
      <c r="J1155" s="39"/>
      <c r="K1155" s="39"/>
      <c r="L1155" s="39"/>
      <c r="M1155" s="39"/>
      <c r="N1155" s="39"/>
      <c r="O1155" s="39"/>
      <c r="P1155" s="39"/>
      <c r="Q1155" s="39"/>
      <c r="R1155" s="39"/>
      <c r="S1155" s="39"/>
    </row>
    <row r="1156" spans="1:19" s="1" customFormat="1" ht="15" customHeight="1">
      <c r="A1156" s="39"/>
      <c r="B1156" s="39"/>
      <c r="C1156" s="39"/>
      <c r="D1156" s="39"/>
      <c r="E1156" s="39"/>
      <c r="F1156" s="39"/>
      <c r="G1156" s="39"/>
      <c r="H1156" s="39"/>
      <c r="I1156" s="39"/>
      <c r="J1156" s="39"/>
      <c r="K1156" s="39"/>
      <c r="L1156" s="39"/>
      <c r="M1156" s="39"/>
      <c r="N1156" s="39"/>
      <c r="O1156" s="39"/>
      <c r="P1156" s="39"/>
      <c r="Q1156" s="39"/>
      <c r="R1156" s="39"/>
      <c r="S1156" s="39"/>
    </row>
    <row r="1157" spans="1:19" s="1" customFormat="1" ht="15" customHeight="1">
      <c r="A1157" s="39"/>
      <c r="B1157" s="39"/>
      <c r="C1157" s="39"/>
      <c r="D1157" s="39"/>
      <c r="E1157" s="39"/>
      <c r="F1157" s="39"/>
      <c r="G1157" s="39"/>
      <c r="H1157" s="39"/>
      <c r="I1157" s="39"/>
      <c r="J1157" s="39"/>
      <c r="K1157" s="39"/>
      <c r="L1157" s="39"/>
      <c r="M1157" s="39"/>
      <c r="N1157" s="39"/>
      <c r="O1157" s="39"/>
      <c r="P1157" s="39"/>
      <c r="Q1157" s="39"/>
      <c r="R1157" s="39"/>
      <c r="S1157" s="39"/>
    </row>
    <row r="1158" spans="1:19" s="1" customFormat="1" ht="15" customHeight="1">
      <c r="A1158" s="39"/>
      <c r="B1158" s="39"/>
      <c r="C1158" s="39"/>
      <c r="D1158" s="39"/>
      <c r="E1158" s="39"/>
      <c r="F1158" s="39"/>
      <c r="G1158" s="39"/>
      <c r="H1158" s="39"/>
      <c r="I1158" s="39"/>
      <c r="J1158" s="39"/>
      <c r="K1158" s="39"/>
      <c r="L1158" s="39"/>
      <c r="M1158" s="39"/>
      <c r="N1158" s="39"/>
      <c r="O1158" s="39"/>
      <c r="P1158" s="39"/>
      <c r="Q1158" s="39"/>
      <c r="R1158" s="39"/>
      <c r="S1158" s="39"/>
    </row>
    <row r="1159" spans="1:19" s="1" customFormat="1" ht="15" customHeight="1">
      <c r="A1159" s="39"/>
      <c r="B1159" s="39"/>
      <c r="C1159" s="39"/>
      <c r="D1159" s="39"/>
      <c r="E1159" s="39"/>
      <c r="F1159" s="39"/>
      <c r="G1159" s="39"/>
      <c r="H1159" s="39"/>
      <c r="I1159" s="39"/>
      <c r="J1159" s="39"/>
      <c r="K1159" s="39"/>
      <c r="L1159" s="39"/>
      <c r="M1159" s="39"/>
      <c r="N1159" s="39"/>
      <c r="O1159" s="39"/>
      <c r="P1159" s="39"/>
      <c r="Q1159" s="39"/>
      <c r="R1159" s="39"/>
      <c r="S1159" s="39"/>
    </row>
    <row r="1160" spans="1:19" s="1" customFormat="1" ht="15" customHeight="1">
      <c r="A1160" s="39"/>
      <c r="B1160" s="39"/>
      <c r="C1160" s="39"/>
      <c r="D1160" s="39"/>
      <c r="E1160" s="39"/>
      <c r="F1160" s="39"/>
      <c r="G1160" s="39"/>
      <c r="H1160" s="39"/>
      <c r="I1160" s="39"/>
      <c r="J1160" s="39"/>
      <c r="K1160" s="39"/>
      <c r="L1160" s="39"/>
      <c r="M1160" s="39"/>
      <c r="N1160" s="39"/>
      <c r="O1160" s="39"/>
      <c r="P1160" s="39"/>
      <c r="Q1160" s="39"/>
      <c r="R1160" s="39"/>
      <c r="S1160" s="39"/>
    </row>
    <row r="1161" spans="1:19" s="1" customFormat="1" ht="15" customHeight="1">
      <c r="A1161" s="39"/>
      <c r="B1161" s="39"/>
      <c r="C1161" s="39"/>
      <c r="D1161" s="39"/>
      <c r="E1161" s="39"/>
      <c r="F1161" s="39"/>
      <c r="G1161" s="39"/>
      <c r="H1161" s="39"/>
      <c r="I1161" s="39"/>
      <c r="J1161" s="39"/>
      <c r="K1161" s="39"/>
      <c r="L1161" s="39"/>
      <c r="M1161" s="39"/>
      <c r="N1161" s="39"/>
      <c r="O1161" s="39"/>
      <c r="P1161" s="39"/>
      <c r="Q1161" s="39"/>
      <c r="R1161" s="39"/>
      <c r="S1161" s="39"/>
    </row>
    <row r="1162" spans="1:19" s="1" customFormat="1" ht="15" customHeight="1">
      <c r="A1162" s="39"/>
      <c r="B1162" s="39"/>
      <c r="C1162" s="39"/>
      <c r="D1162" s="39"/>
      <c r="E1162" s="39"/>
      <c r="F1162" s="39"/>
      <c r="G1162" s="39"/>
      <c r="H1162" s="39"/>
      <c r="I1162" s="39"/>
      <c r="J1162" s="39"/>
      <c r="K1162" s="39"/>
      <c r="L1162" s="39"/>
      <c r="M1162" s="39"/>
      <c r="N1162" s="39"/>
      <c r="O1162" s="39"/>
      <c r="P1162" s="39"/>
      <c r="Q1162" s="39"/>
      <c r="R1162" s="39"/>
      <c r="S1162" s="39"/>
    </row>
    <row r="1163" spans="1:19" s="1" customFormat="1" ht="15" customHeight="1">
      <c r="A1163" s="39"/>
      <c r="B1163" s="39"/>
      <c r="C1163" s="39"/>
      <c r="D1163" s="39"/>
      <c r="E1163" s="39"/>
      <c r="F1163" s="39"/>
      <c r="G1163" s="39"/>
      <c r="H1163" s="39"/>
      <c r="I1163" s="39"/>
      <c r="J1163" s="39"/>
      <c r="K1163" s="39"/>
      <c r="L1163" s="39"/>
      <c r="M1163" s="39"/>
      <c r="N1163" s="39"/>
      <c r="O1163" s="39"/>
      <c r="P1163" s="39"/>
      <c r="Q1163" s="39"/>
      <c r="R1163" s="39"/>
      <c r="S1163" s="39"/>
    </row>
    <row r="1164" spans="1:19" s="1" customFormat="1" ht="15" customHeight="1">
      <c r="A1164" s="39"/>
      <c r="B1164" s="39"/>
      <c r="C1164" s="39"/>
      <c r="D1164" s="39"/>
      <c r="E1164" s="39"/>
      <c r="F1164" s="39"/>
      <c r="G1164" s="39"/>
      <c r="H1164" s="39"/>
      <c r="I1164" s="39"/>
      <c r="J1164" s="39"/>
      <c r="K1164" s="39"/>
      <c r="L1164" s="39"/>
      <c r="M1164" s="39"/>
      <c r="N1164" s="39"/>
      <c r="O1164" s="39"/>
      <c r="P1164" s="39"/>
      <c r="Q1164" s="39"/>
      <c r="R1164" s="39"/>
      <c r="S1164" s="39"/>
    </row>
    <row r="1165" spans="1:19" s="1" customFormat="1" ht="15" customHeight="1">
      <c r="A1165" s="39"/>
      <c r="B1165" s="39"/>
      <c r="C1165" s="39"/>
      <c r="D1165" s="39"/>
      <c r="E1165" s="39"/>
      <c r="F1165" s="39"/>
      <c r="G1165" s="39"/>
      <c r="H1165" s="39"/>
      <c r="I1165" s="39"/>
      <c r="J1165" s="39"/>
      <c r="K1165" s="39"/>
      <c r="L1165" s="39"/>
      <c r="M1165" s="39"/>
      <c r="N1165" s="39"/>
      <c r="O1165" s="39"/>
      <c r="P1165" s="39"/>
      <c r="Q1165" s="39"/>
      <c r="R1165" s="39"/>
      <c r="S1165" s="39"/>
    </row>
    <row r="1166" spans="1:19" s="1" customFormat="1" ht="15" customHeight="1">
      <c r="A1166" s="39"/>
      <c r="B1166" s="39"/>
      <c r="C1166" s="39"/>
      <c r="D1166" s="39"/>
      <c r="E1166" s="39"/>
      <c r="F1166" s="39"/>
      <c r="G1166" s="39"/>
      <c r="H1166" s="39"/>
      <c r="I1166" s="39"/>
      <c r="J1166" s="39"/>
      <c r="K1166" s="39"/>
      <c r="L1166" s="39"/>
      <c r="M1166" s="39"/>
      <c r="N1166" s="39"/>
      <c r="O1166" s="39"/>
      <c r="P1166" s="39"/>
      <c r="Q1166" s="39"/>
      <c r="R1166" s="39"/>
      <c r="S1166" s="39"/>
    </row>
    <row r="1167" spans="1:19" s="1" customFormat="1" ht="15" customHeight="1">
      <c r="A1167" s="39"/>
      <c r="B1167" s="39"/>
      <c r="C1167" s="39"/>
      <c r="D1167" s="39"/>
      <c r="E1167" s="39"/>
      <c r="F1167" s="39"/>
      <c r="G1167" s="39"/>
      <c r="H1167" s="39"/>
      <c r="I1167" s="39"/>
      <c r="J1167" s="39"/>
      <c r="K1167" s="39"/>
      <c r="L1167" s="39"/>
      <c r="M1167" s="39"/>
      <c r="N1167" s="39"/>
      <c r="O1167" s="39"/>
      <c r="P1167" s="39"/>
      <c r="Q1167" s="39"/>
      <c r="R1167" s="39"/>
      <c r="S1167" s="39"/>
    </row>
    <row r="1168" spans="1:19" s="1" customFormat="1" ht="15" customHeight="1">
      <c r="A1168" s="39"/>
      <c r="B1168" s="39"/>
      <c r="C1168" s="39"/>
      <c r="D1168" s="39"/>
      <c r="E1168" s="39"/>
      <c r="F1168" s="39"/>
      <c r="G1168" s="39"/>
      <c r="H1168" s="39"/>
      <c r="I1168" s="39"/>
      <c r="J1168" s="39"/>
      <c r="K1168" s="39"/>
      <c r="L1168" s="39"/>
      <c r="M1168" s="39"/>
      <c r="N1168" s="39"/>
      <c r="O1168" s="39"/>
      <c r="P1168" s="39"/>
      <c r="Q1168" s="39"/>
      <c r="R1168" s="39"/>
      <c r="S1168" s="39"/>
    </row>
    <row r="1169" spans="1:19" s="1" customFormat="1" ht="15" customHeight="1">
      <c r="A1169" s="39"/>
      <c r="B1169" s="39"/>
      <c r="C1169" s="39"/>
      <c r="D1169" s="39"/>
      <c r="E1169" s="39"/>
      <c r="F1169" s="39"/>
      <c r="G1169" s="39"/>
      <c r="H1169" s="39"/>
      <c r="I1169" s="39"/>
      <c r="J1169" s="39"/>
      <c r="K1169" s="39"/>
      <c r="L1169" s="39"/>
      <c r="M1169" s="39"/>
      <c r="N1169" s="39"/>
      <c r="O1169" s="39"/>
      <c r="P1169" s="39"/>
      <c r="Q1169" s="39"/>
      <c r="R1169" s="39"/>
      <c r="S1169" s="39"/>
    </row>
    <row r="1170" spans="1:19" s="1" customFormat="1" ht="15" customHeight="1">
      <c r="A1170" s="39"/>
      <c r="B1170" s="39"/>
      <c r="C1170" s="39"/>
      <c r="D1170" s="39"/>
      <c r="E1170" s="39"/>
      <c r="F1170" s="39"/>
      <c r="G1170" s="39"/>
      <c r="H1170" s="39"/>
      <c r="I1170" s="39"/>
      <c r="J1170" s="39"/>
      <c r="K1170" s="39"/>
      <c r="L1170" s="39"/>
      <c r="M1170" s="39"/>
      <c r="N1170" s="39"/>
      <c r="O1170" s="39"/>
      <c r="P1170" s="39"/>
      <c r="Q1170" s="39"/>
      <c r="R1170" s="39"/>
      <c r="S1170" s="39"/>
    </row>
    <row r="1171" spans="1:19" s="1" customFormat="1" ht="15" customHeight="1">
      <c r="A1171" s="39"/>
      <c r="B1171" s="39"/>
      <c r="C1171" s="39"/>
      <c r="D1171" s="39"/>
      <c r="E1171" s="39"/>
      <c r="F1171" s="39"/>
      <c r="G1171" s="39"/>
      <c r="H1171" s="39"/>
      <c r="I1171" s="39"/>
      <c r="J1171" s="39"/>
      <c r="K1171" s="39"/>
      <c r="L1171" s="39"/>
      <c r="M1171" s="39"/>
      <c r="N1171" s="39"/>
      <c r="O1171" s="39"/>
      <c r="P1171" s="39"/>
      <c r="Q1171" s="39"/>
      <c r="R1171" s="39"/>
      <c r="S1171" s="39"/>
    </row>
    <row r="1172" spans="1:19" s="1" customFormat="1" ht="15" customHeight="1">
      <c r="A1172" s="39"/>
      <c r="B1172" s="39"/>
      <c r="C1172" s="39"/>
      <c r="D1172" s="39"/>
      <c r="E1172" s="39"/>
      <c r="F1172" s="39"/>
      <c r="G1172" s="39"/>
      <c r="H1172" s="39"/>
      <c r="I1172" s="39"/>
      <c r="J1172" s="39"/>
      <c r="K1172" s="39"/>
      <c r="L1172" s="39"/>
      <c r="M1172" s="39"/>
      <c r="N1172" s="39"/>
      <c r="O1172" s="39"/>
      <c r="P1172" s="39"/>
      <c r="Q1172" s="39"/>
      <c r="R1172" s="39"/>
      <c r="S1172" s="39"/>
    </row>
    <row r="1173" spans="1:19" s="1" customFormat="1" ht="15" customHeight="1">
      <c r="A1173" s="39"/>
      <c r="B1173" s="39"/>
      <c r="C1173" s="39"/>
      <c r="D1173" s="39"/>
      <c r="E1173" s="39"/>
      <c r="F1173" s="39"/>
      <c r="G1173" s="39"/>
      <c r="H1173" s="39"/>
      <c r="I1173" s="39"/>
      <c r="J1173" s="39"/>
      <c r="K1173" s="39"/>
      <c r="L1173" s="39"/>
      <c r="M1173" s="39"/>
      <c r="N1173" s="39"/>
      <c r="O1173" s="39"/>
      <c r="P1173" s="39"/>
      <c r="Q1173" s="39"/>
      <c r="R1173" s="39"/>
      <c r="S1173" s="39"/>
    </row>
    <row r="1174" spans="1:19" s="1" customFormat="1" ht="15" customHeight="1">
      <c r="A1174" s="39"/>
      <c r="B1174" s="39"/>
      <c r="C1174" s="39"/>
      <c r="D1174" s="39"/>
      <c r="E1174" s="39"/>
      <c r="F1174" s="39"/>
      <c r="G1174" s="39"/>
      <c r="H1174" s="39"/>
      <c r="I1174" s="39"/>
      <c r="J1174" s="39"/>
      <c r="K1174" s="39"/>
      <c r="L1174" s="39"/>
      <c r="M1174" s="39"/>
      <c r="N1174" s="39"/>
      <c r="O1174" s="39"/>
      <c r="P1174" s="39"/>
      <c r="Q1174" s="39"/>
      <c r="R1174" s="39"/>
      <c r="S1174" s="39"/>
    </row>
    <row r="1175" spans="1:19" s="1" customFormat="1" ht="15" customHeight="1">
      <c r="A1175" s="39"/>
      <c r="B1175" s="39"/>
      <c r="C1175" s="39"/>
      <c r="D1175" s="39"/>
      <c r="E1175" s="39"/>
      <c r="F1175" s="39"/>
      <c r="G1175" s="39"/>
      <c r="H1175" s="39"/>
      <c r="I1175" s="39"/>
      <c r="J1175" s="39"/>
      <c r="K1175" s="39"/>
      <c r="L1175" s="39"/>
      <c r="M1175" s="39"/>
      <c r="N1175" s="39"/>
      <c r="O1175" s="39"/>
      <c r="P1175" s="39"/>
      <c r="Q1175" s="39"/>
      <c r="R1175" s="39"/>
      <c r="S1175" s="39"/>
    </row>
    <row r="1176" spans="1:19" s="1" customFormat="1" ht="15" customHeight="1">
      <c r="A1176" s="39"/>
      <c r="B1176" s="39"/>
      <c r="C1176" s="39"/>
      <c r="D1176" s="39"/>
      <c r="E1176" s="39"/>
      <c r="F1176" s="39"/>
      <c r="G1176" s="39"/>
      <c r="H1176" s="39"/>
      <c r="I1176" s="39"/>
      <c r="J1176" s="39"/>
      <c r="K1176" s="39"/>
      <c r="L1176" s="39"/>
      <c r="M1176" s="39"/>
      <c r="N1176" s="39"/>
      <c r="O1176" s="39"/>
      <c r="P1176" s="39"/>
      <c r="Q1176" s="39"/>
      <c r="R1176" s="39"/>
      <c r="S1176" s="39"/>
    </row>
    <row r="1177" spans="1:19" s="1" customFormat="1" ht="15" customHeight="1">
      <c r="A1177" s="39"/>
      <c r="B1177" s="39"/>
      <c r="C1177" s="39"/>
      <c r="D1177" s="39"/>
      <c r="E1177" s="39"/>
      <c r="F1177" s="39"/>
      <c r="G1177" s="39"/>
      <c r="H1177" s="39"/>
      <c r="I1177" s="39"/>
      <c r="J1177" s="39"/>
      <c r="K1177" s="39"/>
      <c r="L1177" s="39"/>
      <c r="M1177" s="39"/>
      <c r="N1177" s="39"/>
      <c r="O1177" s="39"/>
      <c r="P1177" s="39"/>
      <c r="Q1177" s="39"/>
      <c r="R1177" s="39"/>
      <c r="S1177" s="39"/>
    </row>
    <row r="1178" spans="1:19" s="1" customFormat="1" ht="15" customHeight="1">
      <c r="A1178" s="39"/>
      <c r="B1178" s="39"/>
      <c r="C1178" s="39"/>
      <c r="D1178" s="39"/>
      <c r="E1178" s="39"/>
      <c r="F1178" s="39"/>
      <c r="G1178" s="39"/>
      <c r="H1178" s="39"/>
      <c r="I1178" s="39"/>
      <c r="J1178" s="39"/>
      <c r="K1178" s="39"/>
      <c r="L1178" s="39"/>
      <c r="M1178" s="39"/>
      <c r="N1178" s="39"/>
      <c r="O1178" s="39"/>
      <c r="P1178" s="39"/>
      <c r="Q1178" s="39"/>
      <c r="R1178" s="39"/>
      <c r="S1178" s="39"/>
    </row>
    <row r="1179" spans="1:19" s="1" customFormat="1" ht="15" customHeight="1">
      <c r="A1179" s="39"/>
      <c r="B1179" s="39"/>
      <c r="C1179" s="39"/>
      <c r="D1179" s="39"/>
      <c r="E1179" s="39"/>
      <c r="F1179" s="39"/>
      <c r="G1179" s="39"/>
      <c r="H1179" s="39"/>
      <c r="I1179" s="39"/>
      <c r="J1179" s="39"/>
      <c r="K1179" s="39"/>
      <c r="L1179" s="39"/>
      <c r="M1179" s="39"/>
      <c r="N1179" s="39"/>
      <c r="O1179" s="39"/>
      <c r="P1179" s="39"/>
      <c r="Q1179" s="39"/>
      <c r="R1179" s="39"/>
      <c r="S1179" s="39"/>
    </row>
    <row r="1180" spans="1:19" s="1" customFormat="1" ht="15" customHeight="1">
      <c r="A1180" s="39"/>
      <c r="B1180" s="39"/>
      <c r="C1180" s="39"/>
      <c r="D1180" s="39"/>
      <c r="E1180" s="39"/>
      <c r="F1180" s="39"/>
      <c r="G1180" s="39"/>
      <c r="H1180" s="39"/>
      <c r="I1180" s="39"/>
      <c r="J1180" s="39"/>
      <c r="K1180" s="39"/>
      <c r="L1180" s="39"/>
      <c r="M1180" s="39"/>
      <c r="N1180" s="39"/>
      <c r="O1180" s="39"/>
      <c r="P1180" s="39"/>
      <c r="Q1180" s="39"/>
      <c r="R1180" s="39"/>
      <c r="S1180" s="39"/>
    </row>
    <row r="1181" spans="1:19" s="1" customFormat="1" ht="15" customHeight="1">
      <c r="A1181" s="39"/>
      <c r="B1181" s="39"/>
      <c r="C1181" s="39"/>
      <c r="D1181" s="39"/>
      <c r="E1181" s="39"/>
      <c r="F1181" s="39"/>
      <c r="G1181" s="39"/>
      <c r="H1181" s="39"/>
      <c r="I1181" s="39"/>
      <c r="J1181" s="39"/>
      <c r="K1181" s="39"/>
      <c r="L1181" s="39"/>
      <c r="M1181" s="39"/>
      <c r="N1181" s="39"/>
      <c r="O1181" s="39"/>
      <c r="P1181" s="39"/>
      <c r="Q1181" s="39"/>
      <c r="R1181" s="39"/>
      <c r="S1181" s="39"/>
    </row>
    <row r="1182" spans="1:19" s="1" customFormat="1" ht="15" customHeight="1">
      <c r="A1182" s="39"/>
      <c r="B1182" s="39"/>
      <c r="C1182" s="39"/>
      <c r="D1182" s="39"/>
      <c r="E1182" s="39"/>
      <c r="F1182" s="39"/>
      <c r="G1182" s="39"/>
      <c r="H1182" s="39"/>
      <c r="I1182" s="39"/>
      <c r="J1182" s="39"/>
      <c r="K1182" s="39"/>
      <c r="L1182" s="39"/>
      <c r="M1182" s="39"/>
      <c r="N1182" s="39"/>
      <c r="O1182" s="39"/>
      <c r="P1182" s="39"/>
      <c r="Q1182" s="39"/>
      <c r="R1182" s="39"/>
      <c r="S1182" s="39"/>
    </row>
    <row r="1183" spans="1:19" s="1" customFormat="1" ht="15" customHeight="1">
      <c r="A1183" s="39"/>
      <c r="B1183" s="39"/>
      <c r="C1183" s="39"/>
      <c r="D1183" s="39"/>
      <c r="E1183" s="39"/>
      <c r="F1183" s="39"/>
      <c r="G1183" s="39"/>
      <c r="H1183" s="39"/>
      <c r="I1183" s="39"/>
      <c r="J1183" s="39"/>
      <c r="K1183" s="39"/>
      <c r="L1183" s="39"/>
      <c r="M1183" s="39"/>
      <c r="N1183" s="39"/>
      <c r="O1183" s="39"/>
      <c r="P1183" s="39"/>
      <c r="Q1183" s="39"/>
      <c r="R1183" s="39"/>
      <c r="S1183" s="39"/>
    </row>
    <row r="1184" spans="1:19" s="1" customFormat="1" ht="15" customHeight="1">
      <c r="A1184" s="39"/>
      <c r="B1184" s="39"/>
      <c r="C1184" s="39"/>
      <c r="D1184" s="39"/>
      <c r="E1184" s="39"/>
      <c r="F1184" s="39"/>
      <c r="G1184" s="39"/>
      <c r="H1184" s="39"/>
      <c r="I1184" s="39"/>
      <c r="J1184" s="39"/>
      <c r="K1184" s="39"/>
      <c r="L1184" s="39"/>
      <c r="M1184" s="39"/>
      <c r="N1184" s="39"/>
      <c r="O1184" s="39"/>
      <c r="P1184" s="39"/>
      <c r="Q1184" s="39"/>
      <c r="R1184" s="39"/>
      <c r="S1184" s="39"/>
    </row>
    <row r="1185" spans="1:19" s="1" customFormat="1" ht="15" customHeight="1">
      <c r="A1185" s="39"/>
      <c r="B1185" s="39"/>
      <c r="C1185" s="39"/>
      <c r="D1185" s="39"/>
      <c r="E1185" s="39"/>
      <c r="F1185" s="39"/>
      <c r="G1185" s="39"/>
      <c r="H1185" s="39"/>
      <c r="I1185" s="39"/>
      <c r="J1185" s="39"/>
      <c r="K1185" s="39"/>
      <c r="L1185" s="39"/>
      <c r="M1185" s="39"/>
      <c r="N1185" s="39"/>
      <c r="O1185" s="39"/>
      <c r="P1185" s="39"/>
      <c r="Q1185" s="39"/>
      <c r="R1185" s="39"/>
      <c r="S1185" s="39"/>
    </row>
    <row r="1186" spans="1:19" s="1" customFormat="1" ht="15" customHeight="1">
      <c r="A1186" s="39"/>
      <c r="B1186" s="39"/>
      <c r="C1186" s="39"/>
      <c r="D1186" s="39"/>
      <c r="E1186" s="39"/>
      <c r="F1186" s="39"/>
      <c r="G1186" s="39"/>
      <c r="H1186" s="39"/>
      <c r="I1186" s="39"/>
      <c r="J1186" s="39"/>
      <c r="K1186" s="39"/>
      <c r="L1186" s="39"/>
      <c r="M1186" s="39"/>
      <c r="N1186" s="39"/>
      <c r="O1186" s="39"/>
      <c r="P1186" s="39"/>
      <c r="Q1186" s="39"/>
      <c r="R1186" s="39"/>
      <c r="S1186" s="39"/>
    </row>
    <row r="1187" spans="1:19" s="1" customFormat="1" ht="15" customHeight="1">
      <c r="A1187" s="39"/>
      <c r="B1187" s="39"/>
      <c r="C1187" s="39"/>
      <c r="D1187" s="39"/>
      <c r="E1187" s="39"/>
      <c r="F1187" s="39"/>
      <c r="G1187" s="39"/>
      <c r="H1187" s="39"/>
      <c r="I1187" s="39"/>
      <c r="J1187" s="39"/>
      <c r="K1187" s="39"/>
      <c r="L1187" s="39"/>
      <c r="M1187" s="39"/>
      <c r="N1187" s="39"/>
      <c r="O1187" s="39"/>
      <c r="P1187" s="39"/>
      <c r="Q1187" s="39"/>
      <c r="R1187" s="39"/>
      <c r="S1187" s="39"/>
    </row>
    <row r="1188" spans="1:19" s="1" customFormat="1" ht="15" customHeight="1">
      <c r="A1188" s="39"/>
      <c r="B1188" s="39"/>
      <c r="C1188" s="39"/>
      <c r="D1188" s="39"/>
      <c r="E1188" s="39"/>
      <c r="F1188" s="39"/>
      <c r="G1188" s="39"/>
      <c r="H1188" s="39"/>
      <c r="I1188" s="39"/>
      <c r="J1188" s="39"/>
      <c r="K1188" s="39"/>
      <c r="L1188" s="39"/>
      <c r="M1188" s="39"/>
      <c r="N1188" s="39"/>
      <c r="O1188" s="39"/>
      <c r="P1188" s="39"/>
      <c r="Q1188" s="39"/>
      <c r="R1188" s="39"/>
      <c r="S1188" s="39"/>
    </row>
    <row r="1189" spans="1:19" s="1" customFormat="1" ht="15" customHeight="1">
      <c r="A1189" s="39"/>
      <c r="B1189" s="39"/>
      <c r="C1189" s="39"/>
      <c r="D1189" s="39"/>
      <c r="E1189" s="39"/>
      <c r="F1189" s="39"/>
      <c r="G1189" s="39"/>
      <c r="H1189" s="39"/>
      <c r="I1189" s="39"/>
      <c r="J1189" s="39"/>
      <c r="K1189" s="39"/>
      <c r="L1189" s="39"/>
      <c r="M1189" s="39"/>
      <c r="N1189" s="39"/>
      <c r="O1189" s="39"/>
      <c r="P1189" s="39"/>
      <c r="Q1189" s="39"/>
      <c r="R1189" s="39"/>
      <c r="S1189" s="39"/>
    </row>
    <row r="1190" spans="1:19" s="1" customFormat="1" ht="15" customHeight="1">
      <c r="A1190" s="39"/>
      <c r="B1190" s="39"/>
      <c r="C1190" s="39"/>
      <c r="D1190" s="39"/>
      <c r="E1190" s="39"/>
      <c r="F1190" s="39"/>
      <c r="G1190" s="39"/>
      <c r="H1190" s="39"/>
      <c r="I1190" s="39"/>
      <c r="J1190" s="39"/>
      <c r="K1190" s="39"/>
      <c r="L1190" s="39"/>
      <c r="M1190" s="39"/>
      <c r="N1190" s="39"/>
      <c r="O1190" s="39"/>
      <c r="P1190" s="39"/>
      <c r="Q1190" s="39"/>
      <c r="R1190" s="39"/>
      <c r="S1190" s="39"/>
    </row>
    <row r="1191" spans="1:19" s="1" customFormat="1" ht="15" customHeight="1">
      <c r="A1191" s="39"/>
      <c r="B1191" s="39"/>
      <c r="C1191" s="39"/>
      <c r="D1191" s="39"/>
      <c r="E1191" s="39"/>
      <c r="F1191" s="39"/>
      <c r="G1191" s="39"/>
      <c r="H1191" s="39"/>
      <c r="I1191" s="39"/>
      <c r="J1191" s="39"/>
      <c r="K1191" s="39"/>
      <c r="L1191" s="39"/>
      <c r="M1191" s="39"/>
      <c r="N1191" s="39"/>
      <c r="O1191" s="39"/>
      <c r="P1191" s="39"/>
      <c r="Q1191" s="39"/>
      <c r="R1191" s="39"/>
      <c r="S1191" s="39"/>
    </row>
    <row r="1192" spans="1:19" s="1" customFormat="1" ht="15" customHeight="1">
      <c r="A1192" s="39"/>
      <c r="B1192" s="39"/>
      <c r="C1192" s="39"/>
      <c r="D1192" s="39"/>
      <c r="E1192" s="39"/>
      <c r="F1192" s="39"/>
      <c r="G1192" s="39"/>
      <c r="H1192" s="39"/>
      <c r="I1192" s="39"/>
      <c r="J1192" s="39"/>
      <c r="K1192" s="39"/>
      <c r="L1192" s="39"/>
      <c r="M1192" s="39"/>
      <c r="N1192" s="39"/>
      <c r="O1192" s="39"/>
      <c r="P1192" s="39"/>
      <c r="Q1192" s="39"/>
      <c r="R1192" s="39"/>
      <c r="S1192" s="39"/>
    </row>
    <row r="1193" spans="1:19" s="1" customFormat="1" ht="15" customHeight="1">
      <c r="A1193" s="39"/>
      <c r="B1193" s="39"/>
      <c r="C1193" s="39"/>
      <c r="D1193" s="39"/>
      <c r="E1193" s="39"/>
      <c r="F1193" s="39"/>
      <c r="G1193" s="39"/>
      <c r="H1193" s="39"/>
      <c r="I1193" s="39"/>
      <c r="J1193" s="39"/>
      <c r="K1193" s="39"/>
      <c r="L1193" s="39"/>
      <c r="M1193" s="39"/>
      <c r="N1193" s="39"/>
      <c r="O1193" s="39"/>
      <c r="P1193" s="39"/>
      <c r="Q1193" s="39"/>
      <c r="R1193" s="39"/>
      <c r="S1193" s="39"/>
    </row>
    <row r="1194" spans="1:19" s="1" customFormat="1" ht="15" customHeight="1">
      <c r="A1194" s="39"/>
      <c r="B1194" s="39"/>
      <c r="C1194" s="39"/>
      <c r="D1194" s="39"/>
      <c r="E1194" s="39"/>
      <c r="F1194" s="39"/>
      <c r="G1194" s="39"/>
      <c r="H1194" s="39"/>
      <c r="I1194" s="39"/>
      <c r="J1194" s="39"/>
      <c r="K1194" s="39"/>
      <c r="L1194" s="39"/>
      <c r="M1194" s="39"/>
      <c r="N1194" s="39"/>
      <c r="O1194" s="39"/>
      <c r="P1194" s="39"/>
      <c r="Q1194" s="39"/>
      <c r="R1194" s="39"/>
      <c r="S1194" s="39"/>
    </row>
    <row r="1195" spans="1:19" s="1" customFormat="1" ht="15" customHeight="1">
      <c r="A1195" s="39"/>
      <c r="B1195" s="39"/>
      <c r="C1195" s="39"/>
      <c r="D1195" s="39"/>
      <c r="E1195" s="39"/>
      <c r="F1195" s="39"/>
      <c r="G1195" s="39"/>
      <c r="H1195" s="39"/>
      <c r="I1195" s="39"/>
      <c r="J1195" s="39"/>
      <c r="K1195" s="39"/>
      <c r="L1195" s="39"/>
      <c r="M1195" s="39"/>
      <c r="N1195" s="39"/>
      <c r="O1195" s="39"/>
      <c r="P1195" s="39"/>
      <c r="Q1195" s="39"/>
      <c r="R1195" s="39"/>
      <c r="S1195" s="39"/>
    </row>
    <row r="1196" spans="1:19" s="1" customFormat="1" ht="15" customHeight="1">
      <c r="A1196" s="39"/>
      <c r="B1196" s="39"/>
      <c r="C1196" s="39"/>
      <c r="D1196" s="39"/>
      <c r="E1196" s="39"/>
      <c r="F1196" s="39"/>
      <c r="G1196" s="39"/>
      <c r="H1196" s="39"/>
      <c r="I1196" s="39"/>
      <c r="J1196" s="39"/>
      <c r="K1196" s="39"/>
      <c r="L1196" s="39"/>
      <c r="M1196" s="39"/>
      <c r="N1196" s="39"/>
      <c r="O1196" s="39"/>
      <c r="P1196" s="39"/>
      <c r="Q1196" s="39"/>
      <c r="R1196" s="39"/>
      <c r="S1196" s="39"/>
    </row>
    <row r="1197" spans="1:19" s="1" customFormat="1" ht="15" customHeight="1">
      <c r="A1197" s="39"/>
      <c r="B1197" s="39"/>
      <c r="C1197" s="39"/>
      <c r="D1197" s="39"/>
      <c r="E1197" s="39"/>
      <c r="F1197" s="39"/>
      <c r="G1197" s="39"/>
      <c r="H1197" s="39"/>
      <c r="I1197" s="39"/>
      <c r="J1197" s="39"/>
      <c r="K1197" s="39"/>
      <c r="L1197" s="39"/>
      <c r="M1197" s="39"/>
      <c r="N1197" s="39"/>
      <c r="O1197" s="39"/>
      <c r="P1197" s="39"/>
      <c r="Q1197" s="39"/>
      <c r="R1197" s="39"/>
      <c r="S1197" s="39"/>
    </row>
    <row r="1198" spans="1:19" s="1" customFormat="1" ht="15" customHeight="1">
      <c r="A1198" s="39"/>
      <c r="B1198" s="39"/>
      <c r="C1198" s="39"/>
      <c r="D1198" s="39"/>
      <c r="E1198" s="39"/>
      <c r="F1198" s="39"/>
      <c r="G1198" s="39"/>
      <c r="H1198" s="39"/>
      <c r="I1198" s="39"/>
      <c r="J1198" s="39"/>
      <c r="K1198" s="39"/>
      <c r="L1198" s="39"/>
      <c r="M1198" s="39"/>
      <c r="N1198" s="39"/>
      <c r="O1198" s="39"/>
      <c r="P1198" s="39"/>
      <c r="Q1198" s="39"/>
      <c r="R1198" s="39"/>
      <c r="S1198" s="39"/>
    </row>
    <row r="1199" spans="1:19" s="1" customFormat="1" ht="15" customHeight="1">
      <c r="A1199" s="39"/>
      <c r="B1199" s="39"/>
      <c r="C1199" s="39"/>
      <c r="D1199" s="39"/>
      <c r="E1199" s="39"/>
      <c r="F1199" s="39"/>
      <c r="G1199" s="39"/>
      <c r="H1199" s="39"/>
      <c r="I1199" s="39"/>
      <c r="J1199" s="39"/>
      <c r="K1199" s="39"/>
      <c r="L1199" s="39"/>
      <c r="M1199" s="39"/>
      <c r="N1199" s="39"/>
      <c r="O1199" s="39"/>
      <c r="P1199" s="39"/>
      <c r="Q1199" s="39"/>
      <c r="R1199" s="39"/>
      <c r="S1199" s="39"/>
    </row>
    <row r="1200" spans="1:19" s="1" customFormat="1" ht="15" customHeight="1">
      <c r="A1200" s="39"/>
      <c r="B1200" s="39"/>
      <c r="C1200" s="39"/>
      <c r="D1200" s="39"/>
      <c r="E1200" s="39"/>
      <c r="F1200" s="39"/>
      <c r="G1200" s="39"/>
      <c r="H1200" s="39"/>
      <c r="I1200" s="39"/>
      <c r="J1200" s="39"/>
      <c r="K1200" s="39"/>
      <c r="L1200" s="39"/>
      <c r="M1200" s="39"/>
      <c r="N1200" s="39"/>
      <c r="O1200" s="39"/>
      <c r="P1200" s="39"/>
      <c r="Q1200" s="39"/>
      <c r="R1200" s="39"/>
      <c r="S1200" s="39"/>
    </row>
    <row r="1201" spans="1:19" s="1" customFormat="1" ht="15" customHeight="1">
      <c r="A1201" s="39"/>
      <c r="B1201" s="39"/>
      <c r="C1201" s="39"/>
      <c r="D1201" s="39"/>
      <c r="E1201" s="39"/>
      <c r="F1201" s="39"/>
      <c r="G1201" s="39"/>
      <c r="H1201" s="39"/>
      <c r="I1201" s="39"/>
      <c r="J1201" s="39"/>
      <c r="K1201" s="39"/>
      <c r="L1201" s="39"/>
      <c r="M1201" s="39"/>
      <c r="N1201" s="39"/>
      <c r="O1201" s="39"/>
      <c r="P1201" s="39"/>
      <c r="Q1201" s="39"/>
      <c r="R1201" s="39"/>
      <c r="S1201" s="39"/>
    </row>
    <row r="1202" spans="1:19" s="1" customFormat="1" ht="15" customHeight="1">
      <c r="A1202" s="39"/>
      <c r="B1202" s="39"/>
      <c r="C1202" s="39"/>
      <c r="D1202" s="39"/>
      <c r="E1202" s="39"/>
      <c r="F1202" s="39"/>
      <c r="G1202" s="39"/>
      <c r="H1202" s="39"/>
      <c r="I1202" s="39"/>
      <c r="J1202" s="39"/>
      <c r="K1202" s="39"/>
      <c r="L1202" s="39"/>
      <c r="M1202" s="39"/>
      <c r="N1202" s="39"/>
      <c r="O1202" s="39"/>
      <c r="P1202" s="39"/>
      <c r="Q1202" s="39"/>
      <c r="R1202" s="39"/>
      <c r="S1202" s="39"/>
    </row>
    <row r="1203" spans="1:19" s="1" customFormat="1" ht="15" customHeight="1">
      <c r="A1203" s="39"/>
      <c r="B1203" s="39"/>
      <c r="C1203" s="39"/>
      <c r="D1203" s="39"/>
      <c r="E1203" s="39"/>
      <c r="F1203" s="39"/>
      <c r="G1203" s="39"/>
      <c r="H1203" s="39"/>
      <c r="I1203" s="39"/>
      <c r="J1203" s="39"/>
      <c r="K1203" s="39"/>
      <c r="L1203" s="39"/>
      <c r="M1203" s="39"/>
      <c r="N1203" s="39"/>
      <c r="O1203" s="39"/>
      <c r="P1203" s="39"/>
      <c r="Q1203" s="39"/>
      <c r="R1203" s="39"/>
      <c r="S1203" s="39"/>
    </row>
    <row r="1204" spans="1:19" s="1" customFormat="1" ht="15" customHeight="1">
      <c r="A1204" s="39"/>
      <c r="B1204" s="39"/>
      <c r="C1204" s="39"/>
      <c r="D1204" s="39"/>
      <c r="E1204" s="39"/>
      <c r="F1204" s="39"/>
      <c r="G1204" s="39"/>
      <c r="H1204" s="39"/>
      <c r="I1204" s="39"/>
      <c r="J1204" s="39"/>
      <c r="K1204" s="39"/>
      <c r="L1204" s="39"/>
      <c r="M1204" s="39"/>
      <c r="N1204" s="39"/>
      <c r="O1204" s="39"/>
      <c r="P1204" s="39"/>
      <c r="Q1204" s="39"/>
      <c r="R1204" s="39"/>
      <c r="S1204" s="39"/>
    </row>
    <row r="1205" spans="1:19" s="1" customFormat="1" ht="15" customHeight="1">
      <c r="A1205" s="39"/>
      <c r="B1205" s="39"/>
      <c r="C1205" s="39"/>
      <c r="D1205" s="39"/>
      <c r="E1205" s="39"/>
      <c r="F1205" s="39"/>
      <c r="G1205" s="39"/>
      <c r="H1205" s="39"/>
      <c r="I1205" s="39"/>
      <c r="J1205" s="39"/>
      <c r="K1205" s="39"/>
      <c r="L1205" s="39"/>
      <c r="M1205" s="39"/>
      <c r="N1205" s="39"/>
      <c r="O1205" s="39"/>
      <c r="P1205" s="39"/>
      <c r="Q1205" s="39"/>
      <c r="R1205" s="39"/>
      <c r="S1205" s="39"/>
    </row>
    <row r="1206" spans="1:19" s="1" customFormat="1" ht="15" customHeight="1">
      <c r="A1206" s="39"/>
      <c r="B1206" s="39"/>
      <c r="C1206" s="39"/>
      <c r="D1206" s="39"/>
      <c r="E1206" s="39"/>
      <c r="F1206" s="39"/>
      <c r="G1206" s="39"/>
      <c r="H1206" s="39"/>
      <c r="I1206" s="39"/>
      <c r="J1206" s="39"/>
      <c r="K1206" s="39"/>
      <c r="L1206" s="39"/>
      <c r="M1206" s="39"/>
      <c r="N1206" s="39"/>
      <c r="O1206" s="39"/>
      <c r="P1206" s="39"/>
      <c r="Q1206" s="39"/>
      <c r="R1206" s="39"/>
      <c r="S1206" s="39"/>
    </row>
    <row r="1207" spans="1:19" s="1" customFormat="1" ht="15" customHeight="1">
      <c r="A1207" s="39"/>
      <c r="B1207" s="39"/>
      <c r="C1207" s="39"/>
      <c r="D1207" s="39"/>
      <c r="E1207" s="39"/>
      <c r="F1207" s="39"/>
      <c r="G1207" s="39"/>
      <c r="H1207" s="39"/>
      <c r="I1207" s="39"/>
      <c r="J1207" s="39"/>
      <c r="K1207" s="39"/>
      <c r="L1207" s="39"/>
      <c r="M1207" s="39"/>
      <c r="N1207" s="39"/>
      <c r="O1207" s="39"/>
      <c r="P1207" s="39"/>
      <c r="Q1207" s="39"/>
      <c r="R1207" s="39"/>
      <c r="S1207" s="39"/>
    </row>
    <row r="1208" spans="1:19" s="1" customFormat="1" ht="15" customHeight="1">
      <c r="A1208" s="39"/>
      <c r="B1208" s="39"/>
      <c r="C1208" s="39"/>
      <c r="D1208" s="39"/>
      <c r="E1208" s="39"/>
      <c r="F1208" s="39"/>
      <c r="G1208" s="39"/>
      <c r="H1208" s="39"/>
      <c r="I1208" s="39"/>
      <c r="J1208" s="39"/>
      <c r="K1208" s="39"/>
      <c r="L1208" s="39"/>
      <c r="M1208" s="39"/>
      <c r="N1208" s="39"/>
      <c r="O1208" s="39"/>
      <c r="P1208" s="39"/>
      <c r="Q1208" s="39"/>
      <c r="R1208" s="39"/>
      <c r="S1208" s="39"/>
    </row>
    <row r="1209" spans="1:19" s="1" customFormat="1" ht="15" customHeight="1">
      <c r="A1209" s="39"/>
      <c r="B1209" s="39"/>
      <c r="C1209" s="39"/>
      <c r="D1209" s="39"/>
      <c r="E1209" s="39"/>
      <c r="F1209" s="39"/>
      <c r="G1209" s="39"/>
      <c r="H1209" s="39"/>
      <c r="I1209" s="39"/>
      <c r="J1209" s="39"/>
      <c r="K1209" s="39"/>
      <c r="L1209" s="39"/>
      <c r="M1209" s="39"/>
      <c r="N1209" s="39"/>
      <c r="O1209" s="39"/>
      <c r="P1209" s="39"/>
      <c r="Q1209" s="39"/>
      <c r="R1209" s="39"/>
      <c r="S1209" s="39"/>
    </row>
    <row r="1210" spans="1:19" s="1" customFormat="1" ht="15" customHeight="1">
      <c r="A1210" s="39"/>
      <c r="B1210" s="39"/>
      <c r="C1210" s="39"/>
      <c r="D1210" s="39"/>
      <c r="E1210" s="39"/>
      <c r="F1210" s="39"/>
      <c r="G1210" s="39"/>
      <c r="H1210" s="39"/>
      <c r="I1210" s="39"/>
      <c r="J1210" s="39"/>
      <c r="K1210" s="39"/>
      <c r="L1210" s="39"/>
      <c r="M1210" s="39"/>
      <c r="N1210" s="39"/>
      <c r="O1210" s="39"/>
      <c r="P1210" s="39"/>
      <c r="Q1210" s="39"/>
      <c r="R1210" s="39"/>
      <c r="S1210" s="39"/>
    </row>
    <row r="1211" spans="1:19" s="1" customFormat="1" ht="15" customHeight="1">
      <c r="A1211" s="39"/>
      <c r="B1211" s="39"/>
      <c r="C1211" s="39"/>
      <c r="D1211" s="39"/>
      <c r="E1211" s="39"/>
      <c r="F1211" s="39"/>
      <c r="G1211" s="39"/>
      <c r="H1211" s="39"/>
      <c r="I1211" s="39"/>
      <c r="J1211" s="39"/>
      <c r="K1211" s="39"/>
      <c r="L1211" s="39"/>
      <c r="M1211" s="39"/>
      <c r="N1211" s="39"/>
      <c r="O1211" s="39"/>
      <c r="P1211" s="39"/>
      <c r="Q1211" s="39"/>
      <c r="R1211" s="39"/>
      <c r="S1211" s="39"/>
    </row>
    <row r="1212" spans="1:19" s="1" customFormat="1" ht="15" customHeight="1">
      <c r="A1212" s="39"/>
      <c r="B1212" s="39"/>
      <c r="C1212" s="39"/>
      <c r="D1212" s="39"/>
      <c r="E1212" s="39"/>
      <c r="F1212" s="39"/>
      <c r="G1212" s="39"/>
      <c r="H1212" s="39"/>
      <c r="I1212" s="39"/>
      <c r="J1212" s="39"/>
      <c r="K1212" s="39"/>
      <c r="L1212" s="39"/>
      <c r="M1212" s="39"/>
      <c r="N1212" s="39"/>
      <c r="O1212" s="39"/>
      <c r="P1212" s="39"/>
      <c r="Q1212" s="39"/>
      <c r="R1212" s="39"/>
      <c r="S1212" s="39"/>
    </row>
    <row r="1213" spans="1:19" s="1" customFormat="1" ht="15" customHeight="1">
      <c r="A1213" s="39"/>
      <c r="B1213" s="39"/>
      <c r="C1213" s="39"/>
      <c r="D1213" s="39"/>
      <c r="E1213" s="39"/>
      <c r="F1213" s="39"/>
      <c r="G1213" s="39"/>
      <c r="H1213" s="39"/>
      <c r="I1213" s="39"/>
      <c r="J1213" s="39"/>
      <c r="K1213" s="39"/>
      <c r="L1213" s="39"/>
      <c r="M1213" s="39"/>
      <c r="N1213" s="39"/>
      <c r="O1213" s="39"/>
      <c r="P1213" s="39"/>
      <c r="Q1213" s="39"/>
      <c r="R1213" s="39"/>
      <c r="S1213" s="39"/>
    </row>
    <row r="1214" spans="1:19" s="1" customFormat="1" ht="15" customHeight="1">
      <c r="A1214" s="39"/>
      <c r="B1214" s="39"/>
      <c r="C1214" s="39"/>
      <c r="D1214" s="39"/>
      <c r="E1214" s="39"/>
      <c r="F1214" s="39"/>
      <c r="G1214" s="39"/>
      <c r="H1214" s="39"/>
      <c r="I1214" s="39"/>
      <c r="J1214" s="39"/>
      <c r="K1214" s="39"/>
      <c r="L1214" s="39"/>
      <c r="M1214" s="39"/>
      <c r="N1214" s="39"/>
      <c r="O1214" s="39"/>
      <c r="P1214" s="39"/>
      <c r="Q1214" s="39"/>
      <c r="R1214" s="39"/>
      <c r="S1214" s="39"/>
    </row>
    <row r="1215" spans="1:19" s="1" customFormat="1" ht="15" customHeight="1">
      <c r="A1215" s="39"/>
      <c r="B1215" s="39"/>
      <c r="C1215" s="39"/>
      <c r="D1215" s="39"/>
      <c r="E1215" s="39"/>
      <c r="F1215" s="39"/>
      <c r="G1215" s="39"/>
      <c r="H1215" s="39"/>
      <c r="I1215" s="39"/>
      <c r="J1215" s="39"/>
      <c r="K1215" s="39"/>
      <c r="L1215" s="39"/>
      <c r="M1215" s="39"/>
      <c r="N1215" s="39"/>
      <c r="O1215" s="39"/>
      <c r="P1215" s="39"/>
      <c r="Q1215" s="39"/>
      <c r="R1215" s="39"/>
      <c r="S1215" s="39"/>
    </row>
    <row r="1216" spans="1:19" s="1" customFormat="1" ht="15" customHeight="1">
      <c r="A1216" s="39"/>
      <c r="B1216" s="39"/>
      <c r="C1216" s="39"/>
      <c r="D1216" s="39"/>
      <c r="E1216" s="39"/>
      <c r="F1216" s="39"/>
      <c r="G1216" s="39"/>
      <c r="H1216" s="39"/>
      <c r="I1216" s="39"/>
      <c r="J1216" s="39"/>
      <c r="K1216" s="39"/>
      <c r="L1216" s="39"/>
      <c r="M1216" s="39"/>
      <c r="N1216" s="39"/>
      <c r="O1216" s="39"/>
      <c r="P1216" s="39"/>
      <c r="Q1216" s="39"/>
      <c r="R1216" s="39"/>
      <c r="S1216" s="39"/>
    </row>
    <row r="1217" spans="1:19" s="1" customFormat="1" ht="15" customHeight="1">
      <c r="A1217" s="39"/>
      <c r="B1217" s="39"/>
      <c r="C1217" s="39"/>
      <c r="D1217" s="39"/>
      <c r="E1217" s="39"/>
      <c r="F1217" s="39"/>
      <c r="G1217" s="39"/>
      <c r="H1217" s="39"/>
      <c r="I1217" s="39"/>
      <c r="J1217" s="39"/>
      <c r="K1217" s="39"/>
      <c r="L1217" s="39"/>
      <c r="M1217" s="39"/>
      <c r="N1217" s="39"/>
      <c r="O1217" s="39"/>
      <c r="P1217" s="39"/>
      <c r="Q1217" s="39"/>
      <c r="R1217" s="39"/>
      <c r="S1217" s="39"/>
    </row>
    <row r="1218" spans="1:19" s="1" customFormat="1" ht="15" customHeight="1">
      <c r="A1218" s="39"/>
      <c r="B1218" s="39"/>
      <c r="C1218" s="39"/>
      <c r="D1218" s="39"/>
      <c r="E1218" s="39"/>
      <c r="F1218" s="39"/>
      <c r="G1218" s="39"/>
      <c r="H1218" s="39"/>
      <c r="I1218" s="39"/>
      <c r="J1218" s="39"/>
      <c r="K1218" s="39"/>
      <c r="L1218" s="39"/>
      <c r="M1218" s="39"/>
      <c r="N1218" s="39"/>
      <c r="O1218" s="39"/>
      <c r="P1218" s="39"/>
      <c r="Q1218" s="39"/>
      <c r="R1218" s="39"/>
      <c r="S1218" s="39"/>
    </row>
    <row r="1219" spans="1:19" s="1" customFormat="1" ht="15" customHeight="1">
      <c r="A1219" s="39"/>
      <c r="B1219" s="39"/>
      <c r="C1219" s="39"/>
      <c r="D1219" s="39"/>
      <c r="E1219" s="39"/>
      <c r="F1219" s="39"/>
      <c r="G1219" s="39"/>
      <c r="H1219" s="39"/>
      <c r="I1219" s="39"/>
      <c r="J1219" s="39"/>
      <c r="K1219" s="39"/>
      <c r="L1219" s="39"/>
      <c r="M1219" s="39"/>
      <c r="N1219" s="39"/>
      <c r="O1219" s="39"/>
      <c r="P1219" s="39"/>
      <c r="Q1219" s="39"/>
      <c r="R1219" s="39"/>
      <c r="S1219" s="39"/>
    </row>
    <row r="1220" spans="1:19" s="1" customFormat="1" ht="15" customHeight="1">
      <c r="A1220" s="39"/>
      <c r="B1220" s="39"/>
      <c r="C1220" s="39"/>
      <c r="D1220" s="39"/>
      <c r="E1220" s="39"/>
      <c r="F1220" s="39"/>
      <c r="G1220" s="39"/>
      <c r="H1220" s="39"/>
      <c r="I1220" s="39"/>
      <c r="J1220" s="39"/>
      <c r="K1220" s="39"/>
      <c r="L1220" s="39"/>
      <c r="M1220" s="39"/>
      <c r="N1220" s="39"/>
      <c r="O1220" s="39"/>
      <c r="P1220" s="39"/>
      <c r="Q1220" s="39"/>
      <c r="R1220" s="39"/>
      <c r="S1220" s="39"/>
    </row>
    <row r="1221" spans="1:19" s="1" customFormat="1" ht="15" customHeight="1">
      <c r="A1221" s="39"/>
      <c r="B1221" s="39"/>
      <c r="C1221" s="39"/>
      <c r="D1221" s="39"/>
      <c r="E1221" s="39"/>
      <c r="F1221" s="39"/>
      <c r="G1221" s="39"/>
      <c r="H1221" s="39"/>
      <c r="I1221" s="39"/>
      <c r="J1221" s="39"/>
      <c r="K1221" s="39"/>
      <c r="L1221" s="39"/>
      <c r="M1221" s="39"/>
      <c r="N1221" s="39"/>
      <c r="O1221" s="39"/>
      <c r="P1221" s="39"/>
      <c r="Q1221" s="39"/>
      <c r="R1221" s="39"/>
      <c r="S1221" s="39"/>
    </row>
    <row r="1222" spans="1:19" s="1" customFormat="1" ht="15" customHeight="1">
      <c r="A1222" s="39"/>
      <c r="B1222" s="39"/>
      <c r="C1222" s="39"/>
      <c r="D1222" s="39"/>
      <c r="E1222" s="39"/>
      <c r="F1222" s="39"/>
      <c r="G1222" s="39"/>
      <c r="H1222" s="39"/>
      <c r="I1222" s="39"/>
      <c r="J1222" s="39"/>
      <c r="K1222" s="39"/>
      <c r="L1222" s="39"/>
      <c r="M1222" s="39"/>
      <c r="N1222" s="39"/>
      <c r="O1222" s="39"/>
      <c r="P1222" s="39"/>
      <c r="Q1222" s="39"/>
      <c r="R1222" s="39"/>
      <c r="S1222" s="39"/>
    </row>
    <row r="1223" spans="1:19" s="1" customFormat="1" ht="15" customHeight="1">
      <c r="A1223" s="39"/>
      <c r="B1223" s="39"/>
      <c r="C1223" s="39"/>
      <c r="D1223" s="39"/>
      <c r="E1223" s="39"/>
      <c r="F1223" s="39"/>
      <c r="G1223" s="39"/>
      <c r="H1223" s="39"/>
      <c r="I1223" s="39"/>
      <c r="J1223" s="39"/>
      <c r="K1223" s="39"/>
      <c r="L1223" s="39"/>
      <c r="M1223" s="39"/>
      <c r="N1223" s="39"/>
      <c r="O1223" s="39"/>
      <c r="P1223" s="39"/>
      <c r="Q1223" s="39"/>
      <c r="R1223" s="39"/>
      <c r="S1223" s="39"/>
    </row>
    <row r="1224" spans="1:19" s="1" customFormat="1" ht="15" customHeight="1">
      <c r="A1224" s="39"/>
      <c r="B1224" s="39"/>
      <c r="C1224" s="39"/>
      <c r="D1224" s="39"/>
      <c r="E1224" s="39"/>
      <c r="F1224" s="39"/>
      <c r="G1224" s="39"/>
      <c r="H1224" s="39"/>
      <c r="I1224" s="39"/>
      <c r="J1224" s="39"/>
      <c r="K1224" s="39"/>
      <c r="L1224" s="39"/>
      <c r="M1224" s="39"/>
      <c r="N1224" s="39"/>
      <c r="O1224" s="39"/>
      <c r="P1224" s="39"/>
      <c r="Q1224" s="39"/>
      <c r="R1224" s="39"/>
      <c r="S1224" s="39"/>
    </row>
    <row r="1225" spans="1:19" s="1" customFormat="1" ht="15" customHeight="1">
      <c r="A1225" s="39"/>
      <c r="B1225" s="39"/>
      <c r="C1225" s="39"/>
      <c r="D1225" s="39"/>
      <c r="E1225" s="39"/>
      <c r="F1225" s="39"/>
      <c r="G1225" s="39"/>
      <c r="H1225" s="39"/>
      <c r="I1225" s="39"/>
      <c r="J1225" s="39"/>
      <c r="K1225" s="39"/>
      <c r="L1225" s="39"/>
      <c r="M1225" s="39"/>
      <c r="N1225" s="39"/>
      <c r="O1225" s="39"/>
      <c r="P1225" s="39"/>
      <c r="Q1225" s="39"/>
      <c r="R1225" s="39"/>
      <c r="S1225" s="39"/>
    </row>
    <row r="1226" spans="1:19" s="1" customFormat="1" ht="15" customHeight="1">
      <c r="A1226" s="39"/>
      <c r="B1226" s="39"/>
      <c r="C1226" s="39"/>
      <c r="D1226" s="39"/>
      <c r="E1226" s="39"/>
      <c r="F1226" s="39"/>
      <c r="G1226" s="39"/>
      <c r="H1226" s="39"/>
      <c r="I1226" s="39"/>
      <c r="J1226" s="39"/>
      <c r="K1226" s="39"/>
      <c r="L1226" s="39"/>
      <c r="M1226" s="39"/>
      <c r="N1226" s="39"/>
      <c r="O1226" s="39"/>
      <c r="P1226" s="39"/>
      <c r="Q1226" s="39"/>
      <c r="R1226" s="39"/>
      <c r="S1226" s="39"/>
    </row>
    <row r="1227" spans="1:19" s="1" customFormat="1" ht="15" customHeight="1">
      <c r="A1227" s="39"/>
      <c r="B1227" s="39"/>
      <c r="C1227" s="39"/>
      <c r="D1227" s="39"/>
      <c r="E1227" s="39"/>
      <c r="F1227" s="39"/>
      <c r="G1227" s="39"/>
      <c r="H1227" s="39"/>
      <c r="I1227" s="39"/>
      <c r="J1227" s="39"/>
      <c r="K1227" s="39"/>
      <c r="L1227" s="39"/>
      <c r="M1227" s="39"/>
      <c r="N1227" s="39"/>
      <c r="O1227" s="39"/>
      <c r="P1227" s="39"/>
      <c r="Q1227" s="39"/>
      <c r="R1227" s="39"/>
      <c r="S1227" s="39"/>
    </row>
    <row r="1228" spans="1:19" s="1" customFormat="1" ht="15" customHeight="1">
      <c r="A1228" s="39"/>
      <c r="B1228" s="39"/>
      <c r="C1228" s="39"/>
      <c r="D1228" s="39"/>
      <c r="E1228" s="39"/>
      <c r="F1228" s="39"/>
      <c r="G1228" s="39"/>
      <c r="H1228" s="39"/>
      <c r="I1228" s="39"/>
      <c r="J1228" s="39"/>
      <c r="K1228" s="39"/>
      <c r="L1228" s="39"/>
      <c r="M1228" s="39"/>
      <c r="N1228" s="39"/>
      <c r="O1228" s="39"/>
      <c r="P1228" s="39"/>
      <c r="Q1228" s="39"/>
      <c r="R1228" s="39"/>
      <c r="S1228" s="39"/>
    </row>
    <row r="1229" spans="1:19" s="1" customFormat="1" ht="15" customHeight="1">
      <c r="A1229" s="39"/>
      <c r="B1229" s="39"/>
      <c r="C1229" s="39"/>
      <c r="D1229" s="39"/>
      <c r="E1229" s="39"/>
      <c r="F1229" s="39"/>
      <c r="G1229" s="39"/>
      <c r="H1229" s="39"/>
      <c r="I1229" s="39"/>
      <c r="J1229" s="39"/>
      <c r="K1229" s="39"/>
      <c r="L1229" s="39"/>
      <c r="M1229" s="39"/>
      <c r="N1229" s="39"/>
      <c r="O1229" s="39"/>
      <c r="P1229" s="39"/>
      <c r="Q1229" s="39"/>
      <c r="R1229" s="39"/>
      <c r="S1229" s="39"/>
    </row>
    <row r="1230" spans="1:19" s="1" customFormat="1" ht="15" customHeight="1">
      <c r="A1230" s="39"/>
      <c r="B1230" s="39"/>
      <c r="C1230" s="39"/>
      <c r="D1230" s="39"/>
      <c r="E1230" s="39"/>
      <c r="F1230" s="39"/>
      <c r="G1230" s="39"/>
      <c r="H1230" s="39"/>
      <c r="I1230" s="39"/>
      <c r="J1230" s="39"/>
      <c r="K1230" s="39"/>
      <c r="L1230" s="39"/>
      <c r="M1230" s="39"/>
      <c r="N1230" s="39"/>
      <c r="O1230" s="39"/>
      <c r="P1230" s="39"/>
      <c r="Q1230" s="39"/>
      <c r="R1230" s="39"/>
      <c r="S1230" s="39"/>
    </row>
    <row r="1231" spans="1:19" s="1" customFormat="1" ht="15" customHeight="1">
      <c r="A1231" s="39"/>
      <c r="B1231" s="39"/>
      <c r="C1231" s="39"/>
      <c r="D1231" s="39"/>
      <c r="E1231" s="39"/>
      <c r="F1231" s="39"/>
      <c r="G1231" s="39"/>
      <c r="H1231" s="39"/>
      <c r="I1231" s="39"/>
      <c r="J1231" s="39"/>
      <c r="K1231" s="39"/>
      <c r="L1231" s="39"/>
      <c r="M1231" s="39"/>
      <c r="N1231" s="39"/>
      <c r="O1231" s="39"/>
      <c r="P1231" s="39"/>
      <c r="Q1231" s="39"/>
      <c r="R1231" s="39"/>
      <c r="S1231" s="39"/>
    </row>
    <row r="1232" spans="1:19" s="1" customFormat="1" ht="15" customHeight="1">
      <c r="A1232" s="39"/>
      <c r="B1232" s="39"/>
      <c r="C1232" s="39"/>
      <c r="D1232" s="39"/>
      <c r="E1232" s="39"/>
      <c r="F1232" s="39"/>
      <c r="G1232" s="39"/>
      <c r="H1232" s="39"/>
      <c r="I1232" s="39"/>
      <c r="J1232" s="39"/>
      <c r="K1232" s="39"/>
      <c r="L1232" s="39"/>
      <c r="M1232" s="39"/>
      <c r="N1232" s="39"/>
      <c r="O1232" s="39"/>
      <c r="P1232" s="39"/>
      <c r="Q1232" s="39"/>
      <c r="R1232" s="39"/>
      <c r="S1232" s="39"/>
    </row>
    <row r="1233" spans="1:19" s="1" customFormat="1" ht="15" customHeight="1">
      <c r="A1233" s="39"/>
      <c r="B1233" s="39"/>
      <c r="C1233" s="39"/>
      <c r="D1233" s="39"/>
      <c r="E1233" s="39"/>
      <c r="F1233" s="39"/>
      <c r="G1233" s="39"/>
      <c r="H1233" s="39"/>
      <c r="I1233" s="39"/>
      <c r="J1233" s="39"/>
      <c r="K1233" s="39"/>
      <c r="L1233" s="39"/>
      <c r="M1233" s="39"/>
      <c r="N1233" s="39"/>
      <c r="O1233" s="39"/>
      <c r="P1233" s="39"/>
      <c r="Q1233" s="39"/>
      <c r="R1233" s="39"/>
      <c r="S1233" s="39"/>
    </row>
    <row r="1234" spans="1:19" s="1" customFormat="1" ht="15" customHeight="1">
      <c r="A1234" s="39"/>
      <c r="B1234" s="39"/>
      <c r="C1234" s="39"/>
      <c r="D1234" s="39"/>
      <c r="E1234" s="39"/>
      <c r="F1234" s="39"/>
      <c r="G1234" s="39"/>
      <c r="H1234" s="39"/>
      <c r="I1234" s="39"/>
      <c r="J1234" s="39"/>
      <c r="K1234" s="39"/>
      <c r="L1234" s="39"/>
      <c r="M1234" s="39"/>
      <c r="N1234" s="39"/>
      <c r="O1234" s="39"/>
      <c r="P1234" s="39"/>
      <c r="Q1234" s="39"/>
      <c r="R1234" s="39"/>
      <c r="S1234" s="39"/>
    </row>
    <row r="1235" spans="1:19" s="1" customFormat="1" ht="15" customHeight="1">
      <c r="A1235" s="39"/>
      <c r="B1235" s="39"/>
      <c r="C1235" s="39"/>
      <c r="D1235" s="39"/>
      <c r="E1235" s="39"/>
      <c r="F1235" s="39"/>
      <c r="G1235" s="39"/>
      <c r="H1235" s="39"/>
      <c r="I1235" s="39"/>
      <c r="J1235" s="39"/>
      <c r="K1235" s="39"/>
      <c r="L1235" s="39"/>
      <c r="M1235" s="39"/>
      <c r="N1235" s="39"/>
      <c r="O1235" s="39"/>
      <c r="P1235" s="39"/>
      <c r="Q1235" s="39"/>
      <c r="R1235" s="39"/>
      <c r="S1235" s="39"/>
    </row>
    <row r="1236" spans="1:19" s="1" customFormat="1" ht="15" customHeight="1">
      <c r="A1236" s="39"/>
      <c r="B1236" s="39"/>
      <c r="C1236" s="39"/>
      <c r="D1236" s="39"/>
      <c r="E1236" s="39"/>
      <c r="F1236" s="39"/>
      <c r="G1236" s="39"/>
      <c r="H1236" s="39"/>
      <c r="I1236" s="39"/>
      <c r="J1236" s="39"/>
      <c r="K1236" s="39"/>
      <c r="L1236" s="39"/>
      <c r="M1236" s="39"/>
      <c r="N1236" s="39"/>
      <c r="O1236" s="39"/>
      <c r="P1236" s="39"/>
      <c r="Q1236" s="39"/>
      <c r="R1236" s="39"/>
      <c r="S1236" s="39"/>
    </row>
    <row r="1237" spans="1:19" s="1" customFormat="1" ht="15" customHeight="1">
      <c r="A1237" s="39"/>
      <c r="B1237" s="39"/>
      <c r="C1237" s="39"/>
      <c r="D1237" s="39"/>
      <c r="E1237" s="39"/>
      <c r="F1237" s="39"/>
      <c r="G1237" s="39"/>
      <c r="H1237" s="39"/>
      <c r="I1237" s="39"/>
      <c r="J1237" s="39"/>
      <c r="K1237" s="39"/>
      <c r="L1237" s="39"/>
      <c r="M1237" s="39"/>
      <c r="N1237" s="39"/>
      <c r="O1237" s="39"/>
      <c r="P1237" s="39"/>
      <c r="Q1237" s="39"/>
      <c r="R1237" s="39"/>
      <c r="S1237" s="39"/>
    </row>
    <row r="1238" spans="1:19" s="1" customFormat="1" ht="15" customHeight="1">
      <c r="A1238" s="39"/>
      <c r="B1238" s="39"/>
      <c r="C1238" s="39"/>
      <c r="D1238" s="39"/>
      <c r="E1238" s="39"/>
      <c r="F1238" s="39"/>
      <c r="G1238" s="39"/>
      <c r="H1238" s="39"/>
      <c r="I1238" s="39"/>
      <c r="J1238" s="39"/>
      <c r="K1238" s="39"/>
      <c r="L1238" s="39"/>
      <c r="M1238" s="39"/>
      <c r="N1238" s="39"/>
      <c r="O1238" s="39"/>
      <c r="P1238" s="39"/>
      <c r="Q1238" s="39"/>
      <c r="R1238" s="39"/>
      <c r="S1238" s="39"/>
    </row>
    <row r="1239" spans="1:19" s="1" customFormat="1" ht="15" customHeight="1">
      <c r="A1239" s="39"/>
      <c r="B1239" s="39"/>
      <c r="C1239" s="39"/>
      <c r="D1239" s="39"/>
      <c r="E1239" s="39"/>
      <c r="F1239" s="39"/>
      <c r="G1239" s="39"/>
      <c r="H1239" s="39"/>
      <c r="I1239" s="39"/>
      <c r="J1239" s="39"/>
      <c r="K1239" s="39"/>
      <c r="L1239" s="39"/>
      <c r="M1239" s="39"/>
      <c r="N1239" s="39"/>
      <c r="O1239" s="39"/>
      <c r="P1239" s="39"/>
      <c r="Q1239" s="39"/>
      <c r="R1239" s="39"/>
      <c r="S1239" s="39"/>
    </row>
    <row r="1240" spans="1:19" s="1" customFormat="1" ht="15" customHeight="1">
      <c r="A1240" s="39"/>
      <c r="B1240" s="39"/>
      <c r="C1240" s="39"/>
      <c r="D1240" s="39"/>
      <c r="E1240" s="39"/>
      <c r="F1240" s="39"/>
      <c r="G1240" s="39"/>
      <c r="H1240" s="39"/>
      <c r="I1240" s="39"/>
      <c r="J1240" s="39"/>
      <c r="K1240" s="39"/>
      <c r="L1240" s="39"/>
      <c r="M1240" s="39"/>
      <c r="N1240" s="39"/>
      <c r="O1240" s="39"/>
      <c r="P1240" s="39"/>
      <c r="Q1240" s="39"/>
      <c r="R1240" s="39"/>
      <c r="S1240" s="39"/>
    </row>
    <row r="1241" spans="1:19" s="1" customFormat="1" ht="15" customHeight="1">
      <c r="A1241" s="39"/>
      <c r="B1241" s="39"/>
      <c r="C1241" s="39"/>
      <c r="D1241" s="39"/>
      <c r="E1241" s="39"/>
      <c r="F1241" s="39"/>
      <c r="G1241" s="39"/>
      <c r="H1241" s="39"/>
      <c r="I1241" s="39"/>
      <c r="J1241" s="39"/>
      <c r="K1241" s="39"/>
      <c r="L1241" s="39"/>
      <c r="M1241" s="39"/>
      <c r="N1241" s="39"/>
      <c r="O1241" s="39"/>
      <c r="P1241" s="39"/>
      <c r="Q1241" s="39"/>
      <c r="R1241" s="39"/>
      <c r="S1241" s="39"/>
    </row>
    <row r="1242" spans="1:19" s="1" customFormat="1" ht="15" customHeight="1">
      <c r="A1242" s="39"/>
      <c r="B1242" s="39"/>
      <c r="C1242" s="39"/>
      <c r="D1242" s="39"/>
      <c r="E1242" s="39"/>
      <c r="F1242" s="39"/>
      <c r="G1242" s="39"/>
      <c r="H1242" s="39"/>
      <c r="I1242" s="39"/>
      <c r="J1242" s="39"/>
      <c r="K1242" s="39"/>
      <c r="L1242" s="39"/>
      <c r="M1242" s="39"/>
      <c r="N1242" s="39"/>
      <c r="O1242" s="39"/>
      <c r="P1242" s="39"/>
      <c r="Q1242" s="39"/>
      <c r="R1242" s="39"/>
      <c r="S1242" s="39"/>
    </row>
    <row r="1243" spans="1:19" s="1" customFormat="1" ht="15" customHeight="1">
      <c r="A1243" s="39"/>
      <c r="B1243" s="39"/>
      <c r="C1243" s="39"/>
      <c r="D1243" s="39"/>
      <c r="E1243" s="39"/>
      <c r="F1243" s="39"/>
      <c r="G1243" s="39"/>
      <c r="H1243" s="39"/>
      <c r="I1243" s="39"/>
      <c r="J1243" s="39"/>
      <c r="K1243" s="39"/>
      <c r="L1243" s="39"/>
      <c r="M1243" s="39"/>
      <c r="N1243" s="39"/>
      <c r="O1243" s="39"/>
      <c r="P1243" s="39"/>
      <c r="Q1243" s="39"/>
      <c r="R1243" s="39"/>
      <c r="S1243" s="39"/>
    </row>
    <row r="1244" spans="1:19" s="1" customFormat="1" ht="15" customHeight="1">
      <c r="A1244" s="39"/>
      <c r="B1244" s="39"/>
      <c r="C1244" s="39"/>
      <c r="D1244" s="39"/>
      <c r="E1244" s="39"/>
      <c r="F1244" s="39"/>
      <c r="G1244" s="39"/>
      <c r="H1244" s="39"/>
      <c r="I1244" s="39"/>
      <c r="J1244" s="39"/>
      <c r="K1244" s="39"/>
      <c r="L1244" s="39"/>
      <c r="M1244" s="39"/>
      <c r="N1244" s="39"/>
      <c r="O1244" s="39"/>
      <c r="P1244" s="39"/>
      <c r="Q1244" s="39"/>
      <c r="R1244" s="39"/>
      <c r="S1244" s="39"/>
    </row>
    <row r="1245" spans="1:19" s="1" customFormat="1" ht="15" customHeight="1">
      <c r="A1245" s="39"/>
      <c r="B1245" s="39"/>
      <c r="C1245" s="39"/>
      <c r="D1245" s="39"/>
      <c r="E1245" s="39"/>
      <c r="F1245" s="39"/>
      <c r="G1245" s="39"/>
      <c r="H1245" s="39"/>
      <c r="I1245" s="39"/>
      <c r="J1245" s="39"/>
      <c r="K1245" s="39"/>
      <c r="L1245" s="39"/>
      <c r="M1245" s="39"/>
      <c r="N1245" s="39"/>
      <c r="O1245" s="39"/>
      <c r="P1245" s="39"/>
      <c r="Q1245" s="39"/>
      <c r="R1245" s="39"/>
      <c r="S1245" s="39"/>
    </row>
    <row r="1246" spans="1:19" s="1" customFormat="1" ht="15" customHeight="1">
      <c r="A1246" s="39"/>
      <c r="B1246" s="39"/>
      <c r="C1246" s="39"/>
      <c r="D1246" s="39"/>
      <c r="E1246" s="39"/>
      <c r="F1246" s="39"/>
      <c r="G1246" s="39"/>
      <c r="H1246" s="39"/>
      <c r="I1246" s="39"/>
      <c r="J1246" s="39"/>
      <c r="K1246" s="39"/>
      <c r="L1246" s="39"/>
      <c r="M1246" s="39"/>
      <c r="N1246" s="39"/>
      <c r="O1246" s="39"/>
      <c r="P1246" s="39"/>
      <c r="Q1246" s="39"/>
      <c r="R1246" s="39"/>
      <c r="S1246" s="39"/>
    </row>
    <row r="1247" spans="1:19" s="1" customFormat="1" ht="15" customHeight="1">
      <c r="A1247" s="39"/>
      <c r="B1247" s="39"/>
      <c r="C1247" s="39"/>
      <c r="D1247" s="39"/>
      <c r="E1247" s="39"/>
      <c r="F1247" s="39"/>
      <c r="G1247" s="39"/>
      <c r="H1247" s="39"/>
      <c r="I1247" s="39"/>
      <c r="J1247" s="39"/>
      <c r="K1247" s="39"/>
      <c r="L1247" s="39"/>
      <c r="M1247" s="39"/>
      <c r="N1247" s="39"/>
      <c r="O1247" s="39"/>
      <c r="P1247" s="39"/>
      <c r="Q1247" s="39"/>
      <c r="R1247" s="39"/>
      <c r="S1247" s="39"/>
    </row>
    <row r="1248" spans="1:19" s="1" customFormat="1" ht="15" customHeight="1">
      <c r="A1248" s="39"/>
      <c r="B1248" s="39"/>
      <c r="C1248" s="39"/>
      <c r="D1248" s="39"/>
      <c r="E1248" s="39"/>
      <c r="F1248" s="39"/>
      <c r="G1248" s="39"/>
      <c r="H1248" s="39"/>
      <c r="I1248" s="39"/>
      <c r="J1248" s="39"/>
      <c r="K1248" s="39"/>
      <c r="L1248" s="39"/>
      <c r="M1248" s="39"/>
      <c r="N1248" s="39"/>
      <c r="O1248" s="39"/>
      <c r="P1248" s="39"/>
      <c r="Q1248" s="39"/>
      <c r="R1248" s="39"/>
      <c r="S1248" s="39"/>
    </row>
    <row r="1249" spans="1:19" s="1" customFormat="1" ht="15" customHeight="1">
      <c r="A1249" s="39"/>
      <c r="B1249" s="39"/>
      <c r="C1249" s="39"/>
      <c r="D1249" s="39"/>
      <c r="E1249" s="39"/>
      <c r="F1249" s="39"/>
      <c r="G1249" s="39"/>
      <c r="H1249" s="39"/>
      <c r="I1249" s="39"/>
      <c r="J1249" s="39"/>
      <c r="K1249" s="39"/>
      <c r="L1249" s="39"/>
      <c r="M1249" s="39"/>
      <c r="N1249" s="39"/>
      <c r="O1249" s="39"/>
      <c r="P1249" s="39"/>
      <c r="Q1249" s="39"/>
      <c r="R1249" s="39"/>
      <c r="S1249" s="39"/>
    </row>
    <row r="1250" spans="1:19" s="1" customFormat="1" ht="15" customHeight="1">
      <c r="A1250" s="39"/>
      <c r="B1250" s="39"/>
      <c r="C1250" s="39"/>
      <c r="D1250" s="39"/>
      <c r="E1250" s="39"/>
      <c r="F1250" s="39"/>
      <c r="G1250" s="39"/>
      <c r="H1250" s="39"/>
      <c r="I1250" s="39"/>
      <c r="J1250" s="39"/>
      <c r="K1250" s="39"/>
      <c r="L1250" s="39"/>
      <c r="M1250" s="39"/>
      <c r="N1250" s="39"/>
      <c r="O1250" s="39"/>
      <c r="P1250" s="39"/>
      <c r="Q1250" s="39"/>
      <c r="R1250" s="39"/>
      <c r="S1250" s="39"/>
    </row>
    <row r="1251" spans="1:19" s="1" customFormat="1" ht="15" customHeight="1">
      <c r="A1251" s="39"/>
      <c r="B1251" s="39"/>
      <c r="C1251" s="39"/>
      <c r="D1251" s="39"/>
      <c r="E1251" s="39"/>
      <c r="F1251" s="39"/>
      <c r="G1251" s="39"/>
      <c r="H1251" s="39"/>
      <c r="I1251" s="39"/>
      <c r="J1251" s="39"/>
      <c r="K1251" s="39"/>
      <c r="L1251" s="39"/>
      <c r="M1251" s="39"/>
      <c r="N1251" s="39"/>
      <c r="O1251" s="39"/>
      <c r="P1251" s="39"/>
      <c r="Q1251" s="39"/>
      <c r="R1251" s="39"/>
      <c r="S1251" s="39"/>
    </row>
    <row r="1252" spans="1:19" s="1" customFormat="1" ht="15" customHeight="1">
      <c r="A1252" s="39"/>
      <c r="B1252" s="39"/>
      <c r="C1252" s="39"/>
      <c r="D1252" s="39"/>
      <c r="E1252" s="39"/>
      <c r="F1252" s="39"/>
      <c r="G1252" s="39"/>
      <c r="H1252" s="39"/>
      <c r="I1252" s="39"/>
      <c r="J1252" s="39"/>
      <c r="K1252" s="39"/>
      <c r="L1252" s="39"/>
      <c r="M1252" s="39"/>
      <c r="N1252" s="39"/>
      <c r="O1252" s="39"/>
      <c r="P1252" s="39"/>
      <c r="Q1252" s="39"/>
      <c r="R1252" s="39"/>
      <c r="S1252" s="39"/>
    </row>
    <row r="1253" spans="1:19" s="1" customFormat="1" ht="15" customHeight="1">
      <c r="A1253" s="39"/>
      <c r="B1253" s="39"/>
      <c r="C1253" s="39"/>
      <c r="D1253" s="39"/>
      <c r="E1253" s="39"/>
      <c r="F1253" s="39"/>
      <c r="G1253" s="39"/>
      <c r="H1253" s="39"/>
      <c r="I1253" s="39"/>
      <c r="J1253" s="39"/>
      <c r="K1253" s="39"/>
      <c r="L1253" s="39"/>
      <c r="M1253" s="39"/>
      <c r="N1253" s="39"/>
      <c r="O1253" s="39"/>
      <c r="P1253" s="39"/>
      <c r="Q1253" s="39"/>
      <c r="R1253" s="39"/>
      <c r="S1253" s="39"/>
    </row>
    <row r="1254" spans="1:19" s="1" customFormat="1" ht="15" customHeight="1">
      <c r="A1254" s="39"/>
      <c r="B1254" s="39"/>
      <c r="C1254" s="39"/>
      <c r="D1254" s="39"/>
      <c r="E1254" s="39"/>
      <c r="F1254" s="39"/>
      <c r="G1254" s="39"/>
      <c r="H1254" s="39"/>
      <c r="I1254" s="39"/>
      <c r="J1254" s="39"/>
      <c r="K1254" s="39"/>
      <c r="L1254" s="39"/>
      <c r="M1254" s="39"/>
      <c r="N1254" s="39"/>
      <c r="O1254" s="39"/>
      <c r="P1254" s="39"/>
      <c r="Q1254" s="39"/>
      <c r="R1254" s="39"/>
      <c r="S1254" s="39"/>
    </row>
    <row r="1255" spans="1:19" s="1" customFormat="1" ht="15" customHeight="1">
      <c r="A1255" s="39"/>
      <c r="B1255" s="39"/>
      <c r="C1255" s="39"/>
      <c r="D1255" s="39"/>
      <c r="E1255" s="39"/>
      <c r="F1255" s="39"/>
      <c r="G1255" s="39"/>
      <c r="H1255" s="39"/>
      <c r="I1255" s="39"/>
      <c r="J1255" s="39"/>
      <c r="K1255" s="39"/>
      <c r="L1255" s="39"/>
      <c r="M1255" s="39"/>
      <c r="N1255" s="39"/>
      <c r="O1255" s="39"/>
      <c r="P1255" s="39"/>
      <c r="Q1255" s="39"/>
      <c r="R1255" s="39"/>
      <c r="S1255" s="39"/>
    </row>
    <row r="1256" spans="1:19" s="1" customFormat="1" ht="15" customHeight="1">
      <c r="A1256" s="39"/>
      <c r="B1256" s="39"/>
      <c r="C1256" s="39"/>
      <c r="D1256" s="39"/>
      <c r="E1256" s="39"/>
      <c r="F1256" s="39"/>
      <c r="G1256" s="39"/>
      <c r="H1256" s="39"/>
      <c r="I1256" s="39"/>
      <c r="J1256" s="39"/>
      <c r="K1256" s="39"/>
      <c r="L1256" s="39"/>
      <c r="M1256" s="39"/>
      <c r="N1256" s="39"/>
      <c r="O1256" s="39"/>
      <c r="P1256" s="39"/>
      <c r="Q1256" s="39"/>
      <c r="R1256" s="39"/>
      <c r="S1256" s="39"/>
    </row>
    <row r="1257" spans="1:19" s="1" customFormat="1" ht="15" customHeight="1">
      <c r="A1257" s="39"/>
      <c r="B1257" s="39"/>
      <c r="C1257" s="39"/>
      <c r="D1257" s="39"/>
      <c r="E1257" s="39"/>
      <c r="F1257" s="39"/>
      <c r="G1257" s="39"/>
      <c r="H1257" s="39"/>
      <c r="I1257" s="39"/>
      <c r="J1257" s="39"/>
      <c r="K1257" s="39"/>
      <c r="L1257" s="39"/>
      <c r="M1257" s="39"/>
      <c r="N1257" s="39"/>
      <c r="O1257" s="39"/>
      <c r="P1257" s="39"/>
      <c r="Q1257" s="39"/>
      <c r="R1257" s="39"/>
      <c r="S1257" s="39"/>
    </row>
    <row r="1258" spans="1:19" s="1" customFormat="1" ht="15" customHeight="1">
      <c r="A1258" s="39"/>
      <c r="B1258" s="39"/>
      <c r="C1258" s="39"/>
      <c r="D1258" s="39"/>
      <c r="E1258" s="39"/>
      <c r="F1258" s="39"/>
      <c r="G1258" s="39"/>
      <c r="H1258" s="39"/>
      <c r="I1258" s="39"/>
      <c r="J1258" s="39"/>
      <c r="K1258" s="39"/>
      <c r="L1258" s="39"/>
      <c r="M1258" s="39"/>
      <c r="N1258" s="39"/>
      <c r="O1258" s="39"/>
      <c r="P1258" s="39"/>
      <c r="Q1258" s="39"/>
      <c r="R1258" s="39"/>
      <c r="S1258" s="39"/>
    </row>
    <row r="1259" spans="1:19" s="1" customFormat="1" ht="15" customHeight="1">
      <c r="A1259" s="39"/>
      <c r="B1259" s="39"/>
      <c r="C1259" s="39"/>
      <c r="D1259" s="39"/>
      <c r="E1259" s="39"/>
      <c r="F1259" s="39"/>
      <c r="G1259" s="39"/>
      <c r="H1259" s="39"/>
      <c r="I1259" s="39"/>
      <c r="J1259" s="39"/>
      <c r="K1259" s="39"/>
      <c r="L1259" s="39"/>
      <c r="M1259" s="39"/>
      <c r="N1259" s="39"/>
      <c r="O1259" s="39"/>
      <c r="P1259" s="39"/>
      <c r="Q1259" s="39"/>
      <c r="R1259" s="39"/>
      <c r="S1259" s="39"/>
    </row>
    <row r="1260" spans="1:19" s="1" customFormat="1" ht="15" customHeight="1">
      <c r="A1260" s="39"/>
      <c r="B1260" s="39"/>
      <c r="C1260" s="39"/>
      <c r="D1260" s="39"/>
      <c r="E1260" s="39"/>
      <c r="F1260" s="39"/>
      <c r="G1260" s="39"/>
      <c r="H1260" s="39"/>
      <c r="I1260" s="39"/>
      <c r="J1260" s="39"/>
      <c r="K1260" s="39"/>
      <c r="L1260" s="39"/>
      <c r="M1260" s="39"/>
      <c r="N1260" s="39"/>
      <c r="O1260" s="39"/>
      <c r="P1260" s="39"/>
      <c r="Q1260" s="39"/>
      <c r="R1260" s="39"/>
      <c r="S1260" s="39"/>
    </row>
    <row r="1261" spans="1:19" s="1" customFormat="1" ht="15" customHeight="1">
      <c r="A1261" s="39"/>
      <c r="B1261" s="39"/>
      <c r="C1261" s="39"/>
      <c r="D1261" s="39"/>
      <c r="E1261" s="39"/>
      <c r="F1261" s="39"/>
      <c r="G1261" s="39"/>
      <c r="H1261" s="39"/>
      <c r="I1261" s="39"/>
      <c r="J1261" s="39"/>
      <c r="K1261" s="39"/>
      <c r="L1261" s="39"/>
      <c r="M1261" s="39"/>
      <c r="N1261" s="39"/>
      <c r="O1261" s="39"/>
      <c r="P1261" s="39"/>
      <c r="Q1261" s="39"/>
      <c r="R1261" s="39"/>
      <c r="S1261" s="39"/>
    </row>
    <row r="1262" spans="1:19" s="1" customFormat="1" ht="15" customHeight="1">
      <c r="A1262" s="39"/>
      <c r="B1262" s="39"/>
      <c r="C1262" s="39"/>
      <c r="D1262" s="39"/>
      <c r="E1262" s="39"/>
      <c r="F1262" s="39"/>
      <c r="G1262" s="39"/>
      <c r="H1262" s="39"/>
      <c r="I1262" s="39"/>
      <c r="J1262" s="39"/>
      <c r="K1262" s="39"/>
      <c r="L1262" s="39"/>
      <c r="M1262" s="39"/>
      <c r="N1262" s="39"/>
      <c r="O1262" s="39"/>
      <c r="P1262" s="39"/>
      <c r="Q1262" s="39"/>
      <c r="R1262" s="39"/>
      <c r="S1262" s="39"/>
    </row>
    <row r="1263" spans="1:19" s="1" customFormat="1" ht="15" customHeight="1">
      <c r="A1263" s="39"/>
      <c r="B1263" s="39"/>
      <c r="C1263" s="39"/>
      <c r="D1263" s="39"/>
      <c r="E1263" s="39"/>
      <c r="F1263" s="39"/>
      <c r="G1263" s="39"/>
      <c r="H1263" s="39"/>
      <c r="I1263" s="39"/>
      <c r="J1263" s="39"/>
      <c r="K1263" s="39"/>
      <c r="L1263" s="39"/>
      <c r="M1263" s="39"/>
      <c r="N1263" s="39"/>
      <c r="O1263" s="39"/>
      <c r="P1263" s="39"/>
      <c r="Q1263" s="39"/>
      <c r="R1263" s="39"/>
      <c r="S1263" s="39"/>
    </row>
    <row r="1264" spans="1:19" s="1" customFormat="1" ht="15" customHeight="1">
      <c r="A1264" s="39"/>
      <c r="B1264" s="39"/>
      <c r="C1264" s="39"/>
      <c r="D1264" s="39"/>
      <c r="E1264" s="39"/>
      <c r="F1264" s="39"/>
      <c r="G1264" s="39"/>
      <c r="H1264" s="39"/>
      <c r="I1264" s="39"/>
      <c r="J1264" s="39"/>
      <c r="K1264" s="39"/>
      <c r="L1264" s="39"/>
      <c r="M1264" s="39"/>
      <c r="N1264" s="39"/>
      <c r="O1264" s="39"/>
      <c r="P1264" s="39"/>
      <c r="Q1264" s="39"/>
      <c r="R1264" s="39"/>
      <c r="S1264" s="39"/>
    </row>
    <row r="1265" spans="1:19" s="1" customFormat="1" ht="15" customHeight="1">
      <c r="A1265" s="39"/>
      <c r="B1265" s="39"/>
      <c r="C1265" s="39"/>
      <c r="D1265" s="39"/>
      <c r="E1265" s="39"/>
      <c r="F1265" s="39"/>
      <c r="G1265" s="39"/>
      <c r="H1265" s="39"/>
      <c r="I1265" s="39"/>
      <c r="J1265" s="39"/>
      <c r="K1265" s="39"/>
      <c r="L1265" s="39"/>
      <c r="M1265" s="39"/>
      <c r="N1265" s="39"/>
      <c r="O1265" s="39"/>
      <c r="P1265" s="39"/>
      <c r="Q1265" s="39"/>
      <c r="R1265" s="39"/>
      <c r="S1265" s="39"/>
    </row>
    <row r="1266" spans="1:19" s="1" customFormat="1" ht="15" customHeight="1">
      <c r="A1266" s="39"/>
      <c r="B1266" s="39"/>
      <c r="C1266" s="39"/>
      <c r="D1266" s="39"/>
      <c r="E1266" s="39"/>
      <c r="F1266" s="39"/>
      <c r="G1266" s="39"/>
      <c r="H1266" s="39"/>
      <c r="I1266" s="39"/>
      <c r="J1266" s="39"/>
      <c r="K1266" s="39"/>
      <c r="L1266" s="39"/>
      <c r="M1266" s="39"/>
      <c r="N1266" s="39"/>
      <c r="O1266" s="39"/>
      <c r="P1266" s="39"/>
      <c r="Q1266" s="39"/>
      <c r="R1266" s="39"/>
      <c r="S1266" s="39"/>
    </row>
    <row r="1267" spans="1:19" s="1" customFormat="1" ht="15" customHeight="1">
      <c r="A1267" s="39"/>
      <c r="B1267" s="39"/>
      <c r="C1267" s="39"/>
      <c r="D1267" s="39"/>
      <c r="E1267" s="39"/>
      <c r="F1267" s="39"/>
      <c r="G1267" s="39"/>
      <c r="H1267" s="39"/>
      <c r="I1267" s="39"/>
      <c r="J1267" s="39"/>
      <c r="K1267" s="39"/>
      <c r="L1267" s="39"/>
      <c r="M1267" s="39"/>
      <c r="N1267" s="39"/>
      <c r="O1267" s="39"/>
      <c r="P1267" s="39"/>
      <c r="Q1267" s="39"/>
      <c r="R1267" s="39"/>
      <c r="S1267" s="39"/>
    </row>
    <row r="1268" spans="1:19" s="1" customFormat="1" ht="15" customHeight="1">
      <c r="A1268" s="39"/>
      <c r="B1268" s="39"/>
      <c r="C1268" s="39"/>
      <c r="D1268" s="39"/>
      <c r="E1268" s="39"/>
      <c r="F1268" s="39"/>
      <c r="G1268" s="39"/>
      <c r="H1268" s="39"/>
      <c r="I1268" s="39"/>
      <c r="J1268" s="39"/>
      <c r="K1268" s="39"/>
      <c r="L1268" s="39"/>
      <c r="M1268" s="39"/>
      <c r="N1268" s="39"/>
      <c r="O1268" s="39"/>
      <c r="P1268" s="39"/>
      <c r="Q1268" s="39"/>
      <c r="R1268" s="39"/>
      <c r="S1268" s="39"/>
    </row>
    <row r="1269" spans="1:19" s="1" customFormat="1" ht="15" customHeight="1">
      <c r="A1269" s="39"/>
      <c r="B1269" s="39"/>
      <c r="C1269" s="39"/>
      <c r="D1269" s="39"/>
      <c r="E1269" s="39"/>
      <c r="F1269" s="39"/>
      <c r="G1269" s="39"/>
      <c r="H1269" s="39"/>
      <c r="I1269" s="39"/>
      <c r="J1269" s="39"/>
      <c r="K1269" s="39"/>
      <c r="L1269" s="39"/>
      <c r="M1269" s="39"/>
      <c r="N1269" s="39"/>
      <c r="O1269" s="39"/>
      <c r="P1269" s="39"/>
      <c r="Q1269" s="39"/>
      <c r="R1269" s="39"/>
      <c r="S1269" s="39"/>
    </row>
    <row r="1270" spans="1:19" s="1" customFormat="1" ht="15" customHeight="1">
      <c r="A1270" s="39"/>
      <c r="B1270" s="39"/>
      <c r="C1270" s="39"/>
      <c r="D1270" s="39"/>
      <c r="E1270" s="39"/>
      <c r="F1270" s="39"/>
      <c r="G1270" s="39"/>
      <c r="H1270" s="39"/>
      <c r="I1270" s="39"/>
      <c r="J1270" s="39"/>
      <c r="K1270" s="39"/>
      <c r="L1270" s="39"/>
      <c r="M1270" s="39"/>
      <c r="N1270" s="39"/>
      <c r="O1270" s="39"/>
      <c r="P1270" s="39"/>
      <c r="Q1270" s="39"/>
      <c r="R1270" s="39"/>
      <c r="S1270" s="39"/>
    </row>
    <row r="1271" spans="1:19" s="1" customFormat="1" ht="15" customHeight="1">
      <c r="A1271" s="39"/>
      <c r="B1271" s="39"/>
      <c r="C1271" s="39"/>
      <c r="D1271" s="39"/>
      <c r="E1271" s="39"/>
      <c r="F1271" s="39"/>
      <c r="G1271" s="39"/>
      <c r="H1271" s="39"/>
      <c r="I1271" s="39"/>
      <c r="J1271" s="39"/>
      <c r="K1271" s="39"/>
      <c r="L1271" s="39"/>
      <c r="M1271" s="39"/>
      <c r="N1271" s="39"/>
      <c r="O1271" s="39"/>
      <c r="P1271" s="39"/>
      <c r="Q1271" s="39"/>
      <c r="R1271" s="39"/>
      <c r="S1271" s="39"/>
    </row>
    <row r="1272" spans="1:19" s="1" customFormat="1" ht="15" customHeight="1">
      <c r="A1272" s="39"/>
      <c r="B1272" s="39"/>
      <c r="C1272" s="39"/>
      <c r="D1272" s="39"/>
      <c r="E1272" s="39"/>
      <c r="F1272" s="39"/>
      <c r="G1272" s="39"/>
      <c r="H1272" s="39"/>
      <c r="I1272" s="39"/>
      <c r="J1272" s="39"/>
      <c r="K1272" s="39"/>
      <c r="L1272" s="39"/>
      <c r="M1272" s="39"/>
      <c r="N1272" s="39"/>
      <c r="O1272" s="39"/>
      <c r="P1272" s="39"/>
      <c r="Q1272" s="39"/>
      <c r="R1272" s="39"/>
      <c r="S1272" s="39"/>
    </row>
    <row r="1273" spans="1:19" s="1" customFormat="1" ht="15" customHeight="1">
      <c r="A1273" s="39"/>
      <c r="B1273" s="39"/>
      <c r="C1273" s="39"/>
      <c r="D1273" s="39"/>
      <c r="E1273" s="39"/>
      <c r="F1273" s="39"/>
      <c r="G1273" s="39"/>
      <c r="H1273" s="39"/>
      <c r="I1273" s="39"/>
      <c r="J1273" s="39"/>
      <c r="K1273" s="39"/>
      <c r="L1273" s="39"/>
      <c r="M1273" s="39"/>
      <c r="N1273" s="39"/>
      <c r="O1273" s="39"/>
      <c r="P1273" s="39"/>
      <c r="Q1273" s="39"/>
      <c r="R1273" s="39"/>
      <c r="S1273" s="39"/>
    </row>
    <row r="1274" spans="1:19" s="1" customFormat="1" ht="15" customHeight="1">
      <c r="A1274" s="39"/>
      <c r="B1274" s="39"/>
      <c r="C1274" s="39"/>
      <c r="D1274" s="39"/>
      <c r="E1274" s="39"/>
      <c r="F1274" s="39"/>
      <c r="G1274" s="39"/>
      <c r="H1274" s="39"/>
      <c r="I1274" s="39"/>
      <c r="J1274" s="39"/>
      <c r="K1274" s="39"/>
      <c r="L1274" s="39"/>
      <c r="M1274" s="39"/>
      <c r="N1274" s="39"/>
      <c r="O1274" s="39"/>
      <c r="P1274" s="39"/>
      <c r="Q1274" s="39"/>
      <c r="R1274" s="39"/>
      <c r="S1274" s="39"/>
    </row>
    <row r="1275" spans="1:19" s="1" customFormat="1" ht="15" customHeight="1">
      <c r="A1275" s="39"/>
      <c r="B1275" s="39"/>
      <c r="C1275" s="39"/>
      <c r="D1275" s="39"/>
      <c r="E1275" s="39"/>
      <c r="F1275" s="39"/>
      <c r="G1275" s="39"/>
      <c r="H1275" s="39"/>
      <c r="I1275" s="39"/>
      <c r="J1275" s="39"/>
      <c r="K1275" s="39"/>
      <c r="L1275" s="39"/>
      <c r="M1275" s="39"/>
      <c r="N1275" s="39"/>
      <c r="O1275" s="39"/>
      <c r="P1275" s="39"/>
      <c r="Q1275" s="39"/>
      <c r="R1275" s="39"/>
      <c r="S1275" s="39"/>
    </row>
    <row r="1276" spans="1:19" s="1" customFormat="1" ht="15" customHeight="1">
      <c r="A1276" s="39"/>
      <c r="B1276" s="39"/>
      <c r="C1276" s="39"/>
      <c r="D1276" s="39"/>
      <c r="E1276" s="39"/>
      <c r="F1276" s="39"/>
      <c r="G1276" s="39"/>
      <c r="H1276" s="39"/>
      <c r="I1276" s="39"/>
      <c r="J1276" s="39"/>
      <c r="K1276" s="39"/>
      <c r="L1276" s="39"/>
      <c r="M1276" s="39"/>
      <c r="N1276" s="39"/>
      <c r="O1276" s="39"/>
      <c r="P1276" s="39"/>
      <c r="Q1276" s="39"/>
      <c r="R1276" s="39"/>
      <c r="S1276" s="39"/>
    </row>
    <row r="1277" spans="1:19" s="1" customFormat="1" ht="15" customHeight="1">
      <c r="A1277" s="39"/>
      <c r="B1277" s="39"/>
      <c r="C1277" s="39"/>
      <c r="D1277" s="39"/>
      <c r="E1277" s="39"/>
      <c r="F1277" s="39"/>
      <c r="G1277" s="39"/>
      <c r="H1277" s="39"/>
      <c r="I1277" s="39"/>
      <c r="J1277" s="39"/>
      <c r="K1277" s="39"/>
      <c r="L1277" s="39"/>
      <c r="M1277" s="39"/>
      <c r="N1277" s="39"/>
      <c r="O1277" s="39"/>
      <c r="P1277" s="39"/>
      <c r="Q1277" s="39"/>
      <c r="R1277" s="39"/>
      <c r="S1277" s="39"/>
    </row>
    <row r="1278" spans="1:19" s="1" customFormat="1" ht="15" customHeight="1">
      <c r="A1278" s="39"/>
      <c r="B1278" s="39"/>
      <c r="C1278" s="39"/>
      <c r="D1278" s="39"/>
      <c r="E1278" s="39"/>
      <c r="F1278" s="39"/>
      <c r="G1278" s="39"/>
      <c r="H1278" s="39"/>
      <c r="I1278" s="39"/>
      <c r="J1278" s="39"/>
      <c r="K1278" s="39"/>
      <c r="L1278" s="39"/>
      <c r="M1278" s="39"/>
      <c r="N1278" s="39"/>
      <c r="O1278" s="39"/>
      <c r="P1278" s="39"/>
      <c r="Q1278" s="39"/>
      <c r="R1278" s="39"/>
      <c r="S1278" s="39"/>
    </row>
    <row r="1279" spans="1:19" s="1" customFormat="1" ht="15" customHeight="1">
      <c r="A1279" s="39"/>
      <c r="B1279" s="39"/>
      <c r="C1279" s="39"/>
      <c r="D1279" s="39"/>
      <c r="E1279" s="39"/>
      <c r="F1279" s="39"/>
      <c r="G1279" s="39"/>
      <c r="H1279" s="39"/>
      <c r="I1279" s="39"/>
      <c r="J1279" s="39"/>
      <c r="K1279" s="39"/>
      <c r="L1279" s="39"/>
      <c r="M1279" s="39"/>
      <c r="N1279" s="39"/>
      <c r="O1279" s="39"/>
      <c r="P1279" s="39"/>
      <c r="Q1279" s="39"/>
      <c r="R1279" s="39"/>
      <c r="S1279" s="39"/>
    </row>
    <row r="1280" spans="1:19" s="1" customFormat="1" ht="15" customHeight="1">
      <c r="A1280" s="39"/>
      <c r="B1280" s="39"/>
      <c r="C1280" s="39"/>
      <c r="D1280" s="39"/>
      <c r="E1280" s="39"/>
      <c r="F1280" s="39"/>
      <c r="G1280" s="39"/>
      <c r="H1280" s="39"/>
      <c r="I1280" s="39"/>
      <c r="J1280" s="39"/>
      <c r="K1280" s="39"/>
      <c r="L1280" s="39"/>
      <c r="M1280" s="39"/>
      <c r="N1280" s="39"/>
      <c r="O1280" s="39"/>
      <c r="P1280" s="39"/>
      <c r="Q1280" s="39"/>
      <c r="R1280" s="39"/>
      <c r="S1280" s="39"/>
    </row>
    <row r="1281" spans="1:19" s="1" customFormat="1" ht="15" customHeight="1">
      <c r="A1281" s="39"/>
      <c r="B1281" s="39"/>
      <c r="C1281" s="39"/>
      <c r="D1281" s="39"/>
      <c r="E1281" s="39"/>
      <c r="F1281" s="39"/>
      <c r="G1281" s="39"/>
      <c r="H1281" s="39"/>
      <c r="I1281" s="39"/>
      <c r="J1281" s="39"/>
      <c r="K1281" s="39"/>
      <c r="L1281" s="39"/>
      <c r="M1281" s="39"/>
      <c r="N1281" s="39"/>
      <c r="O1281" s="39"/>
      <c r="P1281" s="39"/>
      <c r="Q1281" s="39"/>
      <c r="R1281" s="39"/>
      <c r="S1281" s="39"/>
    </row>
    <row r="1282" spans="1:19" s="1" customFormat="1" ht="15" customHeight="1">
      <c r="A1282" s="39"/>
      <c r="B1282" s="39"/>
      <c r="C1282" s="39"/>
      <c r="D1282" s="39"/>
      <c r="E1282" s="39"/>
      <c r="F1282" s="39"/>
      <c r="G1282" s="39"/>
      <c r="H1282" s="39"/>
      <c r="I1282" s="39"/>
      <c r="J1282" s="39"/>
      <c r="K1282" s="39"/>
      <c r="L1282" s="39"/>
      <c r="M1282" s="39"/>
      <c r="N1282" s="39"/>
      <c r="O1282" s="39"/>
      <c r="P1282" s="39"/>
      <c r="Q1282" s="39"/>
      <c r="R1282" s="39"/>
      <c r="S1282" s="39"/>
    </row>
    <row r="1283" spans="1:19" s="1" customFormat="1" ht="15" customHeight="1">
      <c r="A1283" s="39"/>
      <c r="B1283" s="39"/>
      <c r="C1283" s="39"/>
      <c r="D1283" s="39"/>
      <c r="E1283" s="39"/>
      <c r="F1283" s="39"/>
      <c r="G1283" s="39"/>
      <c r="H1283" s="39"/>
      <c r="I1283" s="39"/>
      <c r="J1283" s="39"/>
      <c r="K1283" s="39"/>
      <c r="L1283" s="39"/>
      <c r="M1283" s="39"/>
      <c r="N1283" s="39"/>
      <c r="O1283" s="39"/>
      <c r="P1283" s="39"/>
      <c r="Q1283" s="39"/>
      <c r="R1283" s="39"/>
      <c r="S1283" s="39"/>
    </row>
    <row r="1284" spans="1:19" s="1" customFormat="1" ht="15" customHeight="1">
      <c r="A1284" s="39"/>
      <c r="B1284" s="39"/>
      <c r="C1284" s="39"/>
      <c r="D1284" s="39"/>
      <c r="E1284" s="39"/>
      <c r="F1284" s="39"/>
      <c r="G1284" s="39"/>
      <c r="H1284" s="39"/>
      <c r="I1284" s="39"/>
      <c r="J1284" s="39"/>
      <c r="K1284" s="39"/>
      <c r="L1284" s="39"/>
      <c r="M1284" s="39"/>
      <c r="N1284" s="39"/>
      <c r="O1284" s="39"/>
      <c r="P1284" s="39"/>
      <c r="Q1284" s="39"/>
      <c r="R1284" s="39"/>
      <c r="S1284" s="39"/>
    </row>
    <row r="1285" spans="1:19" s="1" customFormat="1" ht="15" customHeight="1">
      <c r="A1285" s="39"/>
      <c r="B1285" s="39"/>
      <c r="C1285" s="39"/>
      <c r="D1285" s="39"/>
      <c r="E1285" s="39"/>
      <c r="F1285" s="39"/>
      <c r="G1285" s="39"/>
      <c r="H1285" s="39"/>
      <c r="I1285" s="39"/>
      <c r="J1285" s="39"/>
      <c r="K1285" s="39"/>
      <c r="L1285" s="39"/>
      <c r="M1285" s="39"/>
      <c r="N1285" s="39"/>
      <c r="O1285" s="39"/>
      <c r="P1285" s="39"/>
      <c r="Q1285" s="39"/>
      <c r="R1285" s="39"/>
      <c r="S1285" s="39"/>
    </row>
    <row r="1286" spans="1:19" s="1" customFormat="1" ht="15" customHeight="1">
      <c r="A1286" s="39"/>
      <c r="B1286" s="39"/>
      <c r="C1286" s="39"/>
      <c r="D1286" s="39"/>
      <c r="E1286" s="39"/>
      <c r="F1286" s="39"/>
      <c r="G1286" s="39"/>
      <c r="H1286" s="39"/>
      <c r="I1286" s="39"/>
      <c r="J1286" s="39"/>
      <c r="K1286" s="39"/>
      <c r="L1286" s="39"/>
      <c r="M1286" s="39"/>
      <c r="N1286" s="39"/>
      <c r="O1286" s="39"/>
      <c r="P1286" s="39"/>
      <c r="Q1286" s="39"/>
      <c r="R1286" s="39"/>
      <c r="S1286" s="39"/>
    </row>
    <row r="1287" spans="1:19" s="1" customFormat="1" ht="15" customHeight="1">
      <c r="A1287" s="39"/>
      <c r="B1287" s="39"/>
      <c r="C1287" s="39"/>
      <c r="D1287" s="39"/>
      <c r="E1287" s="39"/>
      <c r="F1287" s="39"/>
      <c r="G1287" s="39"/>
      <c r="H1287" s="39"/>
      <c r="I1287" s="39"/>
      <c r="J1287" s="39"/>
      <c r="K1287" s="39"/>
      <c r="L1287" s="39"/>
      <c r="M1287" s="39"/>
      <c r="N1287" s="39"/>
      <c r="O1287" s="39"/>
      <c r="P1287" s="39"/>
      <c r="Q1287" s="39"/>
      <c r="R1287" s="39"/>
      <c r="S1287" s="39"/>
    </row>
    <row r="1288" spans="1:19" s="1" customFormat="1" ht="15" customHeight="1">
      <c r="A1288" s="39"/>
      <c r="B1288" s="39"/>
      <c r="C1288" s="39"/>
      <c r="D1288" s="39"/>
      <c r="E1288" s="39"/>
      <c r="F1288" s="39"/>
      <c r="G1288" s="39"/>
      <c r="H1288" s="39"/>
      <c r="I1288" s="39"/>
      <c r="J1288" s="39"/>
      <c r="K1288" s="39"/>
      <c r="L1288" s="39"/>
      <c r="M1288" s="39"/>
      <c r="N1288" s="39"/>
      <c r="O1288" s="39"/>
      <c r="P1288" s="39"/>
      <c r="Q1288" s="39"/>
      <c r="R1288" s="39"/>
      <c r="S1288" s="39"/>
    </row>
    <row r="1289" spans="1:19" s="1" customFormat="1" ht="15" customHeight="1">
      <c r="A1289" s="39"/>
      <c r="B1289" s="39"/>
      <c r="C1289" s="39"/>
      <c r="D1289" s="39"/>
      <c r="E1289" s="39"/>
      <c r="F1289" s="39"/>
      <c r="G1289" s="39"/>
      <c r="H1289" s="39"/>
      <c r="I1289" s="39"/>
      <c r="J1289" s="39"/>
      <c r="K1289" s="39"/>
      <c r="L1289" s="39"/>
      <c r="M1289" s="39"/>
      <c r="N1289" s="39"/>
      <c r="O1289" s="39"/>
      <c r="P1289" s="39"/>
      <c r="Q1289" s="39"/>
      <c r="R1289" s="39"/>
      <c r="S1289" s="39"/>
    </row>
    <row r="1290" spans="1:19" s="1" customFormat="1" ht="15" customHeight="1">
      <c r="A1290" s="39"/>
      <c r="B1290" s="39"/>
      <c r="C1290" s="39"/>
      <c r="D1290" s="39"/>
      <c r="E1290" s="39"/>
      <c r="F1290" s="39"/>
      <c r="G1290" s="39"/>
      <c r="H1290" s="39"/>
      <c r="I1290" s="39"/>
      <c r="J1290" s="39"/>
      <c r="K1290" s="39"/>
      <c r="L1290" s="39"/>
      <c r="M1290" s="39"/>
      <c r="N1290" s="39"/>
      <c r="O1290" s="39"/>
      <c r="P1290" s="39"/>
      <c r="Q1290" s="39"/>
      <c r="R1290" s="39"/>
      <c r="S1290" s="39"/>
    </row>
    <row r="1291" spans="1:19" s="1" customFormat="1" ht="15" customHeight="1">
      <c r="A1291" s="39"/>
      <c r="B1291" s="39"/>
      <c r="C1291" s="39"/>
      <c r="D1291" s="39"/>
      <c r="E1291" s="39"/>
      <c r="F1291" s="39"/>
      <c r="G1291" s="39"/>
      <c r="H1291" s="39"/>
      <c r="I1291" s="39"/>
      <c r="J1291" s="39"/>
      <c r="K1291" s="39"/>
      <c r="L1291" s="39"/>
      <c r="M1291" s="39"/>
      <c r="N1291" s="39"/>
      <c r="O1291" s="39"/>
      <c r="P1291" s="39"/>
      <c r="Q1291" s="39"/>
      <c r="R1291" s="39"/>
      <c r="S1291" s="39"/>
    </row>
    <row r="1292" spans="1:19" s="1" customFormat="1" ht="15" customHeight="1">
      <c r="A1292" s="39"/>
      <c r="B1292" s="39"/>
      <c r="C1292" s="39"/>
      <c r="D1292" s="39"/>
      <c r="E1292" s="39"/>
      <c r="F1292" s="39"/>
      <c r="G1292" s="39"/>
      <c r="H1292" s="39"/>
      <c r="I1292" s="39"/>
      <c r="J1292" s="39"/>
      <c r="K1292" s="39"/>
      <c r="L1292" s="39"/>
      <c r="M1292" s="39"/>
      <c r="N1292" s="39"/>
      <c r="O1292" s="39"/>
      <c r="P1292" s="39"/>
      <c r="Q1292" s="39"/>
      <c r="R1292" s="39"/>
      <c r="S1292" s="39"/>
    </row>
    <row r="1293" spans="1:19" s="1" customFormat="1" ht="15" customHeight="1">
      <c r="A1293" s="39"/>
      <c r="B1293" s="39"/>
      <c r="C1293" s="39"/>
      <c r="D1293" s="39"/>
      <c r="E1293" s="39"/>
      <c r="F1293" s="39"/>
      <c r="G1293" s="39"/>
      <c r="H1293" s="39"/>
      <c r="I1293" s="39"/>
      <c r="J1293" s="39"/>
      <c r="K1293" s="39"/>
      <c r="L1293" s="39"/>
      <c r="M1293" s="39"/>
      <c r="N1293" s="39"/>
      <c r="O1293" s="39"/>
      <c r="P1293" s="39"/>
      <c r="Q1293" s="39"/>
      <c r="R1293" s="39"/>
      <c r="S1293" s="39"/>
    </row>
    <row r="1294" spans="1:19" s="1" customFormat="1" ht="15" customHeight="1">
      <c r="A1294" s="39"/>
      <c r="B1294" s="39"/>
      <c r="C1294" s="39"/>
      <c r="D1294" s="39"/>
      <c r="E1294" s="39"/>
      <c r="F1294" s="39"/>
      <c r="G1294" s="39"/>
      <c r="H1294" s="39"/>
      <c r="I1294" s="39"/>
      <c r="J1294" s="39"/>
      <c r="K1294" s="39"/>
      <c r="L1294" s="39"/>
      <c r="M1294" s="39"/>
      <c r="N1294" s="39"/>
      <c r="O1294" s="39"/>
      <c r="P1294" s="39"/>
      <c r="Q1294" s="39"/>
      <c r="R1294" s="39"/>
      <c r="S1294" s="39"/>
    </row>
    <row r="1295" spans="1:19" s="1" customFormat="1" ht="15" customHeight="1">
      <c r="A1295" s="39"/>
      <c r="B1295" s="39"/>
      <c r="C1295" s="39"/>
      <c r="D1295" s="39"/>
      <c r="E1295" s="39"/>
      <c r="F1295" s="39"/>
      <c r="G1295" s="39"/>
      <c r="H1295" s="39"/>
      <c r="I1295" s="39"/>
      <c r="J1295" s="39"/>
      <c r="K1295" s="39"/>
      <c r="L1295" s="39"/>
      <c r="M1295" s="39"/>
      <c r="N1295" s="39"/>
      <c r="O1295" s="39"/>
      <c r="P1295" s="39"/>
      <c r="Q1295" s="39"/>
      <c r="R1295" s="39"/>
      <c r="S1295" s="39"/>
    </row>
    <row r="1296" spans="1:19" s="1" customFormat="1" ht="15" customHeight="1">
      <c r="A1296" s="39"/>
      <c r="B1296" s="39"/>
      <c r="C1296" s="39"/>
      <c r="D1296" s="39"/>
      <c r="E1296" s="39"/>
      <c r="F1296" s="39"/>
      <c r="G1296" s="39"/>
      <c r="H1296" s="39"/>
      <c r="I1296" s="39"/>
      <c r="J1296" s="39"/>
      <c r="K1296" s="39"/>
      <c r="L1296" s="39"/>
      <c r="M1296" s="39"/>
      <c r="N1296" s="39"/>
      <c r="O1296" s="39"/>
      <c r="P1296" s="39"/>
      <c r="Q1296" s="39"/>
      <c r="R1296" s="39"/>
      <c r="S1296" s="39"/>
    </row>
    <row r="1297" spans="1:19" s="1" customFormat="1" ht="15" customHeight="1">
      <c r="A1297" s="39"/>
      <c r="B1297" s="39"/>
      <c r="C1297" s="39"/>
      <c r="D1297" s="39"/>
      <c r="E1297" s="39"/>
      <c r="F1297" s="39"/>
      <c r="G1297" s="39"/>
      <c r="H1297" s="39"/>
      <c r="I1297" s="39"/>
      <c r="J1297" s="39"/>
      <c r="K1297" s="39"/>
      <c r="L1297" s="39"/>
      <c r="M1297" s="39"/>
      <c r="N1297" s="39"/>
      <c r="O1297" s="39"/>
      <c r="P1297" s="39"/>
      <c r="Q1297" s="39"/>
      <c r="R1297" s="39"/>
      <c r="S1297" s="39"/>
    </row>
    <row r="1298" spans="1:19" s="1" customFormat="1" ht="15" customHeight="1">
      <c r="A1298" s="39"/>
      <c r="B1298" s="39"/>
      <c r="C1298" s="39"/>
      <c r="D1298" s="39"/>
      <c r="E1298" s="39"/>
      <c r="F1298" s="39"/>
      <c r="G1298" s="39"/>
      <c r="H1298" s="39"/>
      <c r="I1298" s="39"/>
      <c r="J1298" s="39"/>
      <c r="K1298" s="39"/>
      <c r="L1298" s="39"/>
      <c r="M1298" s="39"/>
      <c r="N1298" s="39"/>
      <c r="O1298" s="39"/>
      <c r="P1298" s="39"/>
      <c r="Q1298" s="39"/>
      <c r="R1298" s="39"/>
      <c r="S1298" s="39"/>
    </row>
    <row r="1299" spans="1:19" s="1" customFormat="1" ht="15" customHeight="1">
      <c r="A1299" s="39"/>
      <c r="B1299" s="39"/>
      <c r="C1299" s="39"/>
      <c r="D1299" s="39"/>
      <c r="E1299" s="39"/>
      <c r="F1299" s="39"/>
      <c r="G1299" s="39"/>
      <c r="H1299" s="39"/>
      <c r="I1299" s="39"/>
      <c r="J1299" s="39"/>
      <c r="K1299" s="39"/>
      <c r="L1299" s="39"/>
      <c r="M1299" s="39"/>
      <c r="N1299" s="39"/>
      <c r="O1299" s="39"/>
      <c r="P1299" s="39"/>
      <c r="Q1299" s="39"/>
      <c r="R1299" s="39"/>
      <c r="S1299" s="39"/>
    </row>
    <row r="1300" spans="1:19" s="1" customFormat="1" ht="15" customHeight="1">
      <c r="A1300" s="39"/>
      <c r="B1300" s="39"/>
      <c r="C1300" s="39"/>
      <c r="D1300" s="39"/>
      <c r="E1300" s="39"/>
      <c r="F1300" s="39"/>
      <c r="G1300" s="39"/>
      <c r="H1300" s="39"/>
      <c r="I1300" s="39"/>
      <c r="J1300" s="39"/>
      <c r="K1300" s="39"/>
      <c r="L1300" s="39"/>
      <c r="M1300" s="39"/>
      <c r="N1300" s="39"/>
      <c r="O1300" s="39"/>
      <c r="P1300" s="39"/>
      <c r="Q1300" s="39"/>
      <c r="R1300" s="39"/>
      <c r="S1300" s="39"/>
    </row>
    <row r="1301" spans="1:19" s="1" customFormat="1" ht="15" customHeight="1">
      <c r="A1301" s="39"/>
      <c r="B1301" s="39"/>
      <c r="C1301" s="39"/>
      <c r="D1301" s="39"/>
      <c r="E1301" s="39"/>
      <c r="F1301" s="39"/>
      <c r="G1301" s="39"/>
      <c r="H1301" s="39"/>
      <c r="I1301" s="39"/>
      <c r="J1301" s="39"/>
      <c r="K1301" s="39"/>
      <c r="L1301" s="39"/>
      <c r="M1301" s="39"/>
      <c r="N1301" s="39"/>
      <c r="O1301" s="39"/>
      <c r="P1301" s="39"/>
      <c r="Q1301" s="39"/>
      <c r="R1301" s="39"/>
      <c r="S1301" s="39"/>
    </row>
    <row r="1302" spans="1:19" s="1" customFormat="1" ht="15" customHeight="1">
      <c r="A1302" s="39"/>
      <c r="B1302" s="39"/>
      <c r="C1302" s="39"/>
      <c r="D1302" s="39"/>
      <c r="E1302" s="39"/>
      <c r="F1302" s="39"/>
      <c r="G1302" s="39"/>
      <c r="H1302" s="39"/>
      <c r="I1302" s="39"/>
      <c r="J1302" s="39"/>
      <c r="K1302" s="39"/>
      <c r="L1302" s="39"/>
      <c r="M1302" s="39"/>
      <c r="N1302" s="39"/>
      <c r="O1302" s="39"/>
      <c r="P1302" s="39"/>
      <c r="Q1302" s="39"/>
      <c r="R1302" s="39"/>
      <c r="S1302" s="39"/>
    </row>
    <row r="1303" spans="1:19" s="1" customFormat="1" ht="15" customHeight="1">
      <c r="A1303" s="39"/>
      <c r="B1303" s="39"/>
      <c r="C1303" s="39"/>
      <c r="D1303" s="39"/>
      <c r="E1303" s="39"/>
      <c r="F1303" s="39"/>
      <c r="G1303" s="39"/>
      <c r="H1303" s="39"/>
      <c r="I1303" s="39"/>
      <c r="J1303" s="39"/>
      <c r="K1303" s="39"/>
      <c r="L1303" s="39"/>
      <c r="M1303" s="39"/>
      <c r="N1303" s="39"/>
      <c r="O1303" s="39"/>
      <c r="P1303" s="39"/>
      <c r="Q1303" s="39"/>
      <c r="R1303" s="39"/>
      <c r="S1303" s="39"/>
    </row>
    <row r="1304" spans="1:19" s="1" customFormat="1" ht="15" customHeight="1">
      <c r="A1304" s="39"/>
      <c r="B1304" s="39"/>
      <c r="C1304" s="39"/>
      <c r="D1304" s="39"/>
      <c r="E1304" s="39"/>
      <c r="F1304" s="39"/>
      <c r="G1304" s="39"/>
      <c r="H1304" s="39"/>
      <c r="I1304" s="39"/>
      <c r="J1304" s="39"/>
      <c r="K1304" s="39"/>
      <c r="L1304" s="39"/>
      <c r="M1304" s="39"/>
      <c r="N1304" s="39"/>
      <c r="O1304" s="39"/>
      <c r="P1304" s="39"/>
      <c r="Q1304" s="39"/>
      <c r="R1304" s="39"/>
      <c r="S1304" s="39"/>
    </row>
    <row r="1305" spans="1:19" s="1" customFormat="1" ht="15" customHeight="1">
      <c r="A1305" s="39"/>
      <c r="B1305" s="39"/>
      <c r="C1305" s="39"/>
      <c r="D1305" s="39"/>
      <c r="E1305" s="39"/>
      <c r="F1305" s="39"/>
      <c r="G1305" s="39"/>
      <c r="H1305" s="39"/>
      <c r="I1305" s="39"/>
      <c r="J1305" s="39"/>
      <c r="K1305" s="39"/>
      <c r="L1305" s="39"/>
      <c r="M1305" s="39"/>
      <c r="N1305" s="39"/>
      <c r="O1305" s="39"/>
      <c r="P1305" s="39"/>
      <c r="Q1305" s="39"/>
      <c r="R1305" s="39"/>
      <c r="S1305" s="39"/>
    </row>
    <row r="1306" spans="1:19" s="1" customFormat="1" ht="15" customHeight="1">
      <c r="A1306" s="39"/>
      <c r="B1306" s="39"/>
      <c r="C1306" s="39"/>
      <c r="D1306" s="39"/>
      <c r="E1306" s="39"/>
      <c r="F1306" s="39"/>
      <c r="G1306" s="39"/>
      <c r="H1306" s="39"/>
      <c r="I1306" s="39"/>
      <c r="J1306" s="39"/>
      <c r="K1306" s="39"/>
      <c r="L1306" s="39"/>
      <c r="M1306" s="39"/>
      <c r="N1306" s="39"/>
      <c r="O1306" s="39"/>
      <c r="P1306" s="39"/>
      <c r="Q1306" s="39"/>
      <c r="R1306" s="39"/>
      <c r="S1306" s="39"/>
    </row>
    <row r="1307" spans="1:19" s="1" customFormat="1" ht="15" customHeight="1">
      <c r="A1307" s="39"/>
      <c r="B1307" s="39"/>
      <c r="C1307" s="39"/>
      <c r="D1307" s="39"/>
      <c r="E1307" s="39"/>
      <c r="F1307" s="39"/>
      <c r="G1307" s="39"/>
      <c r="H1307" s="39"/>
      <c r="I1307" s="39"/>
      <c r="J1307" s="39"/>
      <c r="K1307" s="39"/>
      <c r="L1307" s="39"/>
      <c r="M1307" s="39"/>
      <c r="N1307" s="39"/>
      <c r="O1307" s="39"/>
      <c r="P1307" s="39"/>
      <c r="Q1307" s="39"/>
      <c r="R1307" s="39"/>
      <c r="S1307" s="39"/>
    </row>
    <row r="1308" spans="1:19" s="1" customFormat="1" ht="15" customHeight="1">
      <c r="A1308" s="39"/>
      <c r="B1308" s="39"/>
      <c r="C1308" s="39"/>
      <c r="D1308" s="39"/>
      <c r="E1308" s="39"/>
      <c r="F1308" s="39"/>
      <c r="G1308" s="39"/>
      <c r="H1308" s="39"/>
      <c r="I1308" s="39"/>
      <c r="J1308" s="39"/>
      <c r="K1308" s="39"/>
      <c r="L1308" s="39"/>
      <c r="M1308" s="39"/>
      <c r="N1308" s="39"/>
      <c r="O1308" s="39"/>
      <c r="P1308" s="39"/>
      <c r="Q1308" s="39"/>
      <c r="R1308" s="39"/>
      <c r="S1308" s="39"/>
    </row>
    <row r="1309" spans="1:19" s="1" customFormat="1" ht="15" customHeight="1">
      <c r="A1309" s="39"/>
      <c r="B1309" s="39"/>
      <c r="C1309" s="39"/>
      <c r="D1309" s="39"/>
      <c r="E1309" s="39"/>
      <c r="F1309" s="39"/>
      <c r="G1309" s="39"/>
      <c r="H1309" s="39"/>
      <c r="I1309" s="39"/>
      <c r="J1309" s="39"/>
      <c r="K1309" s="39"/>
      <c r="L1309" s="39"/>
      <c r="M1309" s="39"/>
      <c r="N1309" s="39"/>
      <c r="O1309" s="39"/>
      <c r="P1309" s="39"/>
      <c r="Q1309" s="39"/>
      <c r="R1309" s="39"/>
      <c r="S1309" s="39"/>
    </row>
    <row r="1310" spans="1:19" s="1" customFormat="1" ht="15" customHeight="1">
      <c r="A1310" s="39"/>
      <c r="B1310" s="39"/>
      <c r="C1310" s="39"/>
      <c r="D1310" s="39"/>
      <c r="E1310" s="39"/>
      <c r="F1310" s="39"/>
      <c r="G1310" s="39"/>
      <c r="H1310" s="39"/>
      <c r="I1310" s="39"/>
      <c r="J1310" s="39"/>
      <c r="K1310" s="39"/>
      <c r="L1310" s="39"/>
      <c r="M1310" s="39"/>
      <c r="N1310" s="39"/>
      <c r="O1310" s="39"/>
      <c r="P1310" s="39"/>
      <c r="Q1310" s="39"/>
      <c r="R1310" s="39"/>
      <c r="S1310" s="39"/>
    </row>
    <row r="1311" spans="1:19" s="1" customFormat="1" ht="15" customHeight="1">
      <c r="A1311" s="39"/>
      <c r="B1311" s="39"/>
      <c r="C1311" s="39"/>
      <c r="D1311" s="39"/>
      <c r="E1311" s="39"/>
      <c r="F1311" s="39"/>
      <c r="G1311" s="39"/>
      <c r="H1311" s="39"/>
      <c r="I1311" s="39"/>
      <c r="J1311" s="39"/>
      <c r="K1311" s="39"/>
      <c r="L1311" s="39"/>
      <c r="M1311" s="39"/>
      <c r="N1311" s="39"/>
      <c r="O1311" s="39"/>
      <c r="P1311" s="39"/>
      <c r="Q1311" s="39"/>
      <c r="R1311" s="39"/>
      <c r="S1311" s="39"/>
    </row>
    <row r="1312" spans="1:19" s="1" customFormat="1" ht="15" customHeight="1">
      <c r="A1312" s="39"/>
      <c r="B1312" s="39"/>
      <c r="C1312" s="39"/>
      <c r="D1312" s="39"/>
      <c r="E1312" s="39"/>
      <c r="F1312" s="39"/>
      <c r="G1312" s="39"/>
      <c r="H1312" s="39"/>
      <c r="I1312" s="39"/>
      <c r="J1312" s="39"/>
      <c r="K1312" s="39"/>
      <c r="L1312" s="39"/>
      <c r="M1312" s="39"/>
      <c r="N1312" s="39"/>
      <c r="O1312" s="39"/>
      <c r="P1312" s="39"/>
      <c r="Q1312" s="39"/>
      <c r="R1312" s="39"/>
      <c r="S1312" s="39"/>
    </row>
    <row r="1313" spans="1:19" s="1" customFormat="1" ht="15" customHeight="1">
      <c r="A1313" s="39"/>
      <c r="B1313" s="39"/>
      <c r="C1313" s="39"/>
      <c r="D1313" s="39"/>
      <c r="E1313" s="39"/>
      <c r="F1313" s="39"/>
      <c r="G1313" s="39"/>
      <c r="H1313" s="39"/>
      <c r="I1313" s="39"/>
      <c r="J1313" s="39"/>
      <c r="K1313" s="39"/>
      <c r="L1313" s="39"/>
      <c r="M1313" s="39"/>
      <c r="N1313" s="39"/>
      <c r="O1313" s="39"/>
      <c r="P1313" s="39"/>
      <c r="Q1313" s="39"/>
      <c r="R1313" s="39"/>
      <c r="S1313" s="39"/>
    </row>
    <row r="1314" spans="1:19" s="1" customFormat="1" ht="15" customHeight="1">
      <c r="A1314" s="39"/>
      <c r="B1314" s="39"/>
      <c r="C1314" s="39"/>
      <c r="D1314" s="39"/>
      <c r="E1314" s="39"/>
      <c r="F1314" s="39"/>
      <c r="G1314" s="39"/>
      <c r="H1314" s="39"/>
      <c r="I1314" s="39"/>
      <c r="J1314" s="39"/>
      <c r="K1314" s="39"/>
      <c r="L1314" s="39"/>
      <c r="M1314" s="39"/>
      <c r="N1314" s="39"/>
      <c r="O1314" s="39"/>
      <c r="P1314" s="39"/>
      <c r="Q1314" s="39"/>
      <c r="R1314" s="39"/>
      <c r="S1314" s="39"/>
    </row>
    <row r="1315" spans="1:19" s="1" customFormat="1" ht="15" customHeight="1">
      <c r="A1315" s="39"/>
      <c r="B1315" s="39"/>
      <c r="C1315" s="39"/>
      <c r="D1315" s="39"/>
      <c r="E1315" s="39"/>
      <c r="F1315" s="39"/>
      <c r="G1315" s="39"/>
      <c r="H1315" s="39"/>
      <c r="I1315" s="39"/>
      <c r="J1315" s="39"/>
      <c r="K1315" s="39"/>
      <c r="L1315" s="39"/>
      <c r="M1315" s="39"/>
      <c r="N1315" s="39"/>
      <c r="O1315" s="39"/>
      <c r="P1315" s="39"/>
      <c r="Q1315" s="39"/>
      <c r="R1315" s="39"/>
      <c r="S1315" s="39"/>
    </row>
    <row r="1316" spans="1:19" s="1" customFormat="1" ht="15" customHeight="1">
      <c r="A1316" s="39"/>
      <c r="B1316" s="39"/>
      <c r="C1316" s="39"/>
      <c r="D1316" s="39"/>
      <c r="E1316" s="39"/>
      <c r="F1316" s="39"/>
      <c r="G1316" s="39"/>
      <c r="H1316" s="39"/>
      <c r="I1316" s="39"/>
      <c r="J1316" s="39"/>
      <c r="K1316" s="39"/>
      <c r="L1316" s="39"/>
      <c r="M1316" s="39"/>
      <c r="N1316" s="39"/>
      <c r="O1316" s="39"/>
      <c r="P1316" s="39"/>
      <c r="Q1316" s="39"/>
      <c r="R1316" s="39"/>
      <c r="S1316" s="39"/>
    </row>
    <row r="1317" spans="1:19" s="1" customFormat="1" ht="15" customHeight="1">
      <c r="A1317" s="39"/>
      <c r="B1317" s="39"/>
      <c r="C1317" s="39"/>
      <c r="D1317" s="39"/>
      <c r="E1317" s="39"/>
      <c r="F1317" s="39"/>
      <c r="G1317" s="39"/>
      <c r="H1317" s="39"/>
      <c r="I1317" s="39"/>
      <c r="J1317" s="39"/>
      <c r="K1317" s="39"/>
      <c r="L1317" s="39"/>
      <c r="M1317" s="39"/>
      <c r="N1317" s="39"/>
      <c r="O1317" s="39"/>
      <c r="P1317" s="39"/>
      <c r="Q1317" s="39"/>
      <c r="R1317" s="39"/>
      <c r="S1317" s="39"/>
    </row>
    <row r="1318" spans="1:19" s="1" customFormat="1" ht="15" customHeight="1">
      <c r="A1318" s="39"/>
      <c r="B1318" s="39"/>
      <c r="C1318" s="39"/>
      <c r="D1318" s="39"/>
      <c r="E1318" s="39"/>
      <c r="F1318" s="39"/>
      <c r="G1318" s="39"/>
      <c r="H1318" s="39"/>
      <c r="I1318" s="39"/>
      <c r="J1318" s="39"/>
      <c r="K1318" s="39"/>
      <c r="L1318" s="39"/>
      <c r="M1318" s="39"/>
      <c r="N1318" s="39"/>
      <c r="O1318" s="39"/>
      <c r="P1318" s="39"/>
      <c r="Q1318" s="39"/>
      <c r="R1318" s="39"/>
      <c r="S1318" s="39"/>
    </row>
    <row r="1319" spans="1:19" s="1" customFormat="1" ht="15" customHeight="1">
      <c r="A1319" s="39"/>
      <c r="B1319" s="39"/>
      <c r="C1319" s="39"/>
      <c r="D1319" s="39"/>
      <c r="E1319" s="39"/>
      <c r="F1319" s="39"/>
      <c r="G1319" s="39"/>
      <c r="H1319" s="39"/>
      <c r="I1319" s="39"/>
      <c r="J1319" s="39"/>
      <c r="K1319" s="39"/>
      <c r="L1319" s="39"/>
      <c r="M1319" s="39"/>
      <c r="N1319" s="39"/>
      <c r="O1319" s="39"/>
      <c r="P1319" s="39"/>
      <c r="Q1319" s="39"/>
      <c r="R1319" s="39"/>
      <c r="S1319" s="39"/>
    </row>
    <row r="1320" spans="1:19" s="1" customFormat="1" ht="15" customHeight="1">
      <c r="A1320" s="39"/>
      <c r="B1320" s="39"/>
      <c r="C1320" s="39"/>
      <c r="D1320" s="39"/>
      <c r="E1320" s="39"/>
      <c r="F1320" s="39"/>
      <c r="G1320" s="39"/>
      <c r="H1320" s="39"/>
      <c r="I1320" s="39"/>
      <c r="J1320" s="39"/>
      <c r="K1320" s="39"/>
      <c r="L1320" s="39"/>
      <c r="M1320" s="39"/>
      <c r="N1320" s="39"/>
      <c r="O1320" s="39"/>
      <c r="P1320" s="39"/>
      <c r="Q1320" s="39"/>
      <c r="R1320" s="39"/>
      <c r="S1320" s="39"/>
    </row>
    <row r="1321" spans="1:19" s="1" customFormat="1" ht="15" customHeight="1">
      <c r="A1321" s="39"/>
      <c r="B1321" s="39"/>
      <c r="C1321" s="39"/>
      <c r="D1321" s="39"/>
      <c r="E1321" s="39"/>
      <c r="F1321" s="39"/>
      <c r="G1321" s="39"/>
      <c r="H1321" s="39"/>
      <c r="I1321" s="39"/>
      <c r="J1321" s="39"/>
      <c r="K1321" s="39"/>
      <c r="L1321" s="39"/>
      <c r="M1321" s="39"/>
      <c r="N1321" s="39"/>
      <c r="O1321" s="39"/>
      <c r="P1321" s="39"/>
      <c r="Q1321" s="39"/>
      <c r="R1321" s="39"/>
      <c r="S1321" s="39"/>
    </row>
    <row r="1322" spans="1:19" s="1" customFormat="1" ht="15" customHeight="1">
      <c r="A1322" s="39"/>
      <c r="B1322" s="39"/>
      <c r="C1322" s="39"/>
      <c r="D1322" s="39"/>
      <c r="E1322" s="39"/>
      <c r="F1322" s="39"/>
      <c r="G1322" s="39"/>
      <c r="H1322" s="39"/>
      <c r="I1322" s="39"/>
      <c r="J1322" s="39"/>
      <c r="K1322" s="39"/>
      <c r="L1322" s="39"/>
      <c r="M1322" s="39"/>
      <c r="N1322" s="39"/>
      <c r="O1322" s="39"/>
      <c r="P1322" s="39"/>
      <c r="Q1322" s="39"/>
      <c r="R1322" s="39"/>
      <c r="S1322" s="39"/>
    </row>
    <row r="1323" spans="1:19" s="1" customFormat="1" ht="15" customHeight="1">
      <c r="A1323" s="39"/>
      <c r="B1323" s="39"/>
      <c r="C1323" s="39"/>
      <c r="D1323" s="39"/>
      <c r="E1323" s="39"/>
      <c r="F1323" s="39"/>
      <c r="G1323" s="39"/>
      <c r="H1323" s="39"/>
      <c r="I1323" s="39"/>
      <c r="J1323" s="39"/>
      <c r="K1323" s="39"/>
      <c r="L1323" s="39"/>
      <c r="M1323" s="39"/>
      <c r="N1323" s="39"/>
      <c r="O1323" s="39"/>
      <c r="P1323" s="39"/>
      <c r="Q1323" s="39"/>
      <c r="R1323" s="39"/>
      <c r="S1323" s="39"/>
    </row>
    <row r="1324" spans="1:19" s="1" customFormat="1" ht="15" customHeight="1">
      <c r="A1324" s="39"/>
      <c r="B1324" s="39"/>
      <c r="C1324" s="39"/>
      <c r="D1324" s="39"/>
      <c r="E1324" s="39"/>
      <c r="F1324" s="39"/>
      <c r="G1324" s="39"/>
      <c r="H1324" s="39"/>
      <c r="I1324" s="39"/>
      <c r="J1324" s="39"/>
      <c r="K1324" s="39"/>
      <c r="L1324" s="39"/>
      <c r="M1324" s="39"/>
      <c r="N1324" s="39"/>
      <c r="O1324" s="39"/>
      <c r="P1324" s="39"/>
      <c r="Q1324" s="39"/>
      <c r="R1324" s="39"/>
      <c r="S1324" s="39"/>
    </row>
    <row r="1325" spans="1:19" s="1" customFormat="1" ht="15" customHeight="1">
      <c r="A1325" s="39"/>
      <c r="B1325" s="39"/>
      <c r="C1325" s="39"/>
      <c r="D1325" s="39"/>
      <c r="E1325" s="39"/>
      <c r="F1325" s="39"/>
      <c r="G1325" s="39"/>
      <c r="H1325" s="39"/>
      <c r="I1325" s="39"/>
      <c r="J1325" s="39"/>
      <c r="K1325" s="39"/>
      <c r="L1325" s="39"/>
      <c r="M1325" s="39"/>
      <c r="N1325" s="39"/>
      <c r="O1325" s="39"/>
      <c r="P1325" s="39"/>
      <c r="Q1325" s="39"/>
      <c r="R1325" s="39"/>
      <c r="S1325" s="39"/>
    </row>
    <row r="1326" spans="1:19" s="1" customFormat="1" ht="15" customHeight="1">
      <c r="A1326" s="39"/>
      <c r="B1326" s="39"/>
      <c r="C1326" s="39"/>
      <c r="D1326" s="39"/>
      <c r="E1326" s="39"/>
      <c r="F1326" s="39"/>
      <c r="G1326" s="39"/>
      <c r="H1326" s="39"/>
      <c r="I1326" s="39"/>
      <c r="J1326" s="39"/>
      <c r="K1326" s="39"/>
      <c r="L1326" s="39"/>
      <c r="M1326" s="39"/>
      <c r="N1326" s="39"/>
      <c r="O1326" s="39"/>
      <c r="P1326" s="39"/>
      <c r="Q1326" s="39"/>
      <c r="R1326" s="39"/>
      <c r="S1326" s="39"/>
    </row>
    <row r="1327" spans="1:19" s="1" customFormat="1" ht="15" customHeight="1">
      <c r="A1327" s="39"/>
      <c r="B1327" s="39"/>
      <c r="C1327" s="39"/>
      <c r="D1327" s="39"/>
      <c r="E1327" s="39"/>
      <c r="F1327" s="39"/>
      <c r="G1327" s="39"/>
      <c r="H1327" s="39"/>
      <c r="I1327" s="39"/>
      <c r="J1327" s="39"/>
      <c r="K1327" s="39"/>
      <c r="L1327" s="39"/>
      <c r="M1327" s="39"/>
      <c r="N1327" s="39"/>
      <c r="O1327" s="39"/>
      <c r="P1327" s="39"/>
      <c r="Q1327" s="39"/>
      <c r="R1327" s="39"/>
      <c r="S1327" s="39"/>
    </row>
    <row r="1328" spans="1:19" s="1" customFormat="1" ht="15" customHeight="1">
      <c r="A1328" s="39"/>
      <c r="B1328" s="39"/>
      <c r="C1328" s="39"/>
      <c r="D1328" s="39"/>
      <c r="E1328" s="39"/>
      <c r="F1328" s="39"/>
      <c r="G1328" s="39"/>
      <c r="H1328" s="39"/>
      <c r="I1328" s="39"/>
      <c r="J1328" s="39"/>
      <c r="K1328" s="39"/>
      <c r="L1328" s="39"/>
      <c r="M1328" s="39"/>
      <c r="N1328" s="39"/>
      <c r="O1328" s="39"/>
      <c r="P1328" s="39"/>
      <c r="Q1328" s="39"/>
      <c r="R1328" s="39"/>
      <c r="S1328" s="39"/>
    </row>
    <row r="1329" spans="1:19" s="1" customFormat="1" ht="15" customHeight="1">
      <c r="A1329" s="39"/>
      <c r="B1329" s="39"/>
      <c r="C1329" s="39"/>
      <c r="D1329" s="39"/>
      <c r="E1329" s="39"/>
      <c r="F1329" s="39"/>
      <c r="G1329" s="39"/>
      <c r="H1329" s="39"/>
      <c r="I1329" s="39"/>
      <c r="J1329" s="39"/>
      <c r="K1329" s="39"/>
      <c r="L1329" s="39"/>
      <c r="M1329" s="39"/>
      <c r="N1329" s="39"/>
      <c r="O1329" s="39"/>
      <c r="P1329" s="39"/>
      <c r="Q1329" s="39"/>
      <c r="R1329" s="39"/>
      <c r="S1329" s="39"/>
    </row>
    <row r="1330" spans="1:19" s="1" customFormat="1" ht="15" customHeight="1">
      <c r="A1330" s="39"/>
      <c r="B1330" s="39"/>
      <c r="C1330" s="39"/>
      <c r="D1330" s="39"/>
      <c r="E1330" s="39"/>
      <c r="F1330" s="39"/>
      <c r="G1330" s="39"/>
      <c r="H1330" s="39"/>
      <c r="I1330" s="39"/>
      <c r="J1330" s="39"/>
      <c r="K1330" s="39"/>
      <c r="L1330" s="39"/>
      <c r="M1330" s="39"/>
      <c r="N1330" s="39"/>
      <c r="O1330" s="39"/>
      <c r="P1330" s="39"/>
      <c r="Q1330" s="39"/>
      <c r="R1330" s="39"/>
      <c r="S1330" s="39"/>
    </row>
    <row r="1331" spans="1:19" s="1" customFormat="1" ht="15" customHeight="1">
      <c r="A1331" s="39"/>
      <c r="B1331" s="39"/>
      <c r="C1331" s="39"/>
      <c r="D1331" s="39"/>
      <c r="E1331" s="39"/>
      <c r="F1331" s="39"/>
      <c r="G1331" s="39"/>
      <c r="H1331" s="39"/>
      <c r="I1331" s="39"/>
      <c r="J1331" s="39"/>
      <c r="K1331" s="39"/>
      <c r="L1331" s="39"/>
      <c r="M1331" s="39"/>
      <c r="N1331" s="39"/>
      <c r="O1331" s="39"/>
      <c r="P1331" s="39"/>
      <c r="Q1331" s="39"/>
      <c r="R1331" s="39"/>
      <c r="S1331" s="39"/>
    </row>
    <row r="1332" spans="1:19" s="1" customFormat="1" ht="15" customHeight="1">
      <c r="A1332" s="39"/>
      <c r="B1332" s="39"/>
      <c r="C1332" s="39"/>
      <c r="D1332" s="39"/>
      <c r="E1332" s="39"/>
      <c r="F1332" s="39"/>
      <c r="G1332" s="39"/>
      <c r="H1332" s="39"/>
      <c r="I1332" s="39"/>
      <c r="J1332" s="39"/>
      <c r="K1332" s="39"/>
      <c r="L1332" s="39"/>
      <c r="M1332" s="39"/>
      <c r="N1332" s="39"/>
      <c r="O1332" s="39"/>
      <c r="P1332" s="39"/>
      <c r="Q1332" s="39"/>
      <c r="R1332" s="39"/>
      <c r="S1332" s="39"/>
    </row>
    <row r="1333" spans="1:19" s="1" customFormat="1" ht="15" customHeight="1">
      <c r="A1333" s="39"/>
      <c r="B1333" s="39"/>
      <c r="C1333" s="39"/>
      <c r="D1333" s="39"/>
      <c r="E1333" s="39"/>
      <c r="F1333" s="39"/>
      <c r="G1333" s="39"/>
      <c r="H1333" s="39"/>
      <c r="I1333" s="39"/>
      <c r="J1333" s="39"/>
      <c r="K1333" s="39"/>
      <c r="L1333" s="39"/>
      <c r="M1333" s="39"/>
      <c r="N1333" s="39"/>
      <c r="O1333" s="39"/>
      <c r="P1333" s="39"/>
      <c r="Q1333" s="39"/>
      <c r="R1333" s="39"/>
      <c r="S1333" s="39"/>
    </row>
    <row r="1334" spans="1:19" s="1" customFormat="1" ht="15" customHeight="1">
      <c r="A1334" s="39"/>
      <c r="B1334" s="39"/>
      <c r="C1334" s="39"/>
      <c r="D1334" s="39"/>
      <c r="E1334" s="39"/>
      <c r="F1334" s="39"/>
      <c r="G1334" s="39"/>
      <c r="H1334" s="39"/>
      <c r="I1334" s="39"/>
      <c r="J1334" s="39"/>
      <c r="K1334" s="39"/>
      <c r="L1334" s="39"/>
      <c r="M1334" s="39"/>
      <c r="N1334" s="39"/>
      <c r="O1334" s="39"/>
      <c r="P1334" s="39"/>
      <c r="Q1334" s="39"/>
      <c r="R1334" s="39"/>
      <c r="S1334" s="39"/>
    </row>
    <row r="1335" spans="1:19" s="1" customFormat="1" ht="15" customHeight="1">
      <c r="A1335" s="39"/>
      <c r="B1335" s="39"/>
      <c r="C1335" s="39"/>
      <c r="D1335" s="39"/>
      <c r="E1335" s="39"/>
      <c r="F1335" s="39"/>
      <c r="G1335" s="39"/>
      <c r="H1335" s="39"/>
      <c r="I1335" s="39"/>
      <c r="J1335" s="39"/>
      <c r="K1335" s="39"/>
      <c r="L1335" s="39"/>
      <c r="M1335" s="39"/>
      <c r="N1335" s="39"/>
      <c r="O1335" s="39"/>
      <c r="P1335" s="39"/>
      <c r="Q1335" s="39"/>
      <c r="R1335" s="39"/>
      <c r="S1335" s="39"/>
    </row>
    <row r="1336" spans="1:19" s="1" customFormat="1" ht="15" customHeight="1">
      <c r="A1336" s="39"/>
      <c r="B1336" s="39"/>
      <c r="C1336" s="39"/>
      <c r="D1336" s="39"/>
      <c r="E1336" s="39"/>
      <c r="F1336" s="39"/>
      <c r="G1336" s="39"/>
      <c r="H1336" s="39"/>
      <c r="I1336" s="39"/>
      <c r="J1336" s="39"/>
      <c r="K1336" s="39"/>
      <c r="L1336" s="39"/>
      <c r="M1336" s="39"/>
      <c r="N1336" s="39"/>
      <c r="O1336" s="39"/>
      <c r="P1336" s="39"/>
      <c r="Q1336" s="39"/>
      <c r="R1336" s="39"/>
      <c r="S1336" s="39"/>
    </row>
    <row r="1337" spans="1:19" s="1" customFormat="1" ht="15" customHeight="1">
      <c r="A1337" s="39"/>
      <c r="B1337" s="39"/>
      <c r="C1337" s="39"/>
      <c r="D1337" s="39"/>
      <c r="E1337" s="39"/>
      <c r="F1337" s="39"/>
      <c r="G1337" s="39"/>
      <c r="H1337" s="39"/>
      <c r="I1337" s="39"/>
      <c r="J1337" s="39"/>
      <c r="K1337" s="39"/>
      <c r="L1337" s="39"/>
      <c r="M1337" s="39"/>
      <c r="N1337" s="39"/>
      <c r="O1337" s="39"/>
      <c r="P1337" s="39"/>
      <c r="Q1337" s="39"/>
      <c r="R1337" s="39"/>
      <c r="S1337" s="39"/>
    </row>
    <row r="1338" spans="1:19" s="1" customFormat="1" ht="15" customHeight="1">
      <c r="A1338" s="39"/>
      <c r="B1338" s="39"/>
      <c r="C1338" s="39"/>
      <c r="D1338" s="39"/>
      <c r="E1338" s="39"/>
      <c r="F1338" s="39"/>
      <c r="G1338" s="39"/>
      <c r="H1338" s="39"/>
      <c r="I1338" s="39"/>
      <c r="J1338" s="39"/>
      <c r="K1338" s="39"/>
      <c r="L1338" s="39"/>
      <c r="M1338" s="39"/>
      <c r="N1338" s="39"/>
      <c r="O1338" s="39"/>
      <c r="P1338" s="39"/>
      <c r="Q1338" s="39"/>
      <c r="R1338" s="39"/>
      <c r="S1338" s="39"/>
    </row>
    <row r="1339" spans="1:19" s="1" customFormat="1" ht="15" customHeight="1">
      <c r="A1339" s="39"/>
      <c r="B1339" s="39"/>
      <c r="C1339" s="39"/>
      <c r="D1339" s="39"/>
      <c r="E1339" s="39"/>
      <c r="F1339" s="39"/>
      <c r="G1339" s="39"/>
      <c r="H1339" s="39"/>
      <c r="I1339" s="39"/>
      <c r="J1339" s="39"/>
      <c r="K1339" s="39"/>
      <c r="L1339" s="39"/>
      <c r="M1339" s="39"/>
      <c r="N1339" s="39"/>
      <c r="O1339" s="39"/>
      <c r="P1339" s="39"/>
      <c r="Q1339" s="39"/>
      <c r="R1339" s="39"/>
      <c r="S1339" s="39"/>
    </row>
    <row r="1340" spans="1:19" s="1" customFormat="1" ht="15" customHeight="1">
      <c r="A1340" s="39"/>
      <c r="B1340" s="39"/>
      <c r="C1340" s="39"/>
      <c r="D1340" s="39"/>
      <c r="E1340" s="39"/>
      <c r="F1340" s="39"/>
      <c r="G1340" s="39"/>
      <c r="H1340" s="39"/>
      <c r="I1340" s="39"/>
      <c r="J1340" s="39"/>
      <c r="K1340" s="39"/>
      <c r="L1340" s="39"/>
      <c r="M1340" s="39"/>
      <c r="N1340" s="39"/>
      <c r="O1340" s="39"/>
      <c r="P1340" s="39"/>
      <c r="Q1340" s="39"/>
      <c r="R1340" s="39"/>
      <c r="S1340" s="39"/>
    </row>
    <row r="1341" spans="1:19" s="1" customFormat="1" ht="15" customHeight="1">
      <c r="A1341" s="39"/>
      <c r="B1341" s="39"/>
      <c r="C1341" s="39"/>
      <c r="D1341" s="39"/>
      <c r="E1341" s="39"/>
      <c r="F1341" s="39"/>
      <c r="G1341" s="39"/>
      <c r="H1341" s="39"/>
      <c r="I1341" s="39"/>
      <c r="J1341" s="39"/>
      <c r="K1341" s="39"/>
      <c r="L1341" s="39"/>
      <c r="M1341" s="39"/>
      <c r="N1341" s="39"/>
      <c r="O1341" s="39"/>
      <c r="P1341" s="39"/>
      <c r="Q1341" s="39"/>
      <c r="R1341" s="39"/>
      <c r="S1341" s="39"/>
    </row>
    <row r="1342" spans="1:19" s="1" customFormat="1" ht="15" customHeight="1">
      <c r="A1342" s="39"/>
      <c r="B1342" s="39"/>
      <c r="C1342" s="39"/>
      <c r="D1342" s="39"/>
      <c r="E1342" s="39"/>
      <c r="F1342" s="39"/>
      <c r="G1342" s="39"/>
      <c r="H1342" s="39"/>
      <c r="I1342" s="39"/>
      <c r="J1342" s="39"/>
      <c r="K1342" s="39"/>
      <c r="L1342" s="39"/>
      <c r="M1342" s="39"/>
      <c r="N1342" s="39"/>
      <c r="O1342" s="39"/>
      <c r="P1342" s="39"/>
      <c r="Q1342" s="39"/>
      <c r="R1342" s="39"/>
      <c r="S1342" s="39"/>
    </row>
    <row r="1343" spans="1:19" s="1" customFormat="1" ht="15" customHeight="1">
      <c r="A1343" s="39"/>
      <c r="B1343" s="39"/>
      <c r="C1343" s="39"/>
      <c r="D1343" s="39"/>
      <c r="E1343" s="39"/>
      <c r="F1343" s="39"/>
      <c r="G1343" s="39"/>
      <c r="H1343" s="39"/>
      <c r="I1343" s="39"/>
      <c r="J1343" s="39"/>
      <c r="K1343" s="39"/>
      <c r="L1343" s="39"/>
      <c r="M1343" s="39"/>
      <c r="N1343" s="39"/>
      <c r="O1343" s="39"/>
      <c r="P1343" s="39"/>
      <c r="Q1343" s="39"/>
      <c r="R1343" s="39"/>
      <c r="S1343" s="39"/>
    </row>
    <row r="1344" spans="1:19" s="1" customFormat="1" ht="15" customHeight="1">
      <c r="A1344" s="39"/>
      <c r="B1344" s="39"/>
      <c r="C1344" s="39"/>
      <c r="D1344" s="39"/>
      <c r="E1344" s="39"/>
      <c r="F1344" s="39"/>
      <c r="G1344" s="39"/>
      <c r="H1344" s="39"/>
      <c r="I1344" s="39"/>
      <c r="J1344" s="39"/>
      <c r="K1344" s="39"/>
      <c r="L1344" s="39"/>
      <c r="M1344" s="39"/>
      <c r="N1344" s="39"/>
      <c r="O1344" s="39"/>
      <c r="P1344" s="39"/>
      <c r="Q1344" s="39"/>
      <c r="R1344" s="39"/>
      <c r="S1344" s="39"/>
    </row>
    <row r="1345" spans="1:19" s="1" customFormat="1" ht="15" customHeight="1">
      <c r="A1345" s="39"/>
      <c r="B1345" s="39"/>
      <c r="C1345" s="39"/>
      <c r="D1345" s="39"/>
      <c r="E1345" s="39"/>
      <c r="F1345" s="39"/>
      <c r="G1345" s="39"/>
      <c r="H1345" s="39"/>
      <c r="I1345" s="39"/>
      <c r="J1345" s="39"/>
      <c r="K1345" s="39"/>
      <c r="L1345" s="39"/>
      <c r="M1345" s="39"/>
      <c r="N1345" s="39"/>
      <c r="O1345" s="39"/>
      <c r="P1345" s="39"/>
      <c r="Q1345" s="39"/>
      <c r="R1345" s="39"/>
      <c r="S1345" s="39"/>
    </row>
    <row r="1346" spans="1:19" s="1" customFormat="1" ht="15" customHeight="1">
      <c r="A1346" s="39"/>
      <c r="B1346" s="39"/>
      <c r="C1346" s="39"/>
      <c r="D1346" s="39"/>
      <c r="E1346" s="39"/>
      <c r="F1346" s="39"/>
      <c r="G1346" s="39"/>
      <c r="H1346" s="39"/>
      <c r="I1346" s="39"/>
      <c r="J1346" s="39"/>
      <c r="K1346" s="39"/>
      <c r="L1346" s="39"/>
      <c r="M1346" s="39"/>
      <c r="N1346" s="39"/>
      <c r="O1346" s="39"/>
      <c r="P1346" s="39"/>
      <c r="Q1346" s="39"/>
      <c r="R1346" s="39"/>
      <c r="S1346" s="39"/>
    </row>
    <row r="1347" spans="1:19" s="1" customFormat="1" ht="15" customHeight="1">
      <c r="A1347" s="39"/>
      <c r="B1347" s="39"/>
      <c r="C1347" s="39"/>
      <c r="D1347" s="39"/>
      <c r="E1347" s="39"/>
      <c r="F1347" s="39"/>
      <c r="G1347" s="39"/>
      <c r="H1347" s="39"/>
      <c r="I1347" s="39"/>
      <c r="J1347" s="39"/>
      <c r="K1347" s="39"/>
      <c r="L1347" s="39"/>
      <c r="M1347" s="39"/>
      <c r="N1347" s="39"/>
      <c r="O1347" s="39"/>
      <c r="P1347" s="39"/>
      <c r="Q1347" s="39"/>
      <c r="R1347" s="39"/>
      <c r="S1347" s="39"/>
    </row>
    <row r="1348" spans="1:19" s="1" customFormat="1" ht="15" customHeight="1">
      <c r="A1348" s="39"/>
      <c r="B1348" s="39"/>
      <c r="C1348" s="39"/>
      <c r="D1348" s="39"/>
      <c r="E1348" s="39"/>
      <c r="F1348" s="39"/>
      <c r="G1348" s="39"/>
      <c r="H1348" s="39"/>
      <c r="I1348" s="39"/>
      <c r="J1348" s="39"/>
      <c r="K1348" s="39"/>
      <c r="L1348" s="39"/>
      <c r="M1348" s="39"/>
      <c r="N1348" s="39"/>
      <c r="O1348" s="39"/>
      <c r="P1348" s="39"/>
      <c r="Q1348" s="39"/>
      <c r="R1348" s="39"/>
      <c r="S1348" s="39"/>
    </row>
    <row r="1349" spans="1:19" s="1" customFormat="1" ht="15" customHeight="1">
      <c r="P1349" s="39"/>
      <c r="Q1349" s="39"/>
      <c r="R1349" s="39"/>
      <c r="S1349" s="39"/>
    </row>
    <row r="1350" spans="1:19" s="1" customFormat="1" ht="15" customHeight="1">
      <c r="Q1350" s="39"/>
      <c r="R1350" s="39"/>
      <c r="S1350" s="39"/>
    </row>
    <row r="1351" spans="1:19" s="1" customFormat="1" ht="15" customHeight="1">
      <c r="Q1351" s="39"/>
      <c r="R1351" s="39"/>
      <c r="S1351" s="39"/>
    </row>
    <row r="1352" spans="1:19" s="1" customFormat="1" ht="15" customHeight="1">
      <c r="Q1352" s="39"/>
      <c r="R1352" s="39"/>
      <c r="S1352" s="39"/>
    </row>
    <row r="1353" spans="1:19" s="1" customFormat="1" ht="15" customHeight="1">
      <c r="Q1353" s="39"/>
      <c r="R1353" s="39"/>
      <c r="S1353" s="39"/>
    </row>
    <row r="1354" spans="1:19" s="1" customFormat="1" ht="15" customHeight="1">
      <c r="S1354" s="39"/>
    </row>
    <row r="1355" spans="1:19" s="1" customFormat="1" ht="15" customHeight="1">
      <c r="S1355" s="39"/>
    </row>
    <row r="1356" spans="1:19" s="1" customFormat="1" ht="15" customHeight="1">
      <c r="S1356" s="39"/>
    </row>
    <row r="1357" spans="1:19" s="1" customFormat="1" ht="15" customHeight="1">
      <c r="S1357" s="39"/>
    </row>
    <row r="1358" spans="1:19" s="1" customFormat="1" ht="15" customHeight="1">
      <c r="S1358" s="39"/>
    </row>
    <row r="1359" spans="1:19" s="1" customFormat="1" ht="15" customHeight="1"/>
    <row r="1360" spans="1:19" s="1" customFormat="1" ht="15" customHeight="1"/>
    <row r="1361" s="1" customFormat="1" ht="15" customHeight="1"/>
    <row r="1362" s="1" customFormat="1" ht="15" customHeight="1"/>
    <row r="1363" s="1" customFormat="1" ht="15" customHeight="1"/>
    <row r="1364" s="1" customFormat="1" ht="15" customHeight="1"/>
    <row r="1365" s="1" customFormat="1" ht="15" customHeight="1"/>
    <row r="1366" s="1" customFormat="1" ht="15" customHeight="1"/>
    <row r="1367" s="1" customFormat="1" ht="15" customHeight="1"/>
    <row r="1368" s="1" customFormat="1" ht="15" customHeight="1"/>
    <row r="1369" s="1" customFormat="1" ht="15" customHeight="1"/>
    <row r="1370" s="1" customFormat="1" ht="15" customHeight="1"/>
    <row r="1371" s="1" customFormat="1" ht="15" customHeight="1"/>
    <row r="1372" s="1" customFormat="1" ht="15" customHeight="1"/>
    <row r="1373" s="1" customFormat="1" ht="15" customHeight="1"/>
    <row r="1374" s="1" customFormat="1" ht="15" customHeight="1"/>
    <row r="1375" s="1" customFormat="1" ht="15" customHeight="1"/>
    <row r="1376" s="1" customFormat="1" ht="15" customHeight="1"/>
    <row r="1377" s="1" customFormat="1" ht="15" customHeight="1"/>
    <row r="1378" s="1" customFormat="1" ht="15" customHeight="1"/>
    <row r="1379" s="1" customFormat="1" ht="15" customHeight="1"/>
    <row r="1380" s="1" customFormat="1" ht="15" customHeight="1"/>
    <row r="1381" s="1" customFormat="1" ht="15" customHeight="1"/>
    <row r="1382" s="1" customFormat="1" ht="15" customHeight="1"/>
    <row r="1383" s="1" customFormat="1" ht="15" customHeight="1"/>
    <row r="1384" s="1" customFormat="1" ht="15" customHeight="1"/>
    <row r="1385" s="1" customFormat="1" ht="15" customHeight="1"/>
    <row r="1386" s="1" customFormat="1" ht="15" customHeight="1"/>
    <row r="1387" s="1" customFormat="1" ht="15" customHeight="1"/>
    <row r="1388" s="1" customFormat="1" ht="15" customHeight="1"/>
    <row r="1389" s="1" customFormat="1" ht="15" customHeight="1"/>
    <row r="1390" s="1" customFormat="1" ht="15" customHeight="1"/>
    <row r="1391" s="1" customFormat="1" ht="15" customHeight="1"/>
    <row r="1392" s="1" customFormat="1" ht="15" customHeight="1"/>
    <row r="1393" s="1" customFormat="1" ht="15" customHeight="1"/>
    <row r="1394" s="1" customFormat="1" ht="15" customHeight="1"/>
    <row r="1395" s="1" customFormat="1" ht="15" customHeight="1"/>
    <row r="1396" s="1" customFormat="1" ht="15" customHeight="1"/>
    <row r="1397" s="1" customFormat="1" ht="15" customHeight="1"/>
    <row r="1398" s="1" customFormat="1" ht="15" customHeight="1"/>
    <row r="1399" s="1" customFormat="1" ht="15" customHeight="1"/>
    <row r="1400" s="1" customFormat="1" ht="15" customHeight="1"/>
    <row r="1401" s="1" customFormat="1" ht="15" customHeight="1"/>
    <row r="1402" s="1" customFormat="1" ht="15" customHeight="1"/>
    <row r="1403" s="1" customFormat="1" ht="15" customHeight="1"/>
    <row r="1404" s="1" customFormat="1" ht="15" customHeight="1"/>
    <row r="1405" s="1" customFormat="1" ht="15" customHeight="1"/>
    <row r="1406" s="1" customFormat="1" ht="15" customHeight="1"/>
    <row r="1407" s="1" customFormat="1" ht="15" customHeight="1"/>
    <row r="1408" s="1" customFormat="1" ht="15" customHeight="1"/>
    <row r="1409" s="1" customFormat="1" ht="15" customHeight="1"/>
    <row r="1410" s="1" customFormat="1" ht="15" customHeight="1"/>
    <row r="1411" s="1" customFormat="1" ht="15" customHeight="1"/>
    <row r="1412" s="1" customFormat="1" ht="15" customHeight="1"/>
    <row r="1413" s="1" customFormat="1" ht="15" customHeight="1"/>
    <row r="1414" s="1" customFormat="1" ht="15" customHeight="1"/>
    <row r="1415" s="1" customFormat="1" ht="15" customHeight="1"/>
    <row r="1416" s="1" customFormat="1" ht="15" customHeight="1"/>
    <row r="1417" s="1" customFormat="1" ht="15" customHeight="1"/>
    <row r="1418" s="1" customFormat="1" ht="15" customHeight="1"/>
    <row r="1419" s="1" customFormat="1" ht="15" customHeight="1"/>
    <row r="1420" s="1" customFormat="1" ht="15" customHeight="1"/>
    <row r="1421" s="1" customFormat="1" ht="15" customHeight="1"/>
    <row r="1422" s="1" customFormat="1" ht="15" customHeight="1"/>
    <row r="1423" s="1" customFormat="1" ht="15" customHeight="1"/>
    <row r="1424" s="1" customFormat="1" ht="15" customHeight="1"/>
    <row r="1425" s="1" customFormat="1" ht="15" customHeight="1"/>
    <row r="1426" s="1" customFormat="1" ht="15" customHeight="1"/>
    <row r="1427" s="1" customFormat="1" ht="15" customHeight="1"/>
    <row r="1428" s="1" customFormat="1" ht="15" customHeight="1"/>
    <row r="1429" s="1" customFormat="1" ht="15" customHeight="1"/>
    <row r="1430" s="1" customFormat="1" ht="15" customHeight="1"/>
    <row r="1431" s="1" customFormat="1" ht="15" customHeight="1"/>
    <row r="1432" s="1" customFormat="1" ht="15" customHeight="1"/>
    <row r="1433" s="1" customFormat="1" ht="15" customHeight="1"/>
    <row r="1434" s="1" customFormat="1" ht="15" customHeight="1"/>
    <row r="1435" s="1" customFormat="1" ht="15" customHeight="1"/>
    <row r="1436" s="1" customFormat="1" ht="15" customHeight="1"/>
    <row r="1437" s="1" customFormat="1" ht="15" customHeight="1"/>
    <row r="1438" s="1" customFormat="1" ht="15" customHeight="1"/>
    <row r="1439" s="1" customFormat="1" ht="15" customHeight="1"/>
    <row r="1440" s="1" customFormat="1" ht="15" customHeight="1"/>
    <row r="1441" s="1" customFormat="1" ht="15" customHeight="1"/>
    <row r="1442" s="1" customFormat="1" ht="15" customHeight="1"/>
    <row r="1443" s="1" customFormat="1" ht="15" customHeight="1"/>
    <row r="1444" s="1" customFormat="1" ht="15" customHeight="1"/>
    <row r="1445" s="1" customFormat="1" ht="15" customHeight="1"/>
    <row r="1446" s="1" customFormat="1" ht="15" customHeight="1"/>
    <row r="1447" s="1" customFormat="1" ht="15" customHeight="1"/>
    <row r="1448" s="1" customFormat="1" ht="15" customHeight="1"/>
    <row r="1449" s="1" customFormat="1" ht="15" customHeight="1"/>
    <row r="1450" s="1" customFormat="1" ht="15" customHeight="1"/>
    <row r="1451" s="1" customFormat="1" ht="15" customHeight="1"/>
    <row r="1452" s="1" customFormat="1" ht="15" customHeight="1"/>
    <row r="1453" s="1" customFormat="1" ht="15" customHeight="1"/>
    <row r="1454" s="1" customFormat="1" ht="15" customHeight="1"/>
    <row r="1455" s="1" customFormat="1" ht="15" customHeight="1"/>
    <row r="1456" s="1" customFormat="1" ht="15" customHeight="1"/>
    <row r="1457" s="1" customFormat="1" ht="15" customHeight="1"/>
    <row r="1458" s="1" customFormat="1" ht="15" customHeight="1"/>
    <row r="1459" s="1" customFormat="1" ht="15" customHeight="1"/>
    <row r="1460" s="1" customFormat="1" ht="15" customHeight="1"/>
    <row r="1461" s="1" customFormat="1" ht="15" customHeight="1"/>
    <row r="1462" s="1" customFormat="1" ht="15" customHeight="1"/>
    <row r="1463" s="1" customFormat="1" ht="15" customHeight="1"/>
    <row r="1464" s="1" customFormat="1" ht="15" customHeight="1"/>
    <row r="1465" s="1" customFormat="1" ht="15" customHeight="1"/>
    <row r="1466" s="1" customFormat="1" ht="15" customHeight="1"/>
    <row r="1467" s="1" customFormat="1" ht="15" customHeight="1"/>
    <row r="1468" s="1" customFormat="1" ht="15" customHeight="1"/>
    <row r="1469" s="1" customFormat="1" ht="15" customHeight="1"/>
    <row r="1470" s="1" customFormat="1" ht="15" customHeight="1"/>
    <row r="1471" s="1" customFormat="1" ht="15" customHeight="1"/>
    <row r="1472" s="1" customFormat="1" ht="15" customHeight="1"/>
    <row r="1473" s="1" customFormat="1" ht="15" customHeight="1"/>
    <row r="1474" s="1" customFormat="1" ht="15" customHeight="1"/>
    <row r="1475" s="1" customFormat="1" ht="15" customHeight="1"/>
    <row r="1476" s="1" customFormat="1" ht="15" customHeight="1"/>
    <row r="1477" s="1" customFormat="1" ht="15" customHeight="1"/>
    <row r="1478" s="1" customFormat="1" ht="15" customHeight="1"/>
    <row r="1479" s="1" customFormat="1" ht="15" customHeight="1"/>
    <row r="1480" s="1" customFormat="1" ht="15" customHeight="1"/>
    <row r="1481" s="1" customFormat="1" ht="15" customHeight="1"/>
    <row r="1482" s="1" customFormat="1" ht="15" customHeight="1"/>
    <row r="1483" s="1" customFormat="1" ht="15" customHeight="1"/>
    <row r="1484" s="1" customFormat="1" ht="15" customHeight="1"/>
    <row r="1485" s="1" customFormat="1" ht="15" customHeight="1"/>
    <row r="1486" s="1" customFormat="1" ht="15" customHeight="1"/>
    <row r="1487" s="1" customFormat="1" ht="15" customHeight="1"/>
    <row r="1488" s="1" customFormat="1" ht="15" customHeight="1"/>
    <row r="1489" s="1" customFormat="1" ht="15" customHeight="1"/>
    <row r="1490" s="1" customFormat="1" ht="15" customHeight="1"/>
    <row r="1491" s="1" customFormat="1" ht="15" customHeight="1"/>
    <row r="1492" s="1" customFormat="1" ht="15" customHeight="1"/>
    <row r="1493" s="1" customFormat="1" ht="15" customHeight="1"/>
    <row r="1494" s="1" customFormat="1" ht="15" customHeight="1"/>
    <row r="1495" s="1" customFormat="1" ht="15" customHeight="1"/>
    <row r="1496" s="1" customFormat="1" ht="15" customHeight="1"/>
    <row r="1497" s="1" customFormat="1" ht="15" customHeight="1"/>
    <row r="1498" s="1" customFormat="1" ht="15" customHeight="1"/>
    <row r="1499" s="1" customFormat="1" ht="15" customHeight="1"/>
    <row r="1500" s="1" customFormat="1" ht="15" customHeight="1"/>
    <row r="1501" s="1" customFormat="1" ht="15" customHeight="1"/>
    <row r="1502" s="1" customFormat="1" ht="15" customHeight="1"/>
    <row r="1503" s="1" customFormat="1" ht="15" customHeight="1"/>
    <row r="1504" s="1" customFormat="1" ht="15" customHeight="1"/>
    <row r="1505" s="1" customFormat="1" ht="15" customHeight="1"/>
    <row r="1506" s="1" customFormat="1" ht="15" customHeight="1"/>
    <row r="1507" s="1" customFormat="1" ht="15" customHeight="1"/>
    <row r="1508" s="1" customFormat="1" ht="15" customHeight="1"/>
    <row r="1509" s="1" customFormat="1" ht="15" customHeight="1"/>
    <row r="1510" s="1" customFormat="1" ht="15" customHeight="1"/>
    <row r="1511" s="1" customFormat="1" ht="15" customHeight="1"/>
    <row r="1512" s="1" customFormat="1" ht="15" customHeight="1"/>
    <row r="1513" s="1" customFormat="1" ht="15" customHeight="1"/>
    <row r="1514" s="1" customFormat="1" ht="15" customHeight="1"/>
    <row r="1515" s="1" customFormat="1" ht="15" customHeight="1"/>
    <row r="1516" s="1" customFormat="1" ht="15" customHeight="1"/>
    <row r="1517" s="1" customFormat="1" ht="15" customHeight="1"/>
    <row r="1518" s="1" customFormat="1" ht="15" customHeight="1"/>
    <row r="1519" s="1" customFormat="1" ht="15" customHeight="1"/>
    <row r="1520" s="1" customFormat="1" ht="15" customHeight="1"/>
    <row r="1521" s="1" customFormat="1" ht="15" customHeight="1"/>
    <row r="1522" s="1" customFormat="1" ht="15" customHeight="1"/>
    <row r="1523" s="1" customFormat="1" ht="15" customHeight="1"/>
    <row r="1524" s="1" customFormat="1" ht="15" customHeight="1"/>
    <row r="1525" s="1" customFormat="1" ht="15" customHeight="1"/>
    <row r="1526" s="1" customFormat="1" ht="15" customHeight="1"/>
    <row r="1527" s="1" customFormat="1" ht="15" customHeight="1"/>
    <row r="1528" s="1" customFormat="1" ht="15" customHeight="1"/>
    <row r="1529" s="1" customFormat="1" ht="15" customHeight="1"/>
    <row r="1530" s="1" customFormat="1" ht="15" customHeight="1"/>
    <row r="1531" s="1" customFormat="1" ht="15" customHeight="1"/>
    <row r="1532" s="1" customFormat="1" ht="15" customHeight="1"/>
    <row r="1533" s="1" customFormat="1" ht="15" customHeight="1"/>
    <row r="1534" s="1" customFormat="1" ht="15" customHeight="1"/>
    <row r="1535" s="1" customFormat="1" ht="15" customHeight="1"/>
    <row r="1536" s="1" customFormat="1" ht="15" customHeight="1"/>
    <row r="1537" s="1" customFormat="1" ht="15" customHeight="1"/>
    <row r="1538" s="1" customFormat="1" ht="15" customHeight="1"/>
    <row r="1539" s="1" customFormat="1" ht="15" customHeight="1"/>
    <row r="1540" s="1" customFormat="1" ht="15" customHeight="1"/>
    <row r="1541" s="1" customFormat="1" ht="15" customHeight="1"/>
    <row r="1542" s="1" customFormat="1" ht="15" customHeight="1"/>
    <row r="1543" s="1" customFormat="1" ht="15" customHeight="1"/>
    <row r="1544" s="1" customFormat="1" ht="15" customHeight="1"/>
    <row r="1545" s="1" customFormat="1" ht="15" customHeight="1"/>
    <row r="1546" s="1" customFormat="1" ht="15" customHeight="1"/>
    <row r="1547" s="1" customFormat="1" ht="15" customHeight="1"/>
    <row r="1548" s="1" customFormat="1" ht="15" customHeight="1"/>
    <row r="1549" s="1" customFormat="1" ht="15" customHeight="1"/>
    <row r="1550" s="1" customFormat="1" ht="15" customHeight="1"/>
    <row r="1551" s="1" customFormat="1" ht="15" customHeight="1"/>
    <row r="1552" s="1" customFormat="1" ht="15" customHeight="1"/>
    <row r="1553" s="1" customFormat="1" ht="15" customHeight="1"/>
    <row r="1554" s="1" customFormat="1" ht="15" customHeight="1"/>
    <row r="1555" s="1" customFormat="1" ht="15" customHeight="1"/>
    <row r="1556" s="1" customFormat="1" ht="15" customHeight="1"/>
    <row r="1557" s="1" customFormat="1" ht="15" customHeight="1"/>
    <row r="1558" s="1" customFormat="1" ht="15" customHeight="1"/>
    <row r="1559" s="1" customFormat="1" ht="15" customHeight="1"/>
    <row r="1560" s="1" customFormat="1" ht="15" customHeight="1"/>
    <row r="1561" s="1" customFormat="1" ht="15" customHeight="1"/>
    <row r="1562" s="1" customFormat="1" ht="15" customHeight="1"/>
    <row r="1563" s="1" customFormat="1" ht="15" customHeight="1"/>
    <row r="1564" s="1" customFormat="1" ht="15" customHeight="1"/>
    <row r="1565" s="1" customFormat="1" ht="15" customHeight="1"/>
    <row r="1566" s="1" customFormat="1" ht="15" customHeight="1"/>
    <row r="1567" s="1" customFormat="1" ht="15" customHeight="1"/>
    <row r="1568" s="1" customFormat="1" ht="15" customHeight="1"/>
    <row r="1569" s="1" customFormat="1" ht="15" customHeight="1"/>
    <row r="1570" s="1" customFormat="1" ht="15" customHeight="1"/>
    <row r="1571" s="1" customFormat="1" ht="15" customHeight="1"/>
    <row r="1572" s="1" customFormat="1" ht="15" customHeight="1"/>
    <row r="1573" s="1" customFormat="1" ht="15" customHeight="1"/>
    <row r="1574" s="1" customFormat="1" ht="15" customHeight="1"/>
    <row r="1575" s="1" customFormat="1" ht="15" customHeight="1"/>
    <row r="1576" s="1" customFormat="1" ht="15" customHeight="1"/>
    <row r="1577" s="1" customFormat="1" ht="15" customHeight="1"/>
    <row r="1578" s="1" customFormat="1" ht="15" customHeight="1"/>
    <row r="1579" s="1" customFormat="1" ht="15" customHeight="1"/>
    <row r="1580" s="1" customFormat="1" ht="15" customHeight="1"/>
    <row r="1581" s="1" customFormat="1" ht="15" customHeight="1"/>
    <row r="1582" s="1" customFormat="1" ht="15" customHeight="1"/>
    <row r="1583" s="1" customFormat="1" ht="15" customHeight="1"/>
    <row r="1584" s="1" customFormat="1" ht="15" customHeight="1"/>
    <row r="1585" s="1" customFormat="1" ht="15" customHeight="1"/>
    <row r="1586" s="1" customFormat="1" ht="15" customHeight="1"/>
    <row r="1587" s="1" customFormat="1" ht="15" customHeight="1"/>
    <row r="1588" s="1" customFormat="1" ht="15" customHeight="1"/>
    <row r="1589" s="1" customFormat="1" ht="15" customHeight="1"/>
    <row r="1590" s="1" customFormat="1" ht="15" customHeight="1"/>
    <row r="1591" s="1" customFormat="1" ht="15" customHeight="1"/>
    <row r="1592" s="1" customFormat="1" ht="15" customHeight="1"/>
    <row r="1593" s="1" customFormat="1" ht="15" customHeight="1"/>
    <row r="1594" s="1" customFormat="1" ht="15" customHeight="1"/>
    <row r="1595" s="1" customFormat="1" ht="15" customHeight="1"/>
    <row r="1596" s="1" customFormat="1" ht="15" customHeight="1"/>
    <row r="1597" s="1" customFormat="1" ht="15" customHeight="1"/>
    <row r="1598" s="1" customFormat="1" ht="15" customHeight="1"/>
    <row r="1599" s="1" customFormat="1" ht="15" customHeight="1"/>
    <row r="1600" s="1" customFormat="1" ht="15" customHeight="1"/>
    <row r="1601" s="1" customFormat="1" ht="15" customHeight="1"/>
    <row r="1602" s="1" customFormat="1" ht="15" customHeight="1"/>
    <row r="1603" s="1" customFormat="1" ht="15" customHeight="1"/>
    <row r="1604" s="1" customFormat="1" ht="15" customHeight="1"/>
    <row r="1605" s="1" customFormat="1" ht="15" customHeight="1"/>
    <row r="1606" s="1" customFormat="1" ht="15" customHeight="1"/>
    <row r="1607" s="1" customFormat="1" ht="15" customHeight="1"/>
    <row r="1608" s="1" customFormat="1" ht="15" customHeight="1"/>
    <row r="1609" s="1" customFormat="1" ht="15" customHeight="1"/>
    <row r="1610" s="1" customFormat="1" ht="15" customHeight="1"/>
    <row r="1611" s="1" customFormat="1" ht="15" customHeight="1"/>
    <row r="1612" s="1" customFormat="1" ht="15" customHeight="1"/>
    <row r="1613" s="1" customFormat="1" ht="15" customHeight="1"/>
    <row r="1614" s="1" customFormat="1" ht="15" customHeight="1"/>
    <row r="1615" s="1" customFormat="1" ht="15" customHeight="1"/>
    <row r="1616" s="1" customFormat="1" ht="15" customHeight="1"/>
    <row r="1617" s="1" customFormat="1" ht="15" customHeight="1"/>
    <row r="1618" s="1" customFormat="1" ht="15" customHeight="1"/>
    <row r="1619" s="1" customFormat="1" ht="15" customHeight="1"/>
    <row r="1620" s="1" customFormat="1" ht="15" customHeight="1"/>
    <row r="1621" s="1" customFormat="1" ht="15" customHeight="1"/>
    <row r="1622" s="1" customFormat="1" ht="15" customHeight="1"/>
    <row r="1623" s="1" customFormat="1" ht="15" customHeight="1"/>
    <row r="1624" s="1" customFormat="1" ht="15" customHeight="1"/>
    <row r="1625" s="1" customFormat="1" ht="15" customHeight="1"/>
    <row r="1626" s="1" customFormat="1" ht="15" customHeight="1"/>
    <row r="1627" s="1" customFormat="1" ht="15" customHeight="1"/>
    <row r="1628" s="1" customFormat="1" ht="15" customHeight="1"/>
    <row r="1629" s="1" customFormat="1" ht="15" customHeight="1"/>
    <row r="1630" s="1" customFormat="1" ht="15" customHeight="1"/>
    <row r="1631" s="1" customFormat="1" ht="15" customHeight="1"/>
    <row r="1632" s="1" customFormat="1" ht="15" customHeight="1"/>
    <row r="1633" s="1" customFormat="1" ht="15" customHeight="1"/>
    <row r="1634" s="1" customFormat="1" ht="15" customHeight="1"/>
    <row r="1635" s="1" customFormat="1" ht="15" customHeight="1"/>
    <row r="1636" s="1" customFormat="1" ht="15" customHeight="1"/>
    <row r="1637" s="1" customFormat="1" ht="15" customHeight="1"/>
    <row r="1638" s="1" customFormat="1" ht="15" customHeight="1"/>
    <row r="1639" s="1" customFormat="1" ht="15" customHeight="1"/>
    <row r="1640" s="1" customFormat="1" ht="15" customHeight="1"/>
    <row r="1641" s="1" customFormat="1" ht="15" customHeight="1"/>
    <row r="1642" s="1" customFormat="1" ht="15" customHeight="1"/>
    <row r="1643" s="1" customFormat="1" ht="15" customHeight="1"/>
    <row r="1644" s="1" customFormat="1" ht="15" customHeight="1"/>
    <row r="1645" s="1" customFormat="1" ht="15" customHeight="1"/>
    <row r="1646" s="1" customFormat="1" ht="15" customHeight="1"/>
    <row r="1647" s="1" customFormat="1" ht="15" customHeight="1"/>
    <row r="1648" s="1" customFormat="1" ht="15" customHeight="1"/>
    <row r="1649" s="1" customFormat="1" ht="15" customHeight="1"/>
    <row r="1650" s="1" customFormat="1" ht="15" customHeight="1"/>
    <row r="1651" s="1" customFormat="1" ht="15" customHeight="1"/>
    <row r="1652" s="1" customFormat="1" ht="15" customHeight="1"/>
    <row r="1653" s="1" customFormat="1" ht="15" customHeight="1"/>
    <row r="1654" s="1" customFormat="1" ht="15" customHeight="1"/>
    <row r="1655" s="1" customFormat="1" ht="15" customHeight="1"/>
    <row r="1656" s="1" customFormat="1" ht="15" customHeight="1"/>
    <row r="1657" s="1" customFormat="1" ht="15" customHeight="1"/>
    <row r="1658" s="1" customFormat="1" ht="15" customHeight="1"/>
    <row r="1659" s="1" customFormat="1" ht="15" customHeight="1"/>
    <row r="1660" s="1" customFormat="1" ht="15" customHeight="1"/>
    <row r="1661" s="1" customFormat="1" ht="15" customHeight="1"/>
    <row r="1662" s="1" customFormat="1" ht="15" customHeight="1"/>
    <row r="1663" s="1" customFormat="1" ht="15" customHeight="1"/>
    <row r="1664" s="1" customFormat="1" ht="15" customHeight="1"/>
    <row r="1665" spans="1:24" s="1" customFormat="1" ht="15" customHeight="1"/>
    <row r="1666" spans="1:24" s="1" customFormat="1" ht="15" customHeight="1"/>
    <row r="1667" spans="1:24" s="1" customFormat="1" ht="15" customHeight="1">
      <c r="X1667"/>
    </row>
    <row r="1668" spans="1:24" s="1" customFormat="1" ht="15" customHeight="1">
      <c r="X1668"/>
    </row>
    <row r="1669" spans="1:24" s="1" customFormat="1" ht="15" customHeight="1">
      <c r="X1669"/>
    </row>
    <row r="1670" spans="1:24" s="1" customFormat="1" ht="15" customHeight="1">
      <c r="X1670"/>
    </row>
    <row r="1671" spans="1:24" s="1" customFormat="1" ht="15" customHeight="1">
      <c r="X1671"/>
    </row>
    <row r="1672" spans="1:24" s="1" customFormat="1" ht="15" customHeight="1">
      <c r="X1672"/>
    </row>
    <row r="1673" spans="1:24" s="1" customFormat="1" ht="15" customHeight="1">
      <c r="X1673"/>
    </row>
    <row r="1674" spans="1:24" s="1" customFormat="1" ht="15" customHeight="1">
      <c r="X1674"/>
    </row>
    <row r="1675" spans="1:24" s="1" customFormat="1" ht="15" customHeight="1">
      <c r="X1675"/>
    </row>
    <row r="1676" spans="1:24" s="1" customFormat="1" ht="15" customHeight="1">
      <c r="X1676"/>
    </row>
    <row r="1677" spans="1:24" s="1" customFormat="1" ht="15" customHeight="1">
      <c r="X1677"/>
    </row>
    <row r="1678" spans="1:24" s="1" customFormat="1" ht="15" customHeight="1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X1678"/>
    </row>
    <row r="1679" spans="1:24" s="1" customFormat="1" ht="15" customHeight="1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X1679"/>
    </row>
    <row r="1680" spans="1:24" s="1" customFormat="1" ht="15" customHeight="1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X1680"/>
    </row>
    <row r="1681" spans="1:50" s="1" customFormat="1" ht="15" customHeight="1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X1681"/>
      <c r="AI1681"/>
    </row>
    <row r="1682" spans="1:50" s="1" customFormat="1" ht="15" customHeight="1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X1682"/>
      <c r="AI1682"/>
    </row>
    <row r="1683" spans="1:50" s="1" customFormat="1" ht="15" customHeight="1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X1683"/>
      <c r="AI1683"/>
    </row>
    <row r="1684" spans="1:50" s="1" customFormat="1" ht="15" customHeight="1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X1684"/>
      <c r="AB1684"/>
      <c r="AC1684"/>
      <c r="AD1684"/>
      <c r="AE1684"/>
      <c r="AF1684"/>
      <c r="AG1684"/>
      <c r="AH1684"/>
      <c r="AI1684"/>
    </row>
    <row r="1685" spans="1:50" s="1" customFormat="1" ht="15" customHeight="1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X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</row>
    <row r="1686" spans="1:50" s="1" customFormat="1" ht="15" customHeight="1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X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</row>
    <row r="1687" spans="1:50" s="1" customFormat="1" ht="15" customHeight="1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X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</row>
    <row r="1688" spans="1:50" ht="15" customHeight="1"/>
    <row r="1689" spans="1:50" ht="15" customHeight="1"/>
    <row r="1690" spans="1:50" ht="15" customHeight="1"/>
    <row r="1691" spans="1:50" ht="15" customHeight="1"/>
    <row r="1692" spans="1:50" ht="15" customHeight="1"/>
    <row r="1693" spans="1:50" ht="15" customHeight="1"/>
    <row r="1694" spans="1:50" ht="15" customHeight="1"/>
    <row r="1695" spans="1:50" ht="15" customHeight="1"/>
    <row r="1696" spans="1:50" ht="15" customHeight="1"/>
    <row r="1697" ht="15" customHeight="1"/>
    <row r="1698" ht="15" customHeight="1"/>
    <row r="1699" ht="15" customHeight="1"/>
    <row r="1700" ht="15" customHeight="1"/>
    <row r="1701" ht="15" customHeight="1"/>
    <row r="1702" ht="15" customHeight="1"/>
    <row r="1703" ht="15" customHeight="1"/>
    <row r="1704" ht="15" customHeight="1"/>
    <row r="1705" ht="15" customHeight="1"/>
    <row r="1706" ht="15" customHeight="1"/>
    <row r="1707" ht="15" customHeight="1"/>
    <row r="1708" ht="15" customHeight="1"/>
    <row r="1709" ht="15" customHeight="1"/>
    <row r="1710" ht="15" customHeight="1"/>
    <row r="1711" ht="15" customHeight="1"/>
    <row r="1712" ht="15" customHeight="1"/>
    <row r="1713" ht="15" customHeight="1"/>
    <row r="1714" ht="15" customHeight="1"/>
    <row r="1715" ht="15" customHeight="1"/>
    <row r="1716" ht="15" customHeight="1"/>
    <row r="1717" ht="15" customHeight="1"/>
    <row r="1718" ht="15" customHeight="1"/>
    <row r="1719" ht="15" customHeight="1"/>
    <row r="1720" ht="15" customHeight="1"/>
    <row r="1721" ht="15" customHeight="1"/>
    <row r="1722" ht="15" customHeight="1"/>
    <row r="1723" ht="15" customHeight="1"/>
    <row r="1724" ht="15" customHeight="1"/>
    <row r="1725" ht="15" customHeight="1"/>
    <row r="1726" ht="15" customHeight="1"/>
    <row r="1727" ht="15" customHeight="1"/>
    <row r="1728" ht="15" customHeight="1"/>
    <row r="1729" ht="15" customHeight="1"/>
    <row r="1730" ht="15" customHeight="1"/>
    <row r="1731" ht="15" customHeight="1"/>
    <row r="1732" ht="15" customHeight="1"/>
    <row r="1733" ht="15" customHeight="1"/>
    <row r="1734" ht="15" customHeight="1"/>
    <row r="1735" ht="15" customHeight="1"/>
    <row r="1736" ht="15" customHeight="1"/>
    <row r="1737" ht="15" customHeight="1"/>
    <row r="1738" ht="15" customHeight="1"/>
    <row r="1739" ht="15" customHeight="1"/>
    <row r="1740" ht="15" customHeight="1"/>
    <row r="1741" ht="15" customHeight="1"/>
    <row r="1742" ht="15" customHeight="1"/>
    <row r="1743" ht="15" customHeight="1"/>
    <row r="1744" ht="15" customHeight="1"/>
    <row r="1745" ht="15" customHeight="1"/>
    <row r="1746" ht="15" customHeight="1"/>
    <row r="1747" ht="15" customHeight="1"/>
    <row r="1748" ht="15" customHeight="1"/>
    <row r="1749" ht="15" customHeight="1"/>
    <row r="1750" ht="15" customHeight="1"/>
    <row r="1751" ht="15" customHeight="1"/>
    <row r="1752" ht="15" customHeight="1"/>
    <row r="1753" ht="15" customHeight="1"/>
    <row r="1754" ht="15" customHeight="1"/>
    <row r="1755" ht="15" customHeight="1"/>
    <row r="1756" ht="15" customHeight="1"/>
    <row r="1757" ht="15" customHeight="1"/>
    <row r="1758" ht="15" customHeight="1"/>
    <row r="1759" ht="15" customHeight="1"/>
    <row r="1760" ht="15" customHeight="1"/>
    <row r="1761" ht="15" customHeight="1"/>
    <row r="1762" ht="15" customHeight="1"/>
    <row r="1763" ht="15" customHeight="1"/>
    <row r="1764" ht="15" customHeight="1"/>
    <row r="1765" ht="15" customHeight="1"/>
    <row r="1766" ht="15" customHeight="1"/>
    <row r="1767" ht="15" customHeight="1"/>
    <row r="1768" ht="15" customHeight="1"/>
    <row r="1769" ht="15" customHeight="1"/>
    <row r="1770" ht="15" customHeight="1"/>
    <row r="1771" ht="15" customHeight="1"/>
    <row r="1772" ht="15" customHeight="1"/>
    <row r="1773" ht="15" customHeight="1"/>
    <row r="1774" ht="15" customHeight="1"/>
    <row r="1775" ht="15" customHeight="1"/>
    <row r="1776" ht="15" customHeight="1"/>
    <row r="1777" ht="15" customHeight="1"/>
    <row r="1778" ht="15" customHeight="1"/>
    <row r="1779" ht="15" customHeight="1"/>
    <row r="1780" ht="15" customHeight="1"/>
    <row r="1781" ht="15" customHeight="1"/>
    <row r="1782" ht="15" customHeight="1"/>
    <row r="1783" ht="15" customHeight="1"/>
    <row r="1784" ht="15" customHeight="1"/>
    <row r="1785" ht="15" customHeight="1"/>
    <row r="1786" ht="15" customHeight="1"/>
    <row r="1787" ht="15" customHeight="1"/>
    <row r="1788" ht="15" customHeight="1"/>
    <row r="1789" ht="15" customHeight="1"/>
    <row r="1790" ht="15" customHeight="1"/>
    <row r="1791" ht="15" customHeight="1"/>
    <row r="1792" ht="15" customHeight="1"/>
    <row r="1793" ht="15" customHeight="1"/>
    <row r="1794" ht="15" customHeight="1"/>
    <row r="1795" ht="15" customHeight="1"/>
    <row r="1796" ht="15" customHeight="1"/>
    <row r="1797" ht="15" customHeight="1"/>
    <row r="1798" ht="15" customHeight="1"/>
    <row r="1799" ht="15" customHeight="1"/>
    <row r="1800" ht="15" customHeight="1"/>
    <row r="1801" ht="15" customHeight="1"/>
    <row r="1802" ht="15" customHeight="1"/>
    <row r="1803" ht="15" customHeight="1"/>
    <row r="1804" ht="15" customHeight="1"/>
    <row r="1805" ht="15" customHeight="1"/>
    <row r="1806" ht="15" customHeight="1"/>
    <row r="1807" ht="15" customHeight="1"/>
    <row r="1808" ht="15" customHeight="1"/>
    <row r="1809" ht="15" customHeight="1"/>
    <row r="1810" ht="15" customHeight="1"/>
    <row r="1811" ht="15" customHeight="1"/>
    <row r="1812" ht="15" customHeight="1"/>
    <row r="1813" ht="15" customHeight="1"/>
    <row r="1814" ht="15" customHeight="1"/>
    <row r="1815" ht="15" customHeight="1"/>
    <row r="1816" ht="15" customHeight="1"/>
    <row r="1817" ht="15" customHeight="1"/>
    <row r="1818" ht="15" customHeight="1"/>
    <row r="1819" ht="15" customHeight="1"/>
    <row r="1820" ht="15" customHeight="1"/>
    <row r="1821" ht="15" customHeight="1"/>
    <row r="1822" ht="15" customHeight="1"/>
    <row r="1823" ht="15" customHeight="1"/>
    <row r="1824" ht="15" customHeight="1"/>
    <row r="1825" ht="15" customHeight="1"/>
    <row r="1826" ht="15" customHeight="1"/>
    <row r="1827" ht="15" customHeight="1"/>
    <row r="1828" ht="15" customHeight="1"/>
    <row r="1829" ht="15" customHeight="1"/>
    <row r="1830" ht="15" customHeight="1"/>
    <row r="1831" ht="15" customHeight="1"/>
    <row r="1832" ht="15" customHeight="1"/>
    <row r="1833" ht="15" customHeight="1"/>
    <row r="1834" ht="15" customHeight="1"/>
    <row r="1835" ht="15" customHeight="1"/>
    <row r="1836" ht="15" customHeight="1"/>
    <row r="1837" ht="15" customHeight="1"/>
    <row r="1838" ht="15" customHeight="1"/>
    <row r="1839" ht="15" customHeight="1"/>
    <row r="1840" ht="15" customHeight="1"/>
    <row r="1841" ht="15" customHeight="1"/>
    <row r="1842" ht="15" customHeight="1"/>
    <row r="1843" ht="15" customHeight="1"/>
    <row r="1844" ht="15" customHeight="1"/>
    <row r="1845" ht="15" customHeight="1"/>
    <row r="1846" ht="15" customHeight="1"/>
    <row r="1847" ht="15" customHeight="1"/>
    <row r="1848" ht="15" customHeight="1"/>
    <row r="1849" ht="15" customHeight="1"/>
    <row r="1850" ht="15" customHeight="1"/>
    <row r="1851" ht="15" customHeight="1"/>
    <row r="1852" ht="15" customHeight="1"/>
    <row r="1853" ht="15" customHeight="1"/>
    <row r="1854" ht="15" customHeight="1"/>
    <row r="1855" ht="15" customHeight="1"/>
    <row r="1856" ht="15" customHeight="1"/>
    <row r="1857" ht="15" customHeight="1"/>
    <row r="1858" ht="15" customHeight="1"/>
    <row r="1859" ht="15" customHeight="1"/>
    <row r="1860" ht="15" customHeight="1"/>
    <row r="1861" ht="15" customHeight="1"/>
    <row r="1862" ht="15" customHeight="1"/>
    <row r="1863" ht="15" customHeight="1"/>
    <row r="1864" ht="15" customHeight="1"/>
    <row r="1865" ht="15" customHeight="1"/>
    <row r="1866" ht="15" customHeight="1"/>
    <row r="1867" ht="15" customHeight="1"/>
    <row r="1868" ht="15" customHeight="1"/>
    <row r="1869" ht="15" customHeight="1"/>
    <row r="1870" ht="15" customHeight="1"/>
    <row r="1871" ht="15" customHeight="1"/>
    <row r="1872" ht="15" customHeight="1"/>
    <row r="1873" ht="15" customHeight="1"/>
    <row r="1874" ht="15" customHeight="1"/>
    <row r="1875" ht="15" customHeight="1"/>
    <row r="1876" ht="15" customHeight="1"/>
    <row r="1877" ht="15" customHeight="1"/>
    <row r="1878" ht="15" customHeight="1"/>
    <row r="1879" ht="15" customHeight="1"/>
    <row r="1880" ht="15" customHeight="1"/>
    <row r="1881" ht="15" customHeight="1"/>
    <row r="1882" ht="15" customHeight="1"/>
    <row r="1883" ht="15" customHeight="1"/>
    <row r="1884" ht="15" customHeight="1"/>
    <row r="1885" ht="15" customHeight="1"/>
    <row r="1886" ht="15" customHeight="1"/>
    <row r="1887" ht="15" customHeight="1"/>
    <row r="1888" ht="15" customHeight="1"/>
    <row r="1889" ht="15" customHeight="1"/>
    <row r="1890" ht="15" customHeight="1"/>
    <row r="1891" ht="15" customHeight="1"/>
    <row r="1892" ht="15" customHeight="1"/>
    <row r="1893" ht="15" customHeight="1"/>
    <row r="1894" ht="15" customHeight="1"/>
    <row r="1895" ht="15" customHeight="1"/>
    <row r="1896" ht="15" customHeight="1"/>
    <row r="1897" ht="15" customHeight="1"/>
    <row r="1898" ht="15" customHeight="1"/>
    <row r="1899" ht="15" customHeight="1"/>
    <row r="1900" ht="15" customHeight="1"/>
    <row r="1901" ht="15" customHeight="1"/>
    <row r="1902" ht="15" customHeight="1"/>
    <row r="1903" ht="15" customHeight="1"/>
    <row r="1904" ht="15" customHeight="1"/>
    <row r="1905" ht="15" customHeight="1"/>
    <row r="1906" ht="15" customHeight="1"/>
    <row r="1907" ht="15" customHeight="1"/>
    <row r="1908" ht="15" customHeight="1"/>
    <row r="1909" ht="15" customHeight="1"/>
    <row r="1910" ht="15" customHeight="1"/>
    <row r="1911" ht="15" customHeight="1"/>
    <row r="1912" ht="15" customHeight="1"/>
    <row r="1913" ht="15" customHeight="1"/>
    <row r="1914" ht="15" customHeight="1"/>
    <row r="1915" ht="15" customHeight="1"/>
    <row r="1916" ht="15" customHeight="1"/>
    <row r="1917" ht="15" customHeight="1"/>
    <row r="1918" ht="15" customHeight="1"/>
    <row r="1919" ht="15" customHeight="1"/>
    <row r="1920" ht="15" customHeight="1"/>
    <row r="1921" ht="15" customHeight="1"/>
    <row r="1922" ht="15" customHeight="1"/>
    <row r="1923" ht="15" customHeight="1"/>
    <row r="1924" ht="15" customHeight="1"/>
    <row r="1925" ht="15" customHeight="1"/>
    <row r="1926" ht="15" customHeight="1"/>
    <row r="1927" ht="15" customHeight="1"/>
    <row r="1928" ht="15" customHeight="1"/>
    <row r="1929" ht="15" customHeight="1"/>
    <row r="1930" ht="15" customHeight="1"/>
    <row r="1931" ht="15" customHeight="1"/>
    <row r="1932" ht="15" customHeight="1"/>
    <row r="1933" ht="15" customHeight="1"/>
    <row r="1934" ht="15" customHeight="1"/>
    <row r="1935" ht="15" customHeight="1"/>
    <row r="1936" ht="15" customHeight="1"/>
    <row r="1937" ht="15" customHeight="1"/>
    <row r="1938" ht="15" customHeight="1"/>
    <row r="1939" ht="15" customHeight="1"/>
    <row r="1940" ht="15" customHeight="1"/>
    <row r="1941" ht="15" customHeight="1"/>
    <row r="1942" ht="15" customHeight="1"/>
    <row r="1943" ht="15" customHeight="1"/>
    <row r="1944" ht="15" customHeight="1"/>
    <row r="1945" ht="15" customHeight="1"/>
    <row r="1946" ht="15" customHeight="1"/>
    <row r="1947" ht="15" customHeight="1"/>
    <row r="1948" ht="15" customHeight="1"/>
    <row r="1949" ht="15" customHeight="1"/>
    <row r="1950" ht="15" customHeight="1"/>
    <row r="1951" ht="15" customHeight="1"/>
    <row r="1952" ht="15" customHeight="1"/>
    <row r="1953" ht="15" customHeight="1"/>
    <row r="1954" ht="15" customHeight="1"/>
    <row r="1955" ht="15" customHeight="1"/>
    <row r="1956" ht="15" customHeight="1"/>
    <row r="1957" ht="15" customHeight="1"/>
    <row r="1958" ht="15" customHeight="1"/>
    <row r="1959" ht="15" customHeight="1"/>
    <row r="1960" ht="15" customHeight="1"/>
    <row r="1961" ht="15" customHeight="1"/>
    <row r="1962" ht="15" customHeight="1"/>
    <row r="1963" ht="15" customHeight="1"/>
    <row r="1964" ht="15" customHeight="1"/>
    <row r="1965" ht="15" customHeight="1"/>
    <row r="1966" ht="15" customHeight="1"/>
    <row r="1967" ht="15" customHeight="1"/>
    <row r="1968" ht="15" customHeight="1"/>
    <row r="1969" ht="15" customHeight="1"/>
    <row r="1970" ht="15" customHeight="1"/>
    <row r="1971" ht="15" customHeight="1"/>
    <row r="1972" ht="15" customHeight="1"/>
    <row r="1973" ht="15" customHeight="1"/>
    <row r="1974" ht="15" customHeight="1"/>
    <row r="1975" ht="15" customHeight="1"/>
    <row r="1976" ht="15" customHeight="1"/>
    <row r="1977" ht="15" customHeight="1"/>
    <row r="1978" ht="15" customHeight="1"/>
    <row r="1979" ht="15" customHeight="1"/>
    <row r="1980" ht="15" customHeight="1"/>
    <row r="1981" ht="15" customHeight="1"/>
    <row r="1982" ht="15" customHeight="1"/>
    <row r="1983" ht="15" customHeight="1"/>
    <row r="1984" ht="15" customHeight="1"/>
    <row r="1985" ht="15" customHeight="1"/>
    <row r="1986" ht="15" customHeight="1"/>
    <row r="1987" ht="15" customHeight="1"/>
    <row r="1988" ht="15" customHeight="1"/>
    <row r="1989" ht="15" customHeight="1"/>
    <row r="1990" ht="15" customHeight="1"/>
    <row r="1991" ht="15" customHeight="1"/>
    <row r="1992" ht="15" customHeight="1"/>
    <row r="1993" ht="15" customHeight="1"/>
    <row r="1994" ht="15" customHeight="1"/>
    <row r="1995" ht="15" customHeight="1"/>
    <row r="1996" ht="15" customHeight="1"/>
    <row r="1997" ht="15" customHeight="1"/>
    <row r="1998" ht="15" customHeight="1"/>
    <row r="1999" ht="15" customHeight="1"/>
    <row r="2000" ht="15" customHeight="1"/>
    <row r="2001" ht="15" customHeight="1"/>
    <row r="2002" ht="15" customHeight="1"/>
    <row r="2003" ht="15" customHeight="1"/>
    <row r="2004" ht="15" customHeight="1"/>
    <row r="2005" ht="15" customHeight="1"/>
    <row r="2006" ht="15" customHeight="1"/>
    <row r="2007" ht="15" customHeight="1"/>
    <row r="2008" ht="15" customHeight="1"/>
    <row r="2009" ht="15" customHeight="1"/>
    <row r="2010" ht="15" customHeight="1"/>
    <row r="2011" ht="15" customHeight="1"/>
    <row r="2012" ht="15" customHeight="1"/>
    <row r="2013" ht="15" customHeight="1"/>
    <row r="2014" ht="15" customHeight="1"/>
    <row r="2015" ht="15" customHeight="1"/>
    <row r="2016" ht="15" customHeight="1"/>
    <row r="2017" ht="15" customHeight="1"/>
    <row r="2018" ht="15" customHeight="1"/>
    <row r="2019" ht="15" customHeight="1"/>
    <row r="2020" ht="15" customHeight="1"/>
    <row r="2021" ht="15" customHeight="1"/>
    <row r="2022" ht="15" customHeight="1"/>
    <row r="2023" ht="15" customHeight="1"/>
    <row r="2024" ht="15" customHeight="1"/>
    <row r="2025" ht="15" customHeight="1"/>
    <row r="2026" ht="15" customHeight="1"/>
    <row r="2027" ht="15" customHeight="1"/>
    <row r="2028" ht="15" customHeight="1"/>
    <row r="2029" ht="15" customHeight="1"/>
    <row r="2030" ht="15" customHeight="1"/>
    <row r="2031" ht="15" customHeight="1"/>
    <row r="2032" ht="15" customHeight="1"/>
    <row r="2033" ht="15" customHeight="1"/>
    <row r="2034" ht="15" customHeight="1"/>
    <row r="2035" ht="15" customHeight="1"/>
    <row r="2036" ht="15" customHeight="1"/>
    <row r="2037" ht="15" customHeight="1"/>
    <row r="2038" ht="15" customHeight="1"/>
    <row r="2039" ht="15" customHeight="1"/>
    <row r="2040" ht="15" customHeight="1"/>
    <row r="2041" ht="15" customHeight="1"/>
    <row r="2042" ht="15" customHeight="1"/>
    <row r="2043" ht="15" customHeight="1"/>
    <row r="2044" ht="15" customHeight="1"/>
    <row r="2045" ht="15" customHeight="1"/>
    <row r="2046" ht="15" customHeight="1"/>
    <row r="2047" ht="15" customHeight="1"/>
    <row r="2048" ht="15" customHeight="1"/>
    <row r="2049" ht="15" customHeight="1"/>
    <row r="2050" ht="15" customHeight="1"/>
    <row r="2051" ht="15" customHeight="1"/>
    <row r="2052" ht="15" customHeight="1"/>
    <row r="2053" ht="15" customHeight="1"/>
    <row r="2054" ht="15" customHeight="1"/>
    <row r="2055" ht="15" customHeight="1"/>
    <row r="2056" ht="15" customHeight="1"/>
    <row r="2057" ht="15" customHeight="1"/>
    <row r="2058" ht="15" customHeight="1"/>
    <row r="2059" ht="15" customHeight="1"/>
    <row r="2060" ht="15" customHeight="1"/>
    <row r="2061" ht="15" customHeight="1"/>
    <row r="2062" ht="15" customHeight="1"/>
    <row r="2063" ht="15" customHeight="1"/>
    <row r="2064" ht="15" customHeight="1"/>
    <row r="2065" ht="15" customHeight="1"/>
    <row r="2066" ht="15" customHeight="1"/>
    <row r="2067" ht="15" customHeight="1"/>
    <row r="2068" ht="15" customHeight="1"/>
    <row r="2069" ht="15" customHeight="1"/>
    <row r="2070" ht="15" customHeight="1"/>
    <row r="2071" ht="15" customHeight="1"/>
    <row r="2072" ht="15" customHeight="1"/>
    <row r="2073" ht="15" customHeight="1"/>
    <row r="2074" ht="15" customHeight="1"/>
    <row r="2075" ht="15" customHeight="1"/>
    <row r="2076" ht="15" customHeight="1"/>
    <row r="2077" ht="15" customHeight="1"/>
    <row r="2078" ht="15" customHeight="1"/>
    <row r="2079" ht="15" customHeight="1"/>
    <row r="2080" ht="15" customHeight="1"/>
    <row r="2081" ht="15" customHeight="1"/>
    <row r="2082" ht="15" customHeight="1"/>
    <row r="2083" ht="15" customHeight="1"/>
    <row r="2084" ht="15" customHeight="1"/>
    <row r="2085" ht="15" customHeight="1"/>
    <row r="2086" ht="15" customHeight="1"/>
    <row r="2087" ht="15" customHeight="1"/>
    <row r="2088" ht="15" customHeight="1"/>
    <row r="2089" ht="15" customHeight="1"/>
    <row r="2090" ht="15" customHeight="1"/>
    <row r="2091" ht="15" customHeight="1"/>
    <row r="2092" ht="15" customHeight="1"/>
    <row r="2093" ht="15" customHeight="1"/>
    <row r="2094" ht="15" customHeight="1"/>
    <row r="2095" ht="15" customHeight="1"/>
    <row r="2096" ht="15" customHeight="1"/>
    <row r="2097" ht="15" customHeight="1"/>
    <row r="2098" ht="15" customHeight="1"/>
    <row r="2099" ht="15" customHeight="1"/>
    <row r="2100" ht="15" customHeight="1"/>
  </sheetData>
  <mergeCells count="40">
    <mergeCell ref="H97:I97"/>
    <mergeCell ref="M97:N97"/>
    <mergeCell ref="Q102:R102"/>
    <mergeCell ref="Q106:R106"/>
    <mergeCell ref="C98:D98"/>
    <mergeCell ref="H98:I98"/>
    <mergeCell ref="M98:N98"/>
    <mergeCell ref="Q103:R103"/>
    <mergeCell ref="C101:D101"/>
    <mergeCell ref="H101:I101"/>
    <mergeCell ref="J101:K101"/>
    <mergeCell ref="N101:O101"/>
    <mergeCell ref="A99:O99"/>
    <mergeCell ref="A100:O100"/>
    <mergeCell ref="C97:D97"/>
    <mergeCell ref="A96:O96"/>
    <mergeCell ref="A51:C51"/>
    <mergeCell ref="N51:O51"/>
    <mergeCell ref="A64:D64"/>
    <mergeCell ref="E64:F64"/>
    <mergeCell ref="K64:M64"/>
    <mergeCell ref="N64:O64"/>
    <mergeCell ref="J83:M83"/>
    <mergeCell ref="A72:C72"/>
    <mergeCell ref="A75:C75"/>
    <mergeCell ref="A76:C76"/>
    <mergeCell ref="D76:E76"/>
    <mergeCell ref="D80:E80"/>
    <mergeCell ref="A11:O12"/>
    <mergeCell ref="A13:O13"/>
    <mergeCell ref="A56:O58"/>
    <mergeCell ref="A60:O60"/>
    <mergeCell ref="A61:O61"/>
    <mergeCell ref="A17:C17"/>
    <mergeCell ref="H37:L37"/>
    <mergeCell ref="A39:C39"/>
    <mergeCell ref="A44:C44"/>
    <mergeCell ref="A46:C46"/>
    <mergeCell ref="N34:O34"/>
    <mergeCell ref="N33:O33"/>
  </mergeCells>
  <conditionalFormatting sqref="D27">
    <cfRule type="containsBlanks" dxfId="17" priority="13">
      <formula>LEN(TRIM(D27))=0</formula>
    </cfRule>
  </conditionalFormatting>
  <conditionalFormatting sqref="D29">
    <cfRule type="containsBlanks" dxfId="16" priority="12">
      <formula>LEN(TRIM(D29))=0</formula>
    </cfRule>
  </conditionalFormatting>
  <conditionalFormatting sqref="D31">
    <cfRule type="containsBlanks" dxfId="15" priority="11">
      <formula>LEN(TRIM(D31))=0</formula>
    </cfRule>
  </conditionalFormatting>
  <conditionalFormatting sqref="H37">
    <cfRule type="containsBlanks" dxfId="14" priority="10">
      <formula>LEN(TRIM(H37))=0</formula>
    </cfRule>
  </conditionalFormatting>
  <conditionalFormatting sqref="N33:N34">
    <cfRule type="containsBlanks" dxfId="13" priority="9">
      <formula>LEN(TRIM(N33))=0</formula>
    </cfRule>
  </conditionalFormatting>
  <conditionalFormatting sqref="D44">
    <cfRule type="containsBlanks" dxfId="12" priority="8">
      <formula>LEN(TRIM(D44))=0</formula>
    </cfRule>
  </conditionalFormatting>
  <conditionalFormatting sqref="D39">
    <cfRule type="containsBlanks" dxfId="11" priority="7">
      <formula>LEN(TRIM(D39))=0</formula>
    </cfRule>
  </conditionalFormatting>
  <conditionalFormatting sqref="D51">
    <cfRule type="containsBlanks" dxfId="10" priority="6">
      <formula>LEN(TRIM(D51))=0</formula>
    </cfRule>
  </conditionalFormatting>
  <conditionalFormatting sqref="D25">
    <cfRule type="containsBlanks" dxfId="9" priority="4">
      <formula>LEN(TRIM(D25))=0</formula>
    </cfRule>
  </conditionalFormatting>
  <conditionalFormatting sqref="D31">
    <cfRule type="containsBlanks" dxfId="8" priority="3">
      <formula>LEN(TRIM(D31))=0</formula>
    </cfRule>
  </conditionalFormatting>
  <conditionalFormatting sqref="D33">
    <cfRule type="containsBlanks" dxfId="7" priority="2">
      <formula>LEN(TRIM(D33))=0</formula>
    </cfRule>
  </conditionalFormatting>
  <conditionalFormatting sqref="D35">
    <cfRule type="containsBlanks" dxfId="6" priority="1">
      <formula>LEN(TRIM(D35))=0</formula>
    </cfRule>
  </conditionalFormatting>
  <printOptions horizontalCentered="1"/>
  <pageMargins left="0.39370078740157483" right="0.39370078740157483" top="0.39370078740157483" bottom="0.39370078740157483" header="0.31496062992125984" footer="0.31496062992125984"/>
  <pageSetup paperSize="9" scale="93" fitToHeight="0" pageOrder="overThenDown" orientation="portrait" r:id="rId1"/>
  <headerFooter alignWithMargins="0">
    <oddFooter>&amp;RPage &amp;P/&amp;N</oddFooter>
  </headerFooter>
  <rowBreaks count="1" manualBreakCount="1">
    <brk id="58" max="14" man="1"/>
  </row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13">
    <pageSetUpPr fitToPage="1"/>
  </sheetPr>
  <dimension ref="A2:AN16383"/>
  <sheetViews>
    <sheetView zoomScale="85" zoomScaleNormal="85" workbookViewId="0">
      <selection activeCell="A2" sqref="A2:V2"/>
    </sheetView>
  </sheetViews>
  <sheetFormatPr baseColWidth="10" defaultRowHeight="12.75"/>
  <cols>
    <col min="1" max="1" width="8.7109375" style="175" customWidth="1"/>
    <col min="2" max="2" width="0" style="175" hidden="1" customWidth="1"/>
    <col min="3" max="4" width="5.7109375" style="175" customWidth="1"/>
    <col min="5" max="6" width="6.7109375" style="175" customWidth="1"/>
    <col min="7" max="8" width="7.28515625" style="175" customWidth="1"/>
    <col min="9" max="9" width="5.7109375" style="175" customWidth="1"/>
    <col min="10" max="11" width="6.7109375" style="175" customWidth="1"/>
    <col min="12" max="12" width="5.7109375" style="175" customWidth="1"/>
    <col min="13" max="14" width="6.7109375" style="175" customWidth="1"/>
    <col min="15" max="15" width="5.7109375" style="175" customWidth="1"/>
    <col min="16" max="17" width="6.7109375" style="175" customWidth="1"/>
    <col min="18" max="18" width="5.7109375" style="175" customWidth="1"/>
    <col min="19" max="23" width="6.7109375" style="175" customWidth="1"/>
    <col min="24" max="24" width="5.7109375" style="175" customWidth="1"/>
    <col min="25" max="25" width="6.7109375" style="175" customWidth="1"/>
    <col min="26" max="35" width="3.7109375" style="191" customWidth="1"/>
    <col min="36" max="36" width="16.5703125" style="175" bestFit="1" customWidth="1"/>
    <col min="37" max="16384" width="11.42578125" style="175"/>
  </cols>
  <sheetData>
    <row r="2" spans="1:40" s="168" customFormat="1" ht="23.1" customHeight="1">
      <c r="A2" s="215" t="s">
        <v>28</v>
      </c>
      <c r="B2" s="215"/>
      <c r="C2" s="215"/>
      <c r="D2" s="215"/>
      <c r="E2" s="215"/>
      <c r="F2" s="215"/>
      <c r="G2" s="215"/>
      <c r="H2" s="215"/>
      <c r="I2" s="215"/>
      <c r="J2" s="215"/>
      <c r="K2" s="215"/>
      <c r="L2" s="215"/>
      <c r="M2" s="215"/>
      <c r="N2" s="215"/>
      <c r="O2" s="215"/>
      <c r="P2" s="215"/>
      <c r="Q2" s="215"/>
      <c r="R2" s="215"/>
      <c r="S2" s="215"/>
      <c r="T2" s="215"/>
      <c r="U2" s="215"/>
      <c r="V2" s="215"/>
      <c r="W2" s="167"/>
      <c r="X2" s="167"/>
      <c r="Y2" s="167"/>
    </row>
    <row r="3" spans="1:40" s="168" customFormat="1" ht="18" customHeight="1">
      <c r="A3" s="215" t="str">
        <f>'Rapport d''essai dimensionnel'!A13</f>
        <v xml:space="preserve">N° </v>
      </c>
      <c r="B3" s="215"/>
      <c r="C3" s="215"/>
      <c r="D3" s="215"/>
      <c r="E3" s="215"/>
      <c r="F3" s="215"/>
      <c r="G3" s="215"/>
      <c r="H3" s="215"/>
      <c r="I3" s="215"/>
      <c r="J3" s="215"/>
      <c r="K3" s="215"/>
      <c r="L3" s="215"/>
      <c r="M3" s="215"/>
      <c r="N3" s="215"/>
      <c r="O3" s="215"/>
      <c r="P3" s="215"/>
      <c r="Q3" s="215"/>
      <c r="R3" s="215"/>
      <c r="S3" s="215"/>
      <c r="T3" s="215"/>
      <c r="U3" s="215"/>
      <c r="V3" s="215"/>
      <c r="W3" s="169"/>
      <c r="X3" s="169"/>
      <c r="Y3" s="169"/>
      <c r="AK3" s="170" t="s">
        <v>103</v>
      </c>
      <c r="AL3" s="170"/>
      <c r="AM3" s="170"/>
      <c r="AN3" s="171"/>
    </row>
    <row r="4" spans="1:40" s="168" customFormat="1" ht="19.5" customHeight="1">
      <c r="A4" s="169"/>
      <c r="B4" s="169"/>
      <c r="C4" s="169"/>
      <c r="D4" s="169"/>
      <c r="E4" s="169"/>
      <c r="F4" s="169"/>
      <c r="G4" s="169"/>
      <c r="H4" s="169"/>
      <c r="I4" s="169"/>
      <c r="J4" s="169"/>
      <c r="K4" s="169"/>
      <c r="L4" s="169"/>
      <c r="M4" s="169"/>
      <c r="N4" s="169"/>
      <c r="O4" s="169"/>
      <c r="P4" s="169"/>
      <c r="Q4" s="169"/>
      <c r="R4" s="169"/>
      <c r="S4" s="169"/>
      <c r="T4" s="169"/>
      <c r="U4" s="169"/>
      <c r="V4" s="169"/>
      <c r="W4" s="169"/>
      <c r="X4" s="169"/>
      <c r="Y4" s="169"/>
    </row>
    <row r="5" spans="1:40" ht="21.75" customHeight="1">
      <c r="A5" s="216" t="s">
        <v>104</v>
      </c>
      <c r="B5" s="217"/>
      <c r="C5" s="217"/>
      <c r="D5" s="217"/>
      <c r="E5" s="217"/>
      <c r="F5" s="217"/>
      <c r="G5" s="217"/>
      <c r="H5" s="217"/>
      <c r="I5" s="217"/>
      <c r="J5" s="217"/>
      <c r="K5" s="217"/>
      <c r="L5" s="217"/>
      <c r="M5" s="217"/>
      <c r="N5" s="217"/>
      <c r="O5" s="217"/>
      <c r="P5" s="217"/>
      <c r="Q5" s="217"/>
      <c r="R5" s="217"/>
      <c r="S5" s="217"/>
      <c r="T5" s="217"/>
      <c r="U5" s="217"/>
      <c r="V5" s="218"/>
      <c r="W5" s="172"/>
      <c r="X5" s="172"/>
      <c r="Y5" s="172"/>
      <c r="Z5" s="173"/>
      <c r="AA5" s="173"/>
      <c r="AB5" s="174"/>
      <c r="AC5" s="174"/>
      <c r="AD5" s="175"/>
      <c r="AE5" s="175"/>
      <c r="AF5" s="175"/>
      <c r="AG5" s="175"/>
      <c r="AH5" s="175"/>
      <c r="AI5" s="175"/>
    </row>
    <row r="6" spans="1:40" ht="6.95" customHeight="1">
      <c r="A6" s="176"/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8"/>
      <c r="W6" s="177"/>
      <c r="X6" s="177"/>
      <c r="Y6" s="177"/>
      <c r="Z6" s="173"/>
      <c r="AA6" s="173"/>
      <c r="AB6" s="173"/>
      <c r="AC6" s="174"/>
      <c r="AD6" s="174"/>
      <c r="AE6" s="175"/>
      <c r="AF6" s="175"/>
      <c r="AG6" s="175"/>
      <c r="AH6" s="175"/>
      <c r="AI6" s="175"/>
    </row>
    <row r="7" spans="1:40" s="185" customFormat="1" ht="15" customHeight="1">
      <c r="A7" s="179"/>
      <c r="B7" s="180"/>
      <c r="C7" s="180"/>
      <c r="D7" s="180"/>
      <c r="E7" s="181"/>
      <c r="F7" s="181"/>
      <c r="G7" s="180"/>
      <c r="H7" s="180"/>
      <c r="I7" s="182"/>
      <c r="J7" s="180"/>
      <c r="K7" s="180"/>
      <c r="L7" s="182"/>
      <c r="M7" s="180"/>
      <c r="N7" s="180"/>
      <c r="O7" s="182"/>
      <c r="P7" s="180"/>
      <c r="Q7" s="180"/>
      <c r="R7" s="182"/>
      <c r="S7" s="180"/>
      <c r="T7" s="180"/>
      <c r="U7" s="180"/>
      <c r="V7" s="183"/>
      <c r="W7" s="180"/>
      <c r="X7" s="182"/>
      <c r="Y7" s="180"/>
      <c r="Z7" s="184"/>
      <c r="AA7" s="184"/>
      <c r="AB7" s="184"/>
      <c r="AC7" s="184"/>
      <c r="AD7" s="184"/>
      <c r="AE7" s="184"/>
      <c r="AF7" s="184"/>
      <c r="AG7" s="184"/>
      <c r="AH7" s="184"/>
      <c r="AI7" s="184"/>
    </row>
    <row r="8" spans="1:40" s="185" customFormat="1" ht="15" customHeight="1">
      <c r="A8" s="179"/>
      <c r="B8" s="180"/>
      <c r="C8" s="180"/>
      <c r="D8" s="180"/>
      <c r="E8" s="181"/>
      <c r="F8" s="181"/>
      <c r="G8" s="180"/>
      <c r="H8" s="180"/>
      <c r="I8" s="182"/>
      <c r="J8" s="180"/>
      <c r="K8" s="180"/>
      <c r="L8" s="182"/>
      <c r="M8" s="180"/>
      <c r="N8" s="180"/>
      <c r="O8" s="182"/>
      <c r="P8" s="180"/>
      <c r="Q8" s="180"/>
      <c r="R8" s="182"/>
      <c r="S8" s="180"/>
      <c r="T8" s="180"/>
      <c r="U8" s="180"/>
      <c r="V8" s="183"/>
      <c r="W8" s="180"/>
      <c r="X8" s="182"/>
      <c r="Y8" s="180"/>
      <c r="Z8" s="184"/>
      <c r="AA8" s="184"/>
      <c r="AB8" s="184"/>
      <c r="AC8" s="184"/>
      <c r="AD8" s="184"/>
      <c r="AE8" s="184"/>
      <c r="AF8" s="184"/>
      <c r="AG8" s="184"/>
      <c r="AH8" s="184"/>
      <c r="AI8" s="184"/>
    </row>
    <row r="9" spans="1:40" s="185" customFormat="1" ht="15" customHeight="1">
      <c r="A9" s="179"/>
      <c r="B9" s="180"/>
      <c r="C9" s="180"/>
      <c r="D9" s="180"/>
      <c r="E9" s="181"/>
      <c r="F9" s="181"/>
      <c r="G9" s="180"/>
      <c r="H9" s="180"/>
      <c r="I9" s="182"/>
      <c r="J9" s="180"/>
      <c r="K9" s="180"/>
      <c r="L9" s="182"/>
      <c r="M9" s="180"/>
      <c r="N9" s="180"/>
      <c r="O9" s="182"/>
      <c r="P9" s="180"/>
      <c r="Q9" s="180"/>
      <c r="R9" s="182"/>
      <c r="S9" s="180"/>
      <c r="T9" s="180"/>
      <c r="U9" s="180"/>
      <c r="V9" s="183"/>
      <c r="W9" s="180"/>
      <c r="X9" s="182"/>
      <c r="Y9" s="180"/>
      <c r="Z9" s="184"/>
      <c r="AA9" s="184"/>
      <c r="AB9" s="184"/>
      <c r="AC9" s="184"/>
      <c r="AD9" s="184"/>
      <c r="AE9" s="184"/>
      <c r="AF9" s="184"/>
      <c r="AG9" s="184"/>
      <c r="AH9" s="184"/>
      <c r="AI9" s="184"/>
    </row>
    <row r="10" spans="1:40" s="185" customFormat="1" ht="15" customHeight="1">
      <c r="A10" s="179"/>
      <c r="B10" s="180"/>
      <c r="C10" s="180"/>
      <c r="D10" s="180"/>
      <c r="E10" s="181"/>
      <c r="F10" s="181"/>
      <c r="G10" s="180"/>
      <c r="H10" s="180"/>
      <c r="I10" s="182"/>
      <c r="J10" s="180"/>
      <c r="K10" s="180"/>
      <c r="L10" s="182"/>
      <c r="M10" s="180"/>
      <c r="N10" s="180"/>
      <c r="O10" s="182"/>
      <c r="P10" s="180"/>
      <c r="Q10" s="180"/>
      <c r="R10" s="182"/>
      <c r="S10" s="180"/>
      <c r="T10" s="180"/>
      <c r="U10" s="180"/>
      <c r="V10" s="183"/>
      <c r="W10" s="180"/>
      <c r="X10" s="182"/>
      <c r="Y10" s="180"/>
      <c r="Z10" s="184"/>
      <c r="AA10" s="184"/>
      <c r="AB10" s="184"/>
      <c r="AC10" s="184"/>
      <c r="AD10" s="184"/>
      <c r="AE10" s="184"/>
      <c r="AF10" s="184"/>
      <c r="AG10" s="184"/>
      <c r="AH10" s="184"/>
      <c r="AI10" s="184"/>
    </row>
    <row r="11" spans="1:40" s="185" customFormat="1" ht="15" customHeight="1">
      <c r="A11" s="179"/>
      <c r="B11" s="180"/>
      <c r="C11" s="180"/>
      <c r="D11" s="180"/>
      <c r="E11" s="181"/>
      <c r="F11" s="181"/>
      <c r="G11" s="180"/>
      <c r="H11" s="180"/>
      <c r="I11" s="182"/>
      <c r="J11" s="180"/>
      <c r="K11" s="180"/>
      <c r="L11" s="182"/>
      <c r="M11" s="180"/>
      <c r="N11" s="180"/>
      <c r="O11" s="182"/>
      <c r="P11" s="180"/>
      <c r="Q11" s="180"/>
      <c r="R11" s="182"/>
      <c r="S11" s="180"/>
      <c r="T11" s="180"/>
      <c r="U11" s="180"/>
      <c r="V11" s="183"/>
      <c r="W11" s="180"/>
      <c r="X11" s="182"/>
      <c r="Y11" s="180"/>
      <c r="Z11" s="184"/>
      <c r="AA11" s="184"/>
      <c r="AB11" s="184"/>
      <c r="AC11" s="184"/>
      <c r="AD11" s="184"/>
      <c r="AE11" s="184"/>
      <c r="AF11" s="184"/>
      <c r="AG11" s="184"/>
      <c r="AH11" s="184"/>
      <c r="AI11" s="184"/>
    </row>
    <row r="12" spans="1:40" s="185" customFormat="1" ht="15" customHeight="1">
      <c r="A12" s="179"/>
      <c r="B12" s="180"/>
      <c r="C12" s="180"/>
      <c r="D12" s="180"/>
      <c r="E12" s="181"/>
      <c r="F12" s="181"/>
      <c r="G12" s="180"/>
      <c r="H12" s="180"/>
      <c r="I12" s="182"/>
      <c r="J12" s="180"/>
      <c r="K12" s="180"/>
      <c r="L12" s="182"/>
      <c r="M12" s="180"/>
      <c r="N12" s="180"/>
      <c r="O12" s="182"/>
      <c r="P12" s="180"/>
      <c r="Q12" s="180"/>
      <c r="R12" s="182"/>
      <c r="S12" s="180"/>
      <c r="T12" s="180"/>
      <c r="U12" s="180"/>
      <c r="V12" s="183"/>
      <c r="W12" s="180"/>
      <c r="X12" s="182"/>
      <c r="Y12" s="180"/>
      <c r="Z12" s="184"/>
      <c r="AA12" s="184"/>
      <c r="AB12" s="184"/>
      <c r="AC12" s="184"/>
      <c r="AD12" s="184"/>
      <c r="AE12" s="184"/>
      <c r="AF12" s="184"/>
      <c r="AG12" s="184"/>
      <c r="AH12" s="184"/>
      <c r="AI12" s="184"/>
    </row>
    <row r="13" spans="1:40" s="185" customFormat="1" ht="15" customHeight="1">
      <c r="A13" s="179"/>
      <c r="B13" s="180"/>
      <c r="C13" s="180"/>
      <c r="D13" s="180"/>
      <c r="E13" s="181"/>
      <c r="F13" s="181"/>
      <c r="G13" s="180"/>
      <c r="H13" s="180"/>
      <c r="I13" s="182"/>
      <c r="J13" s="180"/>
      <c r="K13" s="180"/>
      <c r="L13" s="182"/>
      <c r="M13" s="180"/>
      <c r="N13" s="180"/>
      <c r="O13" s="182"/>
      <c r="P13" s="180"/>
      <c r="Q13" s="180"/>
      <c r="R13" s="182"/>
      <c r="S13" s="180"/>
      <c r="T13" s="180"/>
      <c r="U13" s="180"/>
      <c r="V13" s="183"/>
      <c r="W13" s="180"/>
      <c r="X13" s="182"/>
      <c r="Y13" s="180"/>
      <c r="Z13" s="184"/>
      <c r="AA13" s="184"/>
      <c r="AB13" s="184"/>
      <c r="AC13" s="184"/>
      <c r="AD13" s="184"/>
      <c r="AE13" s="184"/>
      <c r="AF13" s="184"/>
      <c r="AG13" s="184"/>
      <c r="AH13" s="184"/>
      <c r="AI13" s="184"/>
    </row>
    <row r="14" spans="1:40" s="185" customFormat="1" ht="15" customHeight="1">
      <c r="A14" s="179"/>
      <c r="B14" s="180"/>
      <c r="C14" s="180"/>
      <c r="D14" s="180"/>
      <c r="E14" s="181"/>
      <c r="F14" s="181"/>
      <c r="G14" s="180"/>
      <c r="H14" s="180"/>
      <c r="I14" s="182"/>
      <c r="J14" s="180"/>
      <c r="K14" s="180"/>
      <c r="L14" s="182"/>
      <c r="M14" s="180"/>
      <c r="N14" s="180"/>
      <c r="O14" s="182"/>
      <c r="P14" s="180"/>
      <c r="Q14" s="180"/>
      <c r="R14" s="182"/>
      <c r="S14" s="180"/>
      <c r="T14" s="180"/>
      <c r="U14" s="180"/>
      <c r="V14" s="183"/>
      <c r="W14" s="180"/>
      <c r="X14" s="182"/>
      <c r="Y14" s="180"/>
      <c r="Z14" s="184"/>
      <c r="AA14" s="184"/>
      <c r="AB14" s="184"/>
      <c r="AC14" s="184"/>
      <c r="AD14" s="184"/>
      <c r="AE14" s="184"/>
      <c r="AF14" s="184"/>
      <c r="AG14" s="184"/>
      <c r="AH14" s="184"/>
      <c r="AI14" s="184"/>
    </row>
    <row r="15" spans="1:40" s="185" customFormat="1" ht="15" customHeight="1">
      <c r="A15" s="179"/>
      <c r="B15" s="180"/>
      <c r="C15" s="180"/>
      <c r="D15" s="180"/>
      <c r="E15" s="181"/>
      <c r="F15" s="181"/>
      <c r="G15" s="180"/>
      <c r="H15" s="180"/>
      <c r="I15" s="182"/>
      <c r="J15" s="180"/>
      <c r="K15" s="180"/>
      <c r="L15" s="182"/>
      <c r="M15" s="180"/>
      <c r="N15" s="180"/>
      <c r="O15" s="182"/>
      <c r="P15" s="180"/>
      <c r="Q15" s="180"/>
      <c r="R15" s="182"/>
      <c r="S15" s="180"/>
      <c r="T15" s="180"/>
      <c r="U15" s="180"/>
      <c r="V15" s="183"/>
      <c r="W15" s="180"/>
      <c r="X15" s="182"/>
      <c r="Y15" s="180"/>
      <c r="Z15" s="184"/>
      <c r="AA15" s="184"/>
      <c r="AB15" s="184"/>
      <c r="AC15" s="184"/>
      <c r="AD15" s="184"/>
      <c r="AE15" s="184"/>
      <c r="AF15" s="184"/>
      <c r="AG15" s="184"/>
      <c r="AH15" s="184"/>
      <c r="AI15" s="184"/>
    </row>
    <row r="16" spans="1:40" s="185" customFormat="1" ht="15" customHeight="1">
      <c r="A16" s="179"/>
      <c r="B16" s="180"/>
      <c r="C16" s="180"/>
      <c r="D16" s="180"/>
      <c r="E16" s="181"/>
      <c r="F16" s="181"/>
      <c r="G16" s="180"/>
      <c r="H16" s="180"/>
      <c r="I16" s="182"/>
      <c r="J16" s="180"/>
      <c r="K16" s="180"/>
      <c r="L16" s="182"/>
      <c r="M16" s="180"/>
      <c r="N16" s="180"/>
      <c r="O16" s="182"/>
      <c r="P16" s="180"/>
      <c r="Q16" s="180"/>
      <c r="R16" s="182"/>
      <c r="S16" s="180"/>
      <c r="T16" s="180"/>
      <c r="U16" s="180"/>
      <c r="V16" s="183"/>
      <c r="W16" s="180"/>
      <c r="X16" s="182"/>
      <c r="Y16" s="180"/>
      <c r="Z16" s="184"/>
      <c r="AA16" s="184"/>
      <c r="AB16" s="184"/>
      <c r="AC16" s="184"/>
      <c r="AD16" s="184"/>
      <c r="AE16" s="184"/>
      <c r="AF16" s="184"/>
      <c r="AG16" s="184"/>
      <c r="AH16" s="184"/>
      <c r="AI16" s="184"/>
    </row>
    <row r="17" spans="1:35" s="185" customFormat="1" ht="15" customHeight="1">
      <c r="A17" s="179"/>
      <c r="B17" s="180"/>
      <c r="C17" s="180"/>
      <c r="D17" s="180"/>
      <c r="E17" s="181"/>
      <c r="F17" s="181"/>
      <c r="G17" s="180"/>
      <c r="H17" s="180"/>
      <c r="I17" s="182"/>
      <c r="J17" s="180"/>
      <c r="K17" s="180"/>
      <c r="L17" s="182"/>
      <c r="M17" s="180"/>
      <c r="N17" s="180"/>
      <c r="O17" s="182"/>
      <c r="P17" s="180"/>
      <c r="Q17" s="180"/>
      <c r="R17" s="182"/>
      <c r="S17" s="180"/>
      <c r="T17" s="180"/>
      <c r="U17" s="180"/>
      <c r="V17" s="183"/>
      <c r="W17" s="180"/>
      <c r="X17" s="182"/>
      <c r="Y17" s="180"/>
      <c r="Z17" s="184"/>
      <c r="AA17" s="184"/>
      <c r="AB17" s="184"/>
      <c r="AC17" s="184"/>
      <c r="AD17" s="184"/>
      <c r="AE17" s="184"/>
      <c r="AF17" s="184"/>
      <c r="AG17" s="184"/>
      <c r="AH17" s="184"/>
      <c r="AI17" s="184"/>
    </row>
    <row r="18" spans="1:35" s="185" customFormat="1" ht="15" customHeight="1">
      <c r="A18" s="179"/>
      <c r="B18" s="180"/>
      <c r="C18" s="180"/>
      <c r="D18" s="180"/>
      <c r="E18" s="181"/>
      <c r="F18" s="181"/>
      <c r="G18" s="180"/>
      <c r="H18" s="180"/>
      <c r="I18" s="182"/>
      <c r="J18" s="180"/>
      <c r="K18" s="180"/>
      <c r="L18" s="182"/>
      <c r="M18" s="180"/>
      <c r="N18" s="180"/>
      <c r="O18" s="182"/>
      <c r="P18" s="180"/>
      <c r="Q18" s="180"/>
      <c r="R18" s="182"/>
      <c r="S18" s="180"/>
      <c r="T18" s="180"/>
      <c r="U18" s="180"/>
      <c r="V18" s="183"/>
      <c r="W18" s="180"/>
      <c r="X18" s="182"/>
      <c r="Y18" s="180"/>
      <c r="Z18" s="184"/>
      <c r="AA18" s="184"/>
      <c r="AB18" s="184"/>
      <c r="AC18" s="184"/>
      <c r="AD18" s="184"/>
      <c r="AE18" s="184"/>
      <c r="AF18" s="184"/>
      <c r="AG18" s="184"/>
      <c r="AH18" s="184"/>
      <c r="AI18" s="184"/>
    </row>
    <row r="19" spans="1:35" s="185" customFormat="1" ht="15" customHeight="1">
      <c r="A19" s="179"/>
      <c r="B19" s="180"/>
      <c r="C19" s="180"/>
      <c r="D19" s="180"/>
      <c r="E19" s="181"/>
      <c r="F19" s="181"/>
      <c r="G19" s="180"/>
      <c r="H19" s="180"/>
      <c r="I19" s="182"/>
      <c r="J19" s="180"/>
      <c r="K19" s="180"/>
      <c r="L19" s="182"/>
      <c r="M19" s="180"/>
      <c r="N19" s="180"/>
      <c r="O19" s="182"/>
      <c r="P19" s="180"/>
      <c r="Q19" s="180"/>
      <c r="R19" s="182"/>
      <c r="S19" s="180"/>
      <c r="T19" s="180"/>
      <c r="U19" s="180"/>
      <c r="V19" s="183"/>
      <c r="W19" s="180"/>
      <c r="X19" s="182"/>
      <c r="Y19" s="180"/>
      <c r="Z19" s="184"/>
      <c r="AA19" s="184"/>
      <c r="AB19" s="184"/>
      <c r="AC19" s="184"/>
      <c r="AD19" s="184"/>
      <c r="AE19" s="184"/>
      <c r="AF19" s="184"/>
      <c r="AG19" s="184"/>
      <c r="AH19" s="184"/>
      <c r="AI19" s="184"/>
    </row>
    <row r="20" spans="1:35" s="185" customFormat="1" ht="15" customHeight="1">
      <c r="A20" s="179"/>
      <c r="B20" s="180"/>
      <c r="C20" s="180"/>
      <c r="D20" s="180"/>
      <c r="E20" s="181"/>
      <c r="F20" s="181"/>
      <c r="G20" s="180"/>
      <c r="H20" s="180"/>
      <c r="I20" s="182"/>
      <c r="J20" s="180"/>
      <c r="K20" s="180"/>
      <c r="L20" s="182"/>
      <c r="M20" s="180"/>
      <c r="N20" s="180"/>
      <c r="O20" s="182"/>
      <c r="P20" s="180"/>
      <c r="Q20" s="180"/>
      <c r="R20" s="182"/>
      <c r="S20" s="180"/>
      <c r="T20" s="180"/>
      <c r="U20" s="180"/>
      <c r="V20" s="183"/>
      <c r="W20" s="180"/>
      <c r="X20" s="182"/>
      <c r="Y20" s="180"/>
      <c r="Z20" s="184"/>
      <c r="AA20" s="184"/>
      <c r="AB20" s="184"/>
      <c r="AC20" s="184"/>
      <c r="AD20" s="184"/>
      <c r="AE20" s="184"/>
      <c r="AF20" s="184"/>
      <c r="AG20" s="184"/>
      <c r="AH20" s="184"/>
      <c r="AI20" s="184"/>
    </row>
    <row r="21" spans="1:35" s="185" customFormat="1" ht="15" customHeight="1">
      <c r="A21" s="179"/>
      <c r="B21" s="180"/>
      <c r="C21" s="180"/>
      <c r="D21" s="180"/>
      <c r="E21" s="181"/>
      <c r="F21" s="181"/>
      <c r="G21" s="180"/>
      <c r="H21" s="180"/>
      <c r="I21" s="182"/>
      <c r="J21" s="180"/>
      <c r="K21" s="180"/>
      <c r="L21" s="182"/>
      <c r="M21" s="180"/>
      <c r="N21" s="180"/>
      <c r="O21" s="182"/>
      <c r="P21" s="180"/>
      <c r="Q21" s="180"/>
      <c r="R21" s="182"/>
      <c r="S21" s="180"/>
      <c r="T21" s="180"/>
      <c r="U21" s="180"/>
      <c r="V21" s="183"/>
      <c r="W21" s="180"/>
      <c r="X21" s="182"/>
      <c r="Y21" s="180"/>
      <c r="Z21" s="184"/>
      <c r="AA21" s="184"/>
      <c r="AB21" s="184"/>
      <c r="AC21" s="184"/>
      <c r="AD21" s="184"/>
      <c r="AE21" s="184"/>
      <c r="AF21" s="184"/>
      <c r="AG21" s="184"/>
      <c r="AH21" s="184"/>
      <c r="AI21" s="184"/>
    </row>
    <row r="22" spans="1:35" s="185" customFormat="1" ht="15" customHeight="1">
      <c r="A22" s="179"/>
      <c r="B22" s="180"/>
      <c r="C22" s="180"/>
      <c r="D22" s="180"/>
      <c r="E22" s="181"/>
      <c r="F22" s="181"/>
      <c r="G22" s="180"/>
      <c r="H22" s="180"/>
      <c r="I22" s="182"/>
      <c r="J22" s="180"/>
      <c r="K22" s="180"/>
      <c r="L22" s="182"/>
      <c r="M22" s="180"/>
      <c r="N22" s="180"/>
      <c r="O22" s="182"/>
      <c r="P22" s="180"/>
      <c r="Q22" s="180"/>
      <c r="R22" s="182"/>
      <c r="S22" s="180"/>
      <c r="T22" s="180"/>
      <c r="U22" s="180"/>
      <c r="V22" s="183"/>
      <c r="W22" s="180"/>
      <c r="X22" s="182"/>
      <c r="Y22" s="180"/>
      <c r="Z22" s="184"/>
      <c r="AA22" s="184"/>
      <c r="AB22" s="184"/>
      <c r="AC22" s="184"/>
      <c r="AD22" s="184"/>
      <c r="AE22" s="184"/>
      <c r="AF22" s="184"/>
      <c r="AG22" s="184"/>
      <c r="AH22" s="184"/>
      <c r="AI22" s="184"/>
    </row>
    <row r="23" spans="1:35" s="185" customFormat="1" ht="15" customHeight="1">
      <c r="A23" s="179"/>
      <c r="B23" s="180"/>
      <c r="C23" s="180"/>
      <c r="D23" s="180"/>
      <c r="E23" s="181"/>
      <c r="F23" s="181"/>
      <c r="G23" s="180"/>
      <c r="H23" s="180"/>
      <c r="I23" s="182"/>
      <c r="J23" s="180"/>
      <c r="K23" s="180"/>
      <c r="L23" s="182"/>
      <c r="M23" s="180"/>
      <c r="N23" s="180"/>
      <c r="O23" s="182"/>
      <c r="P23" s="180"/>
      <c r="Q23" s="180"/>
      <c r="R23" s="182"/>
      <c r="S23" s="180"/>
      <c r="T23" s="180"/>
      <c r="U23" s="180"/>
      <c r="V23" s="183"/>
      <c r="W23" s="180"/>
      <c r="X23" s="182"/>
      <c r="Y23" s="180"/>
      <c r="Z23" s="184"/>
      <c r="AA23" s="184"/>
      <c r="AB23" s="184"/>
      <c r="AC23" s="184"/>
      <c r="AD23" s="184"/>
      <c r="AE23" s="184"/>
      <c r="AF23" s="184"/>
      <c r="AG23" s="184"/>
      <c r="AH23" s="184"/>
      <c r="AI23" s="184"/>
    </row>
    <row r="24" spans="1:35" s="185" customFormat="1" ht="15" customHeight="1">
      <c r="A24" s="179"/>
      <c r="B24" s="180"/>
      <c r="C24" s="180"/>
      <c r="D24" s="180"/>
      <c r="E24" s="181"/>
      <c r="F24" s="181"/>
      <c r="G24" s="180"/>
      <c r="H24" s="180"/>
      <c r="I24" s="182"/>
      <c r="J24" s="180"/>
      <c r="K24" s="180"/>
      <c r="L24" s="182"/>
      <c r="M24" s="180"/>
      <c r="N24" s="180"/>
      <c r="O24" s="182"/>
      <c r="P24" s="180"/>
      <c r="Q24" s="180"/>
      <c r="R24" s="182"/>
      <c r="S24" s="180"/>
      <c r="T24" s="180"/>
      <c r="U24" s="180"/>
      <c r="V24" s="183"/>
      <c r="W24" s="180"/>
      <c r="X24" s="182"/>
      <c r="Y24" s="180"/>
      <c r="Z24" s="184"/>
      <c r="AA24" s="184"/>
      <c r="AB24" s="184"/>
      <c r="AC24" s="184"/>
      <c r="AD24" s="184"/>
      <c r="AE24" s="184"/>
      <c r="AF24" s="184"/>
      <c r="AG24" s="184"/>
      <c r="AH24" s="184"/>
      <c r="AI24" s="184"/>
    </row>
    <row r="25" spans="1:35" s="185" customFormat="1" ht="15" customHeight="1">
      <c r="A25" s="179"/>
      <c r="B25" s="180"/>
      <c r="C25" s="180"/>
      <c r="D25" s="180"/>
      <c r="E25" s="181"/>
      <c r="F25" s="181"/>
      <c r="G25" s="180"/>
      <c r="H25" s="180"/>
      <c r="I25" s="182"/>
      <c r="J25" s="180"/>
      <c r="K25" s="180"/>
      <c r="L25" s="182"/>
      <c r="M25" s="180"/>
      <c r="N25" s="180"/>
      <c r="O25" s="182"/>
      <c r="P25" s="180"/>
      <c r="Q25" s="180"/>
      <c r="R25" s="182"/>
      <c r="S25" s="180"/>
      <c r="T25" s="180"/>
      <c r="U25" s="180"/>
      <c r="V25" s="183"/>
      <c r="W25" s="180"/>
      <c r="X25" s="182"/>
      <c r="Y25" s="180"/>
      <c r="Z25" s="184"/>
      <c r="AA25" s="184"/>
      <c r="AB25" s="184"/>
      <c r="AC25" s="184"/>
      <c r="AD25" s="184"/>
      <c r="AE25" s="184"/>
      <c r="AF25" s="184"/>
      <c r="AG25" s="184"/>
      <c r="AH25" s="184"/>
      <c r="AI25" s="184"/>
    </row>
    <row r="26" spans="1:35" s="185" customFormat="1" ht="15" customHeight="1">
      <c r="A26" s="179"/>
      <c r="B26" s="180"/>
      <c r="C26" s="180"/>
      <c r="D26" s="180"/>
      <c r="E26" s="181"/>
      <c r="F26" s="181"/>
      <c r="G26" s="180"/>
      <c r="H26" s="180"/>
      <c r="I26" s="182"/>
      <c r="J26" s="180"/>
      <c r="K26" s="180"/>
      <c r="L26" s="182"/>
      <c r="M26" s="180"/>
      <c r="N26" s="180"/>
      <c r="O26" s="182"/>
      <c r="P26" s="180"/>
      <c r="Q26" s="180"/>
      <c r="R26" s="182"/>
      <c r="S26" s="180"/>
      <c r="T26" s="180"/>
      <c r="U26" s="180"/>
      <c r="V26" s="183"/>
      <c r="W26" s="180"/>
      <c r="X26" s="182"/>
      <c r="Y26" s="180"/>
      <c r="Z26" s="184"/>
      <c r="AA26" s="184"/>
      <c r="AB26" s="184"/>
      <c r="AC26" s="184"/>
      <c r="AD26" s="184"/>
      <c r="AE26" s="184"/>
      <c r="AF26" s="184"/>
      <c r="AG26" s="184"/>
      <c r="AH26" s="184"/>
      <c r="AI26" s="184"/>
    </row>
    <row r="27" spans="1:35" s="185" customFormat="1" ht="15" customHeight="1">
      <c r="A27" s="179"/>
      <c r="B27" s="180"/>
      <c r="C27" s="180"/>
      <c r="D27" s="180"/>
      <c r="E27" s="181"/>
      <c r="F27" s="181"/>
      <c r="G27" s="180"/>
      <c r="H27" s="180"/>
      <c r="I27" s="182"/>
      <c r="J27" s="180"/>
      <c r="K27" s="180"/>
      <c r="L27" s="182"/>
      <c r="M27" s="180"/>
      <c r="N27" s="180"/>
      <c r="O27" s="182"/>
      <c r="P27" s="180"/>
      <c r="Q27" s="180"/>
      <c r="R27" s="182"/>
      <c r="S27" s="180"/>
      <c r="T27" s="180"/>
      <c r="U27" s="180"/>
      <c r="V27" s="183"/>
      <c r="W27" s="180"/>
      <c r="X27" s="182"/>
      <c r="Y27" s="180"/>
      <c r="Z27" s="184"/>
      <c r="AA27" s="184"/>
      <c r="AB27" s="184"/>
      <c r="AC27" s="184"/>
      <c r="AD27" s="184"/>
      <c r="AE27" s="184"/>
      <c r="AF27" s="184"/>
      <c r="AG27" s="184"/>
      <c r="AH27" s="184"/>
      <c r="AI27" s="184"/>
    </row>
    <row r="28" spans="1:35" s="185" customFormat="1" ht="15" customHeight="1">
      <c r="A28" s="179"/>
      <c r="B28" s="180"/>
      <c r="C28" s="180"/>
      <c r="D28" s="180"/>
      <c r="E28" s="181"/>
      <c r="F28" s="181"/>
      <c r="G28" s="180"/>
      <c r="H28" s="180"/>
      <c r="I28" s="182"/>
      <c r="J28" s="180"/>
      <c r="K28" s="180"/>
      <c r="L28" s="182"/>
      <c r="M28" s="180"/>
      <c r="N28" s="180"/>
      <c r="O28" s="182"/>
      <c r="P28" s="180"/>
      <c r="Q28" s="180"/>
      <c r="R28" s="182"/>
      <c r="S28" s="180"/>
      <c r="T28" s="180"/>
      <c r="U28" s="180"/>
      <c r="V28" s="183"/>
      <c r="W28" s="180"/>
      <c r="X28" s="182"/>
      <c r="Y28" s="180"/>
      <c r="Z28" s="184"/>
      <c r="AA28" s="184"/>
      <c r="AB28" s="184"/>
      <c r="AC28" s="184"/>
      <c r="AD28" s="184"/>
      <c r="AE28" s="184"/>
      <c r="AF28" s="184"/>
      <c r="AG28" s="184"/>
      <c r="AH28" s="184"/>
      <c r="AI28" s="184"/>
    </row>
    <row r="29" spans="1:35" s="185" customFormat="1" ht="15" customHeight="1">
      <c r="A29" s="179"/>
      <c r="B29" s="180"/>
      <c r="C29" s="180"/>
      <c r="D29" s="180"/>
      <c r="E29" s="181"/>
      <c r="F29" s="181"/>
      <c r="G29" s="180"/>
      <c r="H29" s="180"/>
      <c r="I29" s="182"/>
      <c r="J29" s="180"/>
      <c r="K29" s="180"/>
      <c r="L29" s="182"/>
      <c r="M29" s="180"/>
      <c r="N29" s="180"/>
      <c r="O29" s="182"/>
      <c r="P29" s="180"/>
      <c r="Q29" s="180"/>
      <c r="R29" s="182"/>
      <c r="S29" s="180"/>
      <c r="T29" s="180"/>
      <c r="U29" s="180"/>
      <c r="V29" s="183"/>
      <c r="W29" s="180"/>
      <c r="X29" s="182"/>
      <c r="Y29" s="180"/>
      <c r="Z29" s="184"/>
      <c r="AA29" s="184"/>
      <c r="AB29" s="184"/>
      <c r="AC29" s="184"/>
      <c r="AD29" s="184"/>
      <c r="AE29" s="184"/>
      <c r="AF29" s="184"/>
      <c r="AG29" s="184"/>
      <c r="AH29" s="184"/>
      <c r="AI29" s="184"/>
    </row>
    <row r="30" spans="1:35" s="185" customFormat="1" ht="15" customHeight="1">
      <c r="A30" s="179"/>
      <c r="B30" s="180"/>
      <c r="C30" s="180"/>
      <c r="D30" s="180"/>
      <c r="E30" s="181"/>
      <c r="F30" s="181"/>
      <c r="G30" s="180"/>
      <c r="H30" s="180"/>
      <c r="I30" s="182"/>
      <c r="J30" s="180"/>
      <c r="K30" s="180"/>
      <c r="L30" s="182"/>
      <c r="M30" s="180"/>
      <c r="N30" s="180"/>
      <c r="O30" s="182"/>
      <c r="P30" s="180"/>
      <c r="Q30" s="180"/>
      <c r="R30" s="182"/>
      <c r="S30" s="180"/>
      <c r="T30" s="180"/>
      <c r="U30" s="180"/>
      <c r="V30" s="183"/>
      <c r="W30" s="180"/>
      <c r="X30" s="182"/>
      <c r="Y30" s="180"/>
      <c r="Z30" s="184"/>
      <c r="AA30" s="184"/>
      <c r="AB30" s="184"/>
      <c r="AC30" s="184"/>
      <c r="AD30" s="184"/>
      <c r="AE30" s="184"/>
      <c r="AF30" s="184"/>
      <c r="AG30" s="184"/>
      <c r="AH30" s="184"/>
      <c r="AI30" s="184"/>
    </row>
    <row r="31" spans="1:35" s="185" customFormat="1" ht="15" customHeight="1">
      <c r="A31" s="179"/>
      <c r="B31" s="180"/>
      <c r="C31" s="180"/>
      <c r="D31" s="180"/>
      <c r="E31" s="181"/>
      <c r="F31" s="181"/>
      <c r="G31" s="180"/>
      <c r="H31" s="180"/>
      <c r="I31" s="182"/>
      <c r="J31" s="180"/>
      <c r="K31" s="180"/>
      <c r="L31" s="182"/>
      <c r="M31" s="180"/>
      <c r="N31" s="180"/>
      <c r="O31" s="182"/>
      <c r="P31" s="180"/>
      <c r="Q31" s="180"/>
      <c r="R31" s="182"/>
      <c r="S31" s="180"/>
      <c r="T31" s="180"/>
      <c r="U31" s="180"/>
      <c r="V31" s="183"/>
      <c r="W31" s="180"/>
      <c r="X31" s="182"/>
      <c r="Y31" s="180"/>
      <c r="Z31" s="184"/>
      <c r="AA31" s="184"/>
      <c r="AB31" s="184"/>
      <c r="AC31" s="184"/>
      <c r="AD31" s="184"/>
      <c r="AE31" s="184"/>
      <c r="AF31" s="184"/>
      <c r="AG31" s="184"/>
      <c r="AH31" s="184"/>
      <c r="AI31" s="184"/>
    </row>
    <row r="32" spans="1:35" s="185" customFormat="1" ht="15" customHeight="1">
      <c r="A32" s="179"/>
      <c r="B32" s="180"/>
      <c r="C32" s="180"/>
      <c r="D32" s="180"/>
      <c r="E32" s="181"/>
      <c r="F32" s="181"/>
      <c r="G32" s="180"/>
      <c r="H32" s="180"/>
      <c r="I32" s="182"/>
      <c r="J32" s="180"/>
      <c r="K32" s="180"/>
      <c r="L32" s="182"/>
      <c r="M32" s="180"/>
      <c r="N32" s="180"/>
      <c r="O32" s="182"/>
      <c r="P32" s="180"/>
      <c r="Q32" s="180"/>
      <c r="R32" s="182"/>
      <c r="S32" s="180"/>
      <c r="T32" s="180"/>
      <c r="U32" s="180"/>
      <c r="V32" s="183"/>
      <c r="W32" s="180"/>
      <c r="X32" s="182"/>
      <c r="Y32" s="180"/>
      <c r="Z32" s="184"/>
      <c r="AA32" s="184"/>
      <c r="AB32" s="184"/>
      <c r="AC32" s="184"/>
      <c r="AD32" s="184"/>
      <c r="AE32" s="184"/>
      <c r="AF32" s="184"/>
      <c r="AG32" s="184"/>
      <c r="AH32" s="184"/>
      <c r="AI32" s="184"/>
    </row>
    <row r="33" spans="1:35" s="185" customFormat="1" ht="15" customHeight="1">
      <c r="A33" s="179"/>
      <c r="B33" s="180"/>
      <c r="C33" s="180"/>
      <c r="D33" s="180"/>
      <c r="E33" s="181"/>
      <c r="F33" s="181"/>
      <c r="G33" s="180"/>
      <c r="H33" s="180"/>
      <c r="I33" s="182"/>
      <c r="J33" s="180"/>
      <c r="K33" s="180"/>
      <c r="L33" s="182"/>
      <c r="M33" s="180"/>
      <c r="N33" s="180"/>
      <c r="O33" s="182"/>
      <c r="P33" s="180"/>
      <c r="Q33" s="180"/>
      <c r="R33" s="182"/>
      <c r="S33" s="180"/>
      <c r="T33" s="180"/>
      <c r="U33" s="180"/>
      <c r="V33" s="183"/>
      <c r="W33" s="180"/>
      <c r="X33" s="182"/>
      <c r="Y33" s="180"/>
      <c r="Z33" s="184"/>
      <c r="AA33" s="184"/>
      <c r="AB33" s="184"/>
      <c r="AC33" s="184"/>
      <c r="AD33" s="184"/>
      <c r="AE33" s="184"/>
      <c r="AF33" s="184"/>
      <c r="AG33" s="184"/>
      <c r="AH33" s="184"/>
      <c r="AI33" s="184"/>
    </row>
    <row r="34" spans="1:35" s="185" customFormat="1" ht="15" customHeight="1">
      <c r="A34" s="179"/>
      <c r="B34" s="180"/>
      <c r="C34" s="180"/>
      <c r="D34" s="180"/>
      <c r="E34" s="181"/>
      <c r="F34" s="181"/>
      <c r="G34" s="180"/>
      <c r="H34" s="180"/>
      <c r="I34" s="182"/>
      <c r="J34" s="180"/>
      <c r="K34" s="180"/>
      <c r="L34" s="182"/>
      <c r="M34" s="180"/>
      <c r="N34" s="180"/>
      <c r="O34" s="182"/>
      <c r="P34" s="180"/>
      <c r="Q34" s="180"/>
      <c r="R34" s="182"/>
      <c r="S34" s="180"/>
      <c r="T34" s="180"/>
      <c r="U34" s="180"/>
      <c r="V34" s="183"/>
      <c r="W34" s="180"/>
      <c r="X34" s="182"/>
      <c r="Y34" s="180"/>
      <c r="Z34" s="184"/>
      <c r="AA34" s="184"/>
      <c r="AB34" s="184"/>
      <c r="AC34" s="184"/>
      <c r="AD34" s="184"/>
      <c r="AE34" s="184"/>
      <c r="AF34" s="184"/>
      <c r="AG34" s="184"/>
      <c r="AH34" s="184"/>
      <c r="AI34" s="184"/>
    </row>
    <row r="35" spans="1:35" s="185" customFormat="1" ht="15" customHeight="1">
      <c r="A35" s="179"/>
      <c r="B35" s="180"/>
      <c r="C35" s="180"/>
      <c r="D35" s="180"/>
      <c r="E35" s="181"/>
      <c r="F35" s="181"/>
      <c r="G35" s="180"/>
      <c r="H35" s="180"/>
      <c r="I35" s="182"/>
      <c r="J35" s="180"/>
      <c r="K35" s="180"/>
      <c r="L35" s="182"/>
      <c r="M35" s="180"/>
      <c r="N35" s="180"/>
      <c r="O35" s="182"/>
      <c r="P35" s="180"/>
      <c r="Q35" s="180"/>
      <c r="R35" s="182"/>
      <c r="S35" s="180"/>
      <c r="T35" s="180"/>
      <c r="U35" s="180"/>
      <c r="V35" s="183"/>
      <c r="W35" s="180"/>
      <c r="X35" s="182"/>
      <c r="Y35" s="180"/>
      <c r="Z35" s="184"/>
      <c r="AA35" s="184"/>
      <c r="AB35" s="184"/>
      <c r="AC35" s="184"/>
      <c r="AD35" s="184"/>
      <c r="AE35" s="184"/>
      <c r="AF35" s="184"/>
      <c r="AG35" s="184"/>
      <c r="AH35" s="184"/>
      <c r="AI35" s="184"/>
    </row>
    <row r="36" spans="1:35" s="185" customFormat="1" ht="15" customHeight="1">
      <c r="A36" s="179"/>
      <c r="B36" s="180"/>
      <c r="C36" s="180"/>
      <c r="D36" s="180"/>
      <c r="E36" s="181"/>
      <c r="F36" s="181"/>
      <c r="G36" s="180"/>
      <c r="H36" s="180"/>
      <c r="I36" s="182"/>
      <c r="J36" s="180"/>
      <c r="K36" s="180"/>
      <c r="L36" s="182"/>
      <c r="M36" s="180"/>
      <c r="N36" s="180"/>
      <c r="O36" s="182"/>
      <c r="P36" s="180"/>
      <c r="Q36" s="180"/>
      <c r="R36" s="182"/>
      <c r="S36" s="180"/>
      <c r="T36" s="180"/>
      <c r="U36" s="180"/>
      <c r="V36" s="183"/>
      <c r="W36" s="180"/>
      <c r="X36" s="182"/>
      <c r="Y36" s="180"/>
      <c r="Z36" s="184"/>
      <c r="AA36" s="184"/>
      <c r="AB36" s="184"/>
      <c r="AC36" s="184"/>
      <c r="AD36" s="184"/>
      <c r="AE36" s="184"/>
      <c r="AF36" s="184"/>
      <c r="AG36" s="184"/>
      <c r="AH36" s="184"/>
      <c r="AI36" s="184"/>
    </row>
    <row r="37" spans="1:35" s="185" customFormat="1" ht="15" customHeight="1">
      <c r="A37" s="186"/>
      <c r="B37" s="187"/>
      <c r="C37" s="187"/>
      <c r="D37" s="187"/>
      <c r="E37" s="188"/>
      <c r="F37" s="188"/>
      <c r="G37" s="187"/>
      <c r="H37" s="187"/>
      <c r="I37" s="189"/>
      <c r="J37" s="187"/>
      <c r="K37" s="187"/>
      <c r="L37" s="189"/>
      <c r="M37" s="187"/>
      <c r="N37" s="187"/>
      <c r="O37" s="189"/>
      <c r="P37" s="187"/>
      <c r="Q37" s="187"/>
      <c r="R37" s="189"/>
      <c r="S37" s="187"/>
      <c r="T37" s="187"/>
      <c r="U37" s="187"/>
      <c r="V37" s="190"/>
      <c r="W37" s="180"/>
      <c r="X37" s="182"/>
      <c r="Y37" s="180"/>
      <c r="Z37" s="184"/>
      <c r="AA37" s="184"/>
      <c r="AB37" s="184"/>
      <c r="AC37" s="184"/>
      <c r="AD37" s="184"/>
      <c r="AE37" s="184"/>
      <c r="AF37" s="184"/>
      <c r="AG37" s="184"/>
      <c r="AH37" s="184"/>
      <c r="AI37" s="184"/>
    </row>
    <row r="38" spans="1:35" s="185" customFormat="1" ht="15" customHeight="1">
      <c r="A38" s="179"/>
      <c r="B38" s="180"/>
      <c r="C38" s="180"/>
      <c r="D38" s="180"/>
      <c r="E38" s="181"/>
      <c r="F38" s="181"/>
      <c r="G38" s="180"/>
      <c r="H38" s="180"/>
      <c r="I38" s="182"/>
      <c r="J38" s="180"/>
      <c r="K38" s="180"/>
      <c r="L38" s="182"/>
      <c r="M38" s="180"/>
      <c r="N38" s="180"/>
      <c r="O38" s="182"/>
      <c r="P38" s="180"/>
      <c r="Q38" s="180"/>
      <c r="R38" s="182"/>
      <c r="S38" s="180"/>
      <c r="T38" s="180"/>
      <c r="U38" s="180"/>
      <c r="V38" s="180"/>
      <c r="W38" s="180"/>
      <c r="X38" s="182"/>
      <c r="Y38" s="180"/>
      <c r="Z38" s="184"/>
      <c r="AA38" s="184"/>
      <c r="AB38" s="184"/>
      <c r="AC38" s="184"/>
      <c r="AD38" s="184"/>
      <c r="AE38" s="184"/>
      <c r="AF38" s="184"/>
      <c r="AG38" s="184"/>
      <c r="AH38" s="184"/>
      <c r="AI38" s="184"/>
    </row>
    <row r="39" spans="1:35" s="185" customFormat="1" ht="15" customHeight="1">
      <c r="A39" s="179"/>
      <c r="B39" s="180"/>
      <c r="C39" s="180"/>
      <c r="D39" s="180"/>
      <c r="E39" s="181"/>
      <c r="F39" s="181"/>
      <c r="G39" s="180"/>
      <c r="H39" s="180"/>
      <c r="I39" s="182"/>
      <c r="J39" s="180"/>
      <c r="K39" s="180"/>
      <c r="L39" s="182"/>
      <c r="M39" s="180"/>
      <c r="N39" s="180"/>
      <c r="O39" s="182"/>
      <c r="P39" s="180"/>
      <c r="Q39" s="180"/>
      <c r="R39" s="182"/>
      <c r="S39" s="180"/>
      <c r="T39" s="180"/>
      <c r="U39" s="180"/>
      <c r="V39" s="180"/>
      <c r="W39" s="180"/>
      <c r="X39" s="182"/>
      <c r="Y39" s="180"/>
      <c r="Z39" s="184"/>
      <c r="AA39" s="184"/>
      <c r="AB39" s="184"/>
      <c r="AC39" s="184"/>
      <c r="AD39" s="184"/>
      <c r="AE39" s="184"/>
      <c r="AF39" s="184"/>
      <c r="AG39" s="184"/>
      <c r="AH39" s="184"/>
      <c r="AI39" s="184"/>
    </row>
    <row r="40" spans="1:35" s="185" customFormat="1" ht="15" customHeight="1">
      <c r="A40" s="179"/>
      <c r="B40" s="180"/>
      <c r="C40" s="180"/>
      <c r="D40" s="180"/>
      <c r="E40" s="181"/>
      <c r="F40" s="181"/>
      <c r="G40" s="180"/>
      <c r="H40" s="180"/>
      <c r="I40" s="182"/>
      <c r="J40" s="180"/>
      <c r="K40" s="180"/>
      <c r="L40" s="182"/>
      <c r="M40" s="180"/>
      <c r="N40" s="180"/>
      <c r="O40" s="182"/>
      <c r="P40" s="180"/>
      <c r="Q40" s="180"/>
      <c r="R40" s="182"/>
      <c r="S40" s="180"/>
      <c r="T40" s="180"/>
      <c r="U40" s="180"/>
      <c r="V40" s="180"/>
      <c r="W40" s="180"/>
      <c r="X40" s="182"/>
      <c r="Y40" s="180"/>
      <c r="Z40" s="184"/>
      <c r="AA40" s="184"/>
      <c r="AB40" s="184"/>
      <c r="AC40" s="184"/>
      <c r="AD40" s="184"/>
      <c r="AE40" s="184"/>
      <c r="AF40" s="184"/>
      <c r="AG40" s="184"/>
      <c r="AH40" s="184"/>
      <c r="AI40" s="184"/>
    </row>
    <row r="41" spans="1:35" s="185" customFormat="1" ht="15" customHeight="1">
      <c r="A41" s="180"/>
      <c r="B41" s="180"/>
      <c r="C41" s="180"/>
      <c r="D41" s="180"/>
      <c r="E41" s="181"/>
      <c r="F41" s="181"/>
      <c r="G41" s="180"/>
      <c r="H41" s="180"/>
      <c r="I41" s="182"/>
      <c r="J41" s="180"/>
      <c r="K41" s="180"/>
      <c r="L41" s="182"/>
      <c r="M41" s="180"/>
      <c r="N41" s="180"/>
      <c r="O41" s="182"/>
      <c r="P41" s="180"/>
      <c r="Q41" s="180"/>
      <c r="R41" s="182"/>
      <c r="S41" s="180"/>
      <c r="T41" s="180"/>
      <c r="U41" s="180"/>
      <c r="V41" s="180"/>
      <c r="W41" s="180"/>
      <c r="X41" s="182"/>
      <c r="Y41" s="180"/>
      <c r="Z41" s="184"/>
      <c r="AA41" s="184"/>
      <c r="AB41" s="184"/>
      <c r="AC41" s="184"/>
      <c r="AD41" s="184"/>
      <c r="AE41" s="184"/>
      <c r="AF41" s="184"/>
      <c r="AG41" s="184"/>
      <c r="AH41" s="184"/>
      <c r="AI41" s="184"/>
    </row>
    <row r="57" spans="5:9" ht="35.1" customHeight="1">
      <c r="E57" s="168"/>
      <c r="F57" s="168"/>
      <c r="G57" s="168"/>
      <c r="H57" s="168"/>
      <c r="I57" s="168"/>
    </row>
    <row r="16370" spans="26:30">
      <c r="Z16370" s="191">
        <v>24.446999999999999</v>
      </c>
      <c r="AB16370" s="191">
        <v>1.6</v>
      </c>
      <c r="AC16370" s="191">
        <v>1.5269999999999999</v>
      </c>
      <c r="AD16370" s="191">
        <v>72</v>
      </c>
    </row>
    <row r="16371" spans="26:30">
      <c r="Z16371" s="191">
        <v>17.547999999999998</v>
      </c>
      <c r="AB16371" s="191">
        <v>1.629</v>
      </c>
      <c r="AC16371" s="191">
        <v>73</v>
      </c>
      <c r="AD16371" s="191">
        <v>24.443999999999999</v>
      </c>
    </row>
    <row r="16372" spans="26:30">
      <c r="Z16372" s="191">
        <v>1.645</v>
      </c>
      <c r="AB16372" s="191">
        <v>72</v>
      </c>
      <c r="AC16372" s="191">
        <v>24.393000000000001</v>
      </c>
      <c r="AD16372" s="191">
        <v>17.591000000000001</v>
      </c>
    </row>
    <row r="16373" spans="26:30">
      <c r="Z16373" s="191">
        <v>1.579</v>
      </c>
      <c r="AB16373" s="191">
        <v>24.516999999999999</v>
      </c>
      <c r="AC16373" s="191">
        <v>17.501999999999999</v>
      </c>
    </row>
    <row r="16374" spans="26:30">
      <c r="Z16374" s="191">
        <v>73</v>
      </c>
      <c r="AB16374" s="191">
        <v>17.587</v>
      </c>
      <c r="AC16374" s="191">
        <v>1.5840000000000001</v>
      </c>
    </row>
    <row r="16375" spans="26:30">
      <c r="Z16375" s="191">
        <v>1.613</v>
      </c>
      <c r="AB16375" s="191">
        <v>1.4830000000000001</v>
      </c>
      <c r="AC16375" s="191">
        <v>1.5509999999999999</v>
      </c>
    </row>
    <row r="16376" spans="26:30">
      <c r="Z16376" s="191">
        <v>72</v>
      </c>
    </row>
    <row r="16377" spans="26:30">
      <c r="Z16377" s="191">
        <v>24.47</v>
      </c>
    </row>
    <row r="16378" spans="26:30">
      <c r="Z16378" s="191">
        <v>17.536000000000001</v>
      </c>
    </row>
    <row r="16379" spans="26:30">
      <c r="Z16379" s="191">
        <v>1.5860000000000001</v>
      </c>
    </row>
    <row r="16380" spans="26:30">
      <c r="Z16380" s="191">
        <v>1.552</v>
      </c>
    </row>
    <row r="16381" spans="26:30">
      <c r="Z16381" s="191">
        <v>70</v>
      </c>
    </row>
    <row r="16382" spans="26:30">
      <c r="Z16382" s="191">
        <v>24.384</v>
      </c>
    </row>
    <row r="16383" spans="26:30">
      <c r="Z16383" s="191">
        <v>72</v>
      </c>
    </row>
  </sheetData>
  <mergeCells count="3">
    <mergeCell ref="A2:V2"/>
    <mergeCell ref="A3:V3"/>
    <mergeCell ref="A5:V5"/>
  </mergeCells>
  <printOptions horizontalCentered="1"/>
  <pageMargins left="0.35433070866141736" right="0.19685039370078741" top="0.19685039370078741" bottom="0.19685039370078741" header="0" footer="0"/>
  <pageSetup paperSize="9" fitToHeight="0" pageOrder="overThenDown" orientation="landscape" r:id="rId1"/>
  <headerFooter alignWithMargins="0">
    <oddFooter>&amp;RPage &amp;P/&amp;N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:AF69"/>
  <sheetViews>
    <sheetView workbookViewId="0">
      <selection activeCell="C25" sqref="C25"/>
    </sheetView>
  </sheetViews>
  <sheetFormatPr baseColWidth="10" defaultRowHeight="12.75"/>
  <cols>
    <col min="1" max="1" width="9.42578125" customWidth="1"/>
    <col min="2" max="7" width="8.7109375" customWidth="1"/>
    <col min="8" max="8" width="7.28515625" customWidth="1"/>
    <col min="9" max="9" width="5.7109375" customWidth="1"/>
    <col min="10" max="10" width="6.7109375" customWidth="1"/>
    <col min="11" max="11" width="8.140625" customWidth="1"/>
    <col min="12" max="12" width="5.7109375" customWidth="1"/>
    <col min="13" max="13" width="6.7109375" customWidth="1"/>
    <col min="14" max="19" width="3.7109375" style="139" customWidth="1"/>
    <col min="20" max="23" width="3.7109375" style="16" customWidth="1"/>
    <col min="24" max="32" width="8" customWidth="1"/>
  </cols>
  <sheetData>
    <row r="1" spans="1:32">
      <c r="N1" s="138"/>
      <c r="O1" s="138"/>
      <c r="P1" s="138"/>
      <c r="Q1" s="138"/>
      <c r="R1" s="138"/>
    </row>
    <row r="2" spans="1:32" ht="23.1" customHeight="1">
      <c r="A2" s="192" t="s">
        <v>28</v>
      </c>
      <c r="B2" s="192"/>
      <c r="C2" s="192"/>
      <c r="D2" s="192"/>
      <c r="E2" s="192"/>
      <c r="F2" s="192"/>
      <c r="G2" s="192"/>
      <c r="H2" s="192"/>
      <c r="I2" s="192"/>
      <c r="J2" s="192"/>
      <c r="K2" s="192"/>
      <c r="L2" s="55"/>
      <c r="M2" s="55"/>
      <c r="N2" s="140"/>
      <c r="O2" s="140"/>
      <c r="P2" s="140"/>
      <c r="Q2" s="138"/>
      <c r="R2" s="138"/>
    </row>
    <row r="3" spans="1:32" ht="18">
      <c r="A3" s="195" t="str">
        <f>'Rapport d''essai dimensionnel'!A13</f>
        <v xml:space="preserve">N° </v>
      </c>
      <c r="B3" s="195"/>
      <c r="C3" s="195"/>
      <c r="D3" s="195"/>
      <c r="E3" s="195"/>
      <c r="F3" s="195"/>
      <c r="G3" s="195"/>
      <c r="H3" s="195"/>
      <c r="I3" s="195"/>
      <c r="J3" s="195"/>
      <c r="K3" s="195"/>
      <c r="L3" s="15"/>
      <c r="M3" s="15"/>
      <c r="N3" s="141"/>
      <c r="O3" s="141"/>
      <c r="P3" s="141"/>
    </row>
    <row r="4" spans="1:32" s="13" customFormat="1" ht="12.75" customHeight="1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142"/>
      <c r="O4" s="142"/>
      <c r="P4" s="142"/>
      <c r="Q4" s="142"/>
      <c r="R4" s="142"/>
      <c r="S4" s="142"/>
    </row>
    <row r="5" spans="1:32" ht="15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143"/>
      <c r="O5" s="143"/>
      <c r="P5" s="144"/>
      <c r="Q5" s="144"/>
      <c r="R5" s="138"/>
      <c r="S5" s="138"/>
      <c r="T5"/>
      <c r="U5"/>
      <c r="V5"/>
      <c r="W5"/>
    </row>
    <row r="6" spans="1:32" ht="15">
      <c r="A6" s="221" t="s">
        <v>85</v>
      </c>
      <c r="B6" s="221"/>
      <c r="C6" s="221"/>
      <c r="D6" s="221"/>
      <c r="E6" s="221"/>
      <c r="F6" s="221"/>
      <c r="G6" s="221"/>
      <c r="H6" s="221"/>
      <c r="I6" s="221"/>
      <c r="J6" s="221"/>
      <c r="K6" s="221"/>
      <c r="L6" s="157"/>
      <c r="M6" s="157"/>
      <c r="N6" s="143"/>
      <c r="O6" s="143"/>
      <c r="P6" s="144"/>
      <c r="Q6" s="144"/>
      <c r="R6" s="138"/>
      <c r="S6" s="138"/>
      <c r="T6"/>
      <c r="U6"/>
      <c r="V6"/>
      <c r="W6"/>
    </row>
    <row r="7" spans="1:32" ht="18" customHeight="1">
      <c r="A7" s="72"/>
      <c r="B7" s="72"/>
      <c r="C7" s="72"/>
      <c r="D7" s="72"/>
      <c r="E7" s="72"/>
      <c r="F7" s="72"/>
      <c r="G7" s="72"/>
      <c r="H7" s="72"/>
      <c r="I7" s="72"/>
      <c r="J7" s="72"/>
      <c r="K7" s="72"/>
      <c r="L7" s="72"/>
      <c r="M7" s="72"/>
      <c r="N7" s="143"/>
      <c r="O7" s="143"/>
      <c r="P7" s="143"/>
      <c r="Q7" s="144"/>
      <c r="R7" s="144"/>
      <c r="S7" s="138"/>
      <c r="T7"/>
      <c r="U7"/>
      <c r="V7"/>
      <c r="W7"/>
      <c r="X7" s="159"/>
      <c r="Y7" s="159"/>
      <c r="Z7" s="159"/>
      <c r="AA7" s="159"/>
      <c r="AB7" s="159"/>
      <c r="AC7" s="159"/>
      <c r="AD7" s="159"/>
      <c r="AE7" s="159"/>
      <c r="AF7" s="159"/>
    </row>
    <row r="8" spans="1:32" ht="15">
      <c r="A8" s="107"/>
      <c r="B8" s="125"/>
      <c r="C8" s="107"/>
      <c r="D8" s="125" t="s">
        <v>46</v>
      </c>
      <c r="E8" s="125"/>
      <c r="F8" s="126" t="s">
        <v>47</v>
      </c>
      <c r="G8" s="125"/>
      <c r="H8" s="107"/>
      <c r="I8" s="107"/>
      <c r="J8" s="107"/>
      <c r="K8" s="107"/>
      <c r="L8" s="33"/>
      <c r="M8" s="33"/>
      <c r="N8" s="143"/>
      <c r="O8" s="143"/>
      <c r="P8" s="143"/>
      <c r="Q8" s="144"/>
      <c r="R8" s="144"/>
      <c r="S8" s="138"/>
      <c r="T8"/>
      <c r="U8"/>
      <c r="V8"/>
      <c r="W8"/>
      <c r="X8" s="160"/>
      <c r="Y8" s="160"/>
      <c r="Z8" s="160"/>
      <c r="AA8" s="160"/>
      <c r="AB8" s="160"/>
      <c r="AC8" s="160"/>
      <c r="AD8" s="160"/>
      <c r="AE8" s="160"/>
      <c r="AF8" s="160"/>
    </row>
    <row r="9" spans="1:32" ht="15">
      <c r="A9" s="107"/>
      <c r="B9" s="125"/>
      <c r="C9" s="107"/>
      <c r="D9" s="125"/>
      <c r="E9" s="125"/>
      <c r="F9" s="126"/>
      <c r="G9" s="125"/>
      <c r="H9" s="107"/>
      <c r="I9" s="107"/>
      <c r="J9" s="107"/>
      <c r="K9" s="107"/>
      <c r="L9" s="33"/>
      <c r="M9" s="33"/>
      <c r="N9" s="143"/>
      <c r="O9" s="143"/>
      <c r="P9" s="143"/>
      <c r="Q9" s="144"/>
      <c r="R9" s="144"/>
      <c r="S9" s="138"/>
      <c r="T9"/>
      <c r="U9"/>
      <c r="V9"/>
      <c r="W9"/>
      <c r="X9" s="108"/>
      <c r="Y9" s="108"/>
      <c r="Z9" s="108"/>
      <c r="AA9" s="108"/>
      <c r="AB9" s="108"/>
      <c r="AC9" s="108"/>
      <c r="AD9" s="108"/>
      <c r="AE9" s="108"/>
      <c r="AF9" s="108"/>
    </row>
    <row r="10" spans="1:32" ht="15">
      <c r="A10" s="33"/>
      <c r="B10" s="33"/>
      <c r="C10" s="107"/>
      <c r="D10" s="107"/>
      <c r="E10" s="107"/>
      <c r="F10" s="107"/>
      <c r="G10" s="107"/>
      <c r="H10" s="107"/>
      <c r="I10" s="107"/>
      <c r="J10" s="107"/>
      <c r="K10" s="107"/>
      <c r="L10" s="33"/>
      <c r="M10" s="33"/>
      <c r="N10" s="143"/>
      <c r="O10" s="143"/>
      <c r="P10" s="143"/>
      <c r="Q10" s="144"/>
      <c r="R10" s="144"/>
      <c r="S10" s="138"/>
      <c r="T10"/>
      <c r="U10"/>
      <c r="V10"/>
      <c r="W10"/>
      <c r="X10" s="161"/>
      <c r="Y10" s="161"/>
      <c r="Z10" s="161"/>
      <c r="AA10" s="161"/>
      <c r="AB10" s="161"/>
      <c r="AC10" s="161"/>
      <c r="AD10" s="161"/>
      <c r="AE10" s="161"/>
      <c r="AF10" s="161"/>
    </row>
    <row r="11" spans="1:32" ht="15">
      <c r="A11" s="33"/>
      <c r="B11" s="121" t="s">
        <v>105</v>
      </c>
      <c r="C11" s="107"/>
      <c r="D11" s="107"/>
      <c r="E11" s="107"/>
      <c r="F11" s="107"/>
      <c r="G11" s="127"/>
      <c r="H11" s="115"/>
      <c r="I11" s="107" t="s">
        <v>47</v>
      </c>
      <c r="J11" s="107"/>
      <c r="K11" s="107"/>
      <c r="L11" s="33"/>
      <c r="M11" s="33"/>
      <c r="N11" s="143"/>
      <c r="O11" s="143"/>
      <c r="P11" s="143"/>
      <c r="Q11" s="144"/>
      <c r="R11" s="144"/>
      <c r="S11" s="138"/>
      <c r="T11"/>
      <c r="U11"/>
      <c r="V11"/>
      <c r="W11"/>
      <c r="X11" s="159"/>
      <c r="Y11" s="159"/>
      <c r="Z11" s="159"/>
      <c r="AA11" s="159"/>
      <c r="AB11" s="159"/>
      <c r="AC11" s="159"/>
      <c r="AD11" s="159"/>
      <c r="AE11" s="159"/>
      <c r="AF11" s="159"/>
    </row>
    <row r="12" spans="1:32" ht="15">
      <c r="A12" s="33"/>
      <c r="B12" s="121"/>
      <c r="C12" s="107"/>
      <c r="D12" s="107"/>
      <c r="E12" s="107"/>
      <c r="F12" s="107"/>
      <c r="G12" s="127"/>
      <c r="H12" s="115"/>
      <c r="I12" s="107"/>
      <c r="J12" s="107"/>
      <c r="K12" s="107"/>
      <c r="L12" s="33"/>
      <c r="M12" s="33"/>
      <c r="N12" s="143"/>
      <c r="O12" s="143"/>
      <c r="P12" s="143"/>
      <c r="Q12" s="144"/>
      <c r="R12" s="144"/>
      <c r="S12" s="138"/>
      <c r="T12"/>
      <c r="U12"/>
      <c r="V12"/>
      <c r="W12"/>
      <c r="X12" s="159"/>
      <c r="Y12" s="159"/>
      <c r="Z12" s="159"/>
      <c r="AA12" s="159"/>
      <c r="AB12" s="159"/>
      <c r="AC12" s="159"/>
      <c r="AD12" s="159"/>
      <c r="AE12" s="109"/>
      <c r="AF12" s="109"/>
    </row>
    <row r="13" spans="1:32" ht="15">
      <c r="A13" s="33"/>
      <c r="B13" s="120"/>
      <c r="C13" s="107"/>
      <c r="D13" s="107"/>
      <c r="E13" s="107"/>
      <c r="F13" s="107"/>
      <c r="G13" s="107"/>
      <c r="H13" s="107"/>
      <c r="I13" s="107"/>
      <c r="J13" s="107"/>
      <c r="K13" s="107"/>
      <c r="L13" s="33"/>
      <c r="M13" s="33"/>
      <c r="N13" s="143"/>
      <c r="O13" s="143"/>
      <c r="P13" s="143"/>
      <c r="Q13" s="144"/>
      <c r="R13" s="144"/>
      <c r="S13" s="138"/>
      <c r="T13"/>
      <c r="U13"/>
      <c r="V13"/>
      <c r="W13"/>
      <c r="X13" s="159"/>
      <c r="Y13" s="159"/>
      <c r="Z13" s="159"/>
      <c r="AA13" s="159"/>
      <c r="AB13" s="159"/>
      <c r="AC13" s="159"/>
      <c r="AD13" s="159"/>
      <c r="AE13" s="109"/>
      <c r="AF13" s="109"/>
    </row>
    <row r="14" spans="1:32" ht="15">
      <c r="A14" s="33"/>
      <c r="B14" s="222" t="s">
        <v>90</v>
      </c>
      <c r="C14" s="223"/>
      <c r="D14" s="222" t="s">
        <v>91</v>
      </c>
      <c r="E14" s="223"/>
      <c r="F14" s="224" t="s">
        <v>19</v>
      </c>
      <c r="G14" s="224"/>
      <c r="H14" s="107"/>
      <c r="I14" s="107"/>
      <c r="J14" s="33"/>
      <c r="K14" s="33"/>
      <c r="L14" s="128"/>
      <c r="M14" s="128"/>
      <c r="N14" s="143"/>
      <c r="O14" s="144"/>
      <c r="P14" s="144"/>
      <c r="Q14" s="138"/>
      <c r="R14" s="138"/>
      <c r="S14" s="138"/>
      <c r="T14"/>
      <c r="U14"/>
      <c r="X14" s="160"/>
      <c r="Y14" s="160"/>
      <c r="Z14" s="108"/>
      <c r="AA14" s="108"/>
      <c r="AB14" s="108"/>
      <c r="AC14" s="108"/>
      <c r="AD14" s="108"/>
      <c r="AE14" s="108"/>
      <c r="AF14" s="108"/>
    </row>
    <row r="15" spans="1:32" ht="14.25">
      <c r="A15" s="97"/>
      <c r="B15" s="225"/>
      <c r="C15" s="226"/>
      <c r="D15" s="225"/>
      <c r="E15" s="226"/>
      <c r="F15" s="227">
        <f>D15-B15</f>
        <v>0</v>
      </c>
      <c r="G15" s="227"/>
      <c r="H15" s="107"/>
      <c r="I15" s="107"/>
      <c r="J15" s="97"/>
      <c r="K15" s="97"/>
      <c r="L15" s="128"/>
      <c r="M15" s="128"/>
      <c r="N15" s="143"/>
      <c r="O15" s="144"/>
      <c r="P15" s="144"/>
      <c r="Q15" s="138"/>
      <c r="R15" s="138"/>
      <c r="S15" s="138"/>
      <c r="T15"/>
      <c r="U15"/>
      <c r="X15" s="161"/>
      <c r="Y15" s="161"/>
      <c r="Z15" s="134"/>
      <c r="AA15" s="134"/>
      <c r="AB15" s="134"/>
      <c r="AC15" s="134"/>
      <c r="AD15" s="134"/>
      <c r="AE15" s="134"/>
      <c r="AF15" s="134"/>
    </row>
    <row r="16" spans="1:32" ht="13.5" customHeight="1">
      <c r="A16" s="97"/>
      <c r="B16" s="135"/>
      <c r="C16" s="135"/>
      <c r="D16" s="136"/>
      <c r="E16" s="136"/>
      <c r="F16" s="136"/>
      <c r="G16" s="136"/>
      <c r="H16" s="107"/>
      <c r="I16" s="107"/>
      <c r="J16" s="97"/>
      <c r="K16" s="97"/>
      <c r="L16" s="107"/>
      <c r="M16" s="107"/>
      <c r="N16" s="138"/>
      <c r="O16" s="138"/>
      <c r="P16" s="138"/>
      <c r="Q16" s="138"/>
      <c r="R16" s="138"/>
      <c r="S16" s="138"/>
      <c r="T16"/>
      <c r="U16"/>
      <c r="V16"/>
      <c r="W16"/>
    </row>
    <row r="17" spans="1:27" s="18" customFormat="1" ht="15" customHeight="1">
      <c r="A17" s="97"/>
      <c r="B17" s="135"/>
      <c r="C17" s="135"/>
      <c r="D17" s="136"/>
      <c r="E17" s="136"/>
      <c r="F17" s="136"/>
      <c r="G17" s="136"/>
      <c r="H17" s="97"/>
      <c r="I17" s="97"/>
      <c r="J17" s="97"/>
      <c r="K17" s="97"/>
      <c r="L17" s="129"/>
      <c r="M17" s="129"/>
      <c r="N17" s="145"/>
      <c r="O17" s="145"/>
      <c r="P17" s="145"/>
      <c r="Q17" s="145"/>
      <c r="R17" s="145"/>
      <c r="S17" s="145"/>
      <c r="T17" s="17"/>
      <c r="U17" s="17"/>
    </row>
    <row r="18" spans="1:27" s="18" customFormat="1" ht="15" customHeight="1">
      <c r="A18" s="97"/>
      <c r="B18" s="121" t="s">
        <v>106</v>
      </c>
      <c r="C18" s="130"/>
      <c r="D18" s="126"/>
      <c r="E18" s="126"/>
      <c r="F18" s="126"/>
      <c r="G18" s="126"/>
      <c r="H18" s="97"/>
      <c r="I18" s="97"/>
      <c r="J18" s="97"/>
      <c r="K18" s="97"/>
      <c r="L18" s="129"/>
      <c r="M18" s="129"/>
      <c r="N18" s="145"/>
      <c r="O18" s="145"/>
      <c r="P18" s="145"/>
      <c r="Q18" s="145"/>
      <c r="R18" s="145"/>
      <c r="S18" s="145"/>
      <c r="T18" s="17"/>
      <c r="U18" s="17"/>
    </row>
    <row r="19" spans="1:27" s="18" customFormat="1" ht="15" customHeight="1">
      <c r="A19" s="97"/>
      <c r="H19" s="97"/>
      <c r="I19" s="97"/>
      <c r="J19" s="97"/>
      <c r="K19" s="97"/>
      <c r="L19" s="129"/>
      <c r="M19" s="129"/>
      <c r="N19" s="145"/>
      <c r="O19" s="145"/>
      <c r="P19" s="145"/>
      <c r="Q19" s="145"/>
      <c r="R19" s="145"/>
      <c r="S19" s="145"/>
      <c r="T19" s="17"/>
      <c r="U19" s="17"/>
    </row>
    <row r="20" spans="1:27" s="18" customFormat="1" ht="15" customHeight="1">
      <c r="A20" s="97"/>
      <c r="B20" s="97" t="s">
        <v>96</v>
      </c>
      <c r="C20" s="97"/>
      <c r="D20" s="97"/>
      <c r="E20" s="97"/>
      <c r="F20" s="97"/>
      <c r="G20" s="97"/>
      <c r="H20" s="97"/>
      <c r="I20" s="126"/>
      <c r="J20" s="107"/>
      <c r="K20" s="107"/>
      <c r="L20" s="107"/>
      <c r="M20" s="107"/>
      <c r="N20" s="145"/>
      <c r="O20" s="145"/>
      <c r="P20" s="145"/>
      <c r="Q20" s="145"/>
      <c r="R20" s="145"/>
      <c r="S20" s="145"/>
      <c r="T20" s="17"/>
      <c r="U20" s="17"/>
      <c r="V20" s="17"/>
      <c r="W20" s="17"/>
    </row>
    <row r="21" spans="1:27" s="18" customFormat="1" ht="15" customHeight="1">
      <c r="A21" s="122"/>
      <c r="B21" s="222" t="s">
        <v>92</v>
      </c>
      <c r="C21" s="223"/>
      <c r="D21" s="150" t="s">
        <v>61</v>
      </c>
      <c r="E21" s="150" t="s">
        <v>62</v>
      </c>
      <c r="F21" s="222" t="s">
        <v>91</v>
      </c>
      <c r="G21" s="223"/>
      <c r="H21" s="220" t="s">
        <v>19</v>
      </c>
      <c r="I21" s="220"/>
      <c r="J21" s="220" t="s">
        <v>93</v>
      </c>
      <c r="K21" s="220"/>
      <c r="L21" s="131"/>
      <c r="M21" s="131"/>
      <c r="N21" s="145"/>
      <c r="O21" s="145"/>
      <c r="P21" s="145"/>
      <c r="Q21" s="145"/>
      <c r="R21" s="145"/>
      <c r="S21" s="145"/>
      <c r="T21" s="17"/>
      <c r="U21" s="17"/>
      <c r="V21" s="17"/>
      <c r="W21" s="17"/>
    </row>
    <row r="22" spans="1:27" s="18" customFormat="1" ht="15" customHeight="1">
      <c r="A22" s="164" t="s">
        <v>97</v>
      </c>
      <c r="B22" s="219"/>
      <c r="C22" s="219"/>
      <c r="D22" s="151"/>
      <c r="E22" s="152"/>
      <c r="F22" s="219"/>
      <c r="G22" s="219"/>
      <c r="H22" s="219">
        <f>F22-B22</f>
        <v>0</v>
      </c>
      <c r="I22" s="219"/>
      <c r="J22" s="220" t="str">
        <f>IF(D22-E22=0,"",IF(R22,R22,"/"))</f>
        <v/>
      </c>
      <c r="K22" s="220"/>
      <c r="L22" s="132"/>
      <c r="M22" s="133"/>
      <c r="N22" s="146">
        <f>B22+D22</f>
        <v>0</v>
      </c>
      <c r="O22" s="146">
        <f>B22+E22</f>
        <v>0</v>
      </c>
      <c r="P22" s="147" t="b">
        <f>IF(F22&gt;N22,F22-N22)</f>
        <v>0</v>
      </c>
      <c r="Q22" s="147" t="b">
        <f>IF(F22&lt;O22,F22-O22)</f>
        <v>0</v>
      </c>
      <c r="R22" s="147">
        <f>MAX(P22:Q22)</f>
        <v>0</v>
      </c>
      <c r="S22" s="148"/>
      <c r="T22" s="137"/>
      <c r="U22" s="137"/>
      <c r="V22" s="137"/>
      <c r="W22" s="137"/>
      <c r="Z22" s="158"/>
      <c r="AA22" s="111"/>
    </row>
    <row r="23" spans="1:27" s="18" customFormat="1" ht="15" customHeight="1">
      <c r="A23" s="164" t="s">
        <v>107</v>
      </c>
      <c r="B23" s="219"/>
      <c r="C23" s="219"/>
      <c r="D23" s="151"/>
      <c r="E23" s="152"/>
      <c r="F23" s="219"/>
      <c r="G23" s="219"/>
      <c r="H23" s="219">
        <f>F23-B23</f>
        <v>0</v>
      </c>
      <c r="I23" s="219"/>
      <c r="J23" s="220" t="str">
        <f>IF(D23-E23=0,"",IF(R23,R23,"/"))</f>
        <v/>
      </c>
      <c r="K23" s="220"/>
      <c r="L23" s="132"/>
      <c r="M23" s="133"/>
      <c r="N23" s="146">
        <f>B23+D23</f>
        <v>0</v>
      </c>
      <c r="O23" s="146">
        <f>B23+E23</f>
        <v>0</v>
      </c>
      <c r="P23" s="147" t="b">
        <f>IF(F23&gt;N23,F23-N23)</f>
        <v>0</v>
      </c>
      <c r="Q23" s="147" t="b">
        <f>IF(F23&lt;O23,F23-O23)</f>
        <v>0</v>
      </c>
      <c r="R23" s="147">
        <f>MAX(P23:Q23)</f>
        <v>0</v>
      </c>
      <c r="S23" s="148"/>
      <c r="T23" s="137"/>
      <c r="U23" s="137"/>
      <c r="V23" s="137"/>
      <c r="W23" s="137"/>
      <c r="Z23" s="158"/>
      <c r="AA23" s="111"/>
    </row>
    <row r="24" spans="1:27" s="18" customFormat="1" ht="15" customHeight="1">
      <c r="A24" s="164" t="s">
        <v>98</v>
      </c>
      <c r="B24" s="219"/>
      <c r="C24" s="219"/>
      <c r="D24" s="151"/>
      <c r="E24" s="152"/>
      <c r="F24" s="219"/>
      <c r="G24" s="219"/>
      <c r="H24" s="219">
        <f>F24-B24</f>
        <v>0</v>
      </c>
      <c r="I24" s="219"/>
      <c r="J24" s="220" t="str">
        <f>IF(D24-E24=0,"",IF(R24,R24,"/"))</f>
        <v/>
      </c>
      <c r="K24" s="220"/>
      <c r="L24" s="132"/>
      <c r="M24" s="133"/>
      <c r="N24" s="146">
        <f>B24+D24</f>
        <v>0</v>
      </c>
      <c r="O24" s="146">
        <f>B24+E24</f>
        <v>0</v>
      </c>
      <c r="P24" s="147" t="b">
        <f>IF(F24&gt;N24,F24-N24)</f>
        <v>0</v>
      </c>
      <c r="Q24" s="147" t="b">
        <f>IF(F24&lt;O24,F24-O24)</f>
        <v>0</v>
      </c>
      <c r="R24" s="147">
        <f>MAX(P24:Q24)</f>
        <v>0</v>
      </c>
      <c r="S24" s="148"/>
      <c r="T24" s="137"/>
      <c r="U24" s="137"/>
      <c r="V24" s="137"/>
      <c r="W24" s="137"/>
    </row>
    <row r="25" spans="1:27" s="18" customFormat="1" ht="15" customHeight="1">
      <c r="A25" s="123"/>
      <c r="L25" s="124"/>
      <c r="M25" s="16"/>
      <c r="N25" s="145"/>
      <c r="O25" s="145"/>
      <c r="P25" s="145"/>
      <c r="Q25" s="145"/>
      <c r="R25" s="145"/>
      <c r="S25" s="145"/>
      <c r="T25" s="17"/>
      <c r="U25" s="17"/>
      <c r="V25" s="17"/>
      <c r="W25" s="17"/>
    </row>
    <row r="26" spans="1:27" s="18" customFormat="1" ht="15" customHeight="1">
      <c r="N26" s="146">
        <f>B29+D29</f>
        <v>0</v>
      </c>
      <c r="O26" s="146">
        <f>B29+E29</f>
        <v>0</v>
      </c>
      <c r="P26" s="147" t="b">
        <f>IF(F29&gt;N26,F29-N26)</f>
        <v>0</v>
      </c>
      <c r="Q26" s="147" t="b">
        <f>IF(F29&lt;O26,F29-O26)</f>
        <v>0</v>
      </c>
      <c r="R26" s="147">
        <f>MAX(P26:Q26)</f>
        <v>0</v>
      </c>
      <c r="S26" s="148"/>
      <c r="T26" s="137"/>
      <c r="U26" s="137"/>
      <c r="V26" s="17"/>
      <c r="W26" s="17"/>
    </row>
    <row r="27" spans="1:27" s="18" customFormat="1" ht="15" customHeight="1">
      <c r="A27" s="85"/>
      <c r="B27" s="97" t="s">
        <v>99</v>
      </c>
      <c r="C27" s="97"/>
      <c r="D27" s="97"/>
      <c r="E27" s="97"/>
      <c r="F27" s="97"/>
      <c r="G27" s="97"/>
      <c r="H27" s="97"/>
      <c r="I27" s="126"/>
      <c r="J27" s="107"/>
      <c r="K27" s="107"/>
      <c r="N27" s="145"/>
      <c r="O27" s="145"/>
      <c r="P27" s="145"/>
      <c r="Q27" s="145"/>
      <c r="R27" s="145"/>
      <c r="S27" s="145"/>
      <c r="T27" s="17"/>
      <c r="U27" s="17"/>
      <c r="V27" s="17"/>
      <c r="W27" s="17"/>
    </row>
    <row r="28" spans="1:27" s="18" customFormat="1" ht="15" customHeight="1">
      <c r="A28" s="86"/>
      <c r="B28" s="222" t="s">
        <v>92</v>
      </c>
      <c r="C28" s="223"/>
      <c r="D28" s="150" t="s">
        <v>61</v>
      </c>
      <c r="E28" s="150" t="s">
        <v>62</v>
      </c>
      <c r="F28" s="222" t="s">
        <v>91</v>
      </c>
      <c r="G28" s="223"/>
      <c r="H28" s="220" t="s">
        <v>19</v>
      </c>
      <c r="I28" s="220"/>
      <c r="J28" s="220" t="s">
        <v>93</v>
      </c>
      <c r="K28" s="220"/>
      <c r="L28" s="110"/>
      <c r="M28" s="154"/>
      <c r="N28" s="145"/>
      <c r="O28" s="145"/>
      <c r="P28" s="145"/>
      <c r="Q28" s="145"/>
      <c r="R28" s="145"/>
      <c r="S28" s="145"/>
      <c r="T28" s="17"/>
      <c r="U28" s="17"/>
      <c r="V28" s="17"/>
      <c r="W28" s="17"/>
    </row>
    <row r="29" spans="1:27" s="18" customFormat="1" ht="15" customHeight="1">
      <c r="A29" s="164" t="s">
        <v>97</v>
      </c>
      <c r="B29" s="219"/>
      <c r="C29" s="219"/>
      <c r="D29" s="151"/>
      <c r="E29" s="152"/>
      <c r="F29" s="219"/>
      <c r="G29" s="219"/>
      <c r="H29" s="219">
        <f>F29-B29</f>
        <v>0</v>
      </c>
      <c r="I29" s="219"/>
      <c r="J29" s="220" t="str">
        <f>IF(D29-E29=0,"",IF(R29,R29,"/"))</f>
        <v/>
      </c>
      <c r="K29" s="220"/>
      <c r="L29" s="132"/>
      <c r="M29" s="133"/>
      <c r="N29" s="146">
        <f>B29+D29</f>
        <v>0</v>
      </c>
      <c r="O29" s="146">
        <f>B29+E29</f>
        <v>0</v>
      </c>
      <c r="P29" s="147" t="b">
        <f>IF(F29&gt;N29,F29-N29)</f>
        <v>0</v>
      </c>
      <c r="Q29" s="147" t="b">
        <f>IF(F29&lt;O29,F29-O29)</f>
        <v>0</v>
      </c>
      <c r="R29" s="147">
        <f>MAX(P29:Q29)</f>
        <v>0</v>
      </c>
      <c r="S29" s="148"/>
      <c r="T29" s="137"/>
      <c r="U29" s="137"/>
      <c r="V29" s="137"/>
      <c r="W29" s="137"/>
    </row>
    <row r="30" spans="1:27" s="18" customFormat="1" ht="20.100000000000001" customHeight="1">
      <c r="A30" s="164" t="s">
        <v>107</v>
      </c>
      <c r="B30" s="219"/>
      <c r="C30" s="219"/>
      <c r="D30" s="151"/>
      <c r="E30" s="152"/>
      <c r="F30" s="219"/>
      <c r="G30" s="219"/>
      <c r="H30" s="219">
        <f>F30-B30</f>
        <v>0</v>
      </c>
      <c r="I30" s="219"/>
      <c r="J30" s="220" t="str">
        <f>IF(D30-E30=0,"",IF(R30,R30,"/"))</f>
        <v/>
      </c>
      <c r="K30" s="220"/>
      <c r="L30" s="132"/>
      <c r="M30" s="133"/>
      <c r="N30" s="146">
        <f>B30+D30</f>
        <v>0</v>
      </c>
      <c r="O30" s="146">
        <f>B30+E30</f>
        <v>0</v>
      </c>
      <c r="P30" s="147" t="b">
        <f>IF(F30&gt;N30,F30-N30)</f>
        <v>0</v>
      </c>
      <c r="Q30" s="147" t="b">
        <f>IF(F30&lt;O30,F30-O30)</f>
        <v>0</v>
      </c>
      <c r="R30" s="147">
        <f>MAX(P30:Q30)</f>
        <v>0</v>
      </c>
      <c r="S30" s="148"/>
      <c r="T30" s="137"/>
      <c r="U30" s="137"/>
      <c r="V30" s="137"/>
      <c r="W30" s="137"/>
    </row>
    <row r="31" spans="1:27" s="18" customFormat="1" ht="20.100000000000001" customHeight="1">
      <c r="A31" s="164" t="s">
        <v>98</v>
      </c>
      <c r="B31" s="219"/>
      <c r="C31" s="219"/>
      <c r="D31" s="151"/>
      <c r="E31" s="152"/>
      <c r="F31" s="219"/>
      <c r="G31" s="219"/>
      <c r="H31" s="219">
        <f>F31-B31</f>
        <v>0</v>
      </c>
      <c r="I31" s="219"/>
      <c r="J31" s="220" t="str">
        <f>IF(D31-E31=0,"",IF(R31,R31,"/"))</f>
        <v/>
      </c>
      <c r="K31" s="220"/>
      <c r="L31" s="115"/>
      <c r="M31" s="156"/>
      <c r="N31" s="145"/>
      <c r="O31" s="145"/>
      <c r="P31" s="145"/>
      <c r="Q31" s="145"/>
      <c r="R31" s="145"/>
      <c r="S31" s="145"/>
      <c r="T31" s="17"/>
      <c r="U31" s="17"/>
      <c r="V31" s="17"/>
      <c r="W31" s="17"/>
    </row>
    <row r="32" spans="1:27" s="18" customFormat="1" ht="20.100000000000001" customHeight="1">
      <c r="A32" s="86"/>
      <c r="B32" s="110"/>
      <c r="C32" s="114"/>
      <c r="D32" s="115"/>
      <c r="E32" s="115"/>
      <c r="F32" s="115"/>
      <c r="G32" s="115"/>
      <c r="H32" s="115"/>
      <c r="I32" s="155"/>
      <c r="J32" s="116"/>
      <c r="K32" s="115"/>
      <c r="L32" s="115"/>
      <c r="M32" s="156"/>
      <c r="N32" s="145"/>
      <c r="O32" s="145"/>
      <c r="P32" s="145"/>
      <c r="Q32" s="145"/>
      <c r="R32" s="145"/>
      <c r="S32" s="145"/>
      <c r="T32" s="17"/>
      <c r="U32" s="17"/>
      <c r="V32" s="17"/>
      <c r="W32" s="17"/>
    </row>
    <row r="33" spans="1:23" s="18" customFormat="1" ht="20.100000000000001" customHeight="1">
      <c r="A33" s="86"/>
      <c r="B33" s="110"/>
      <c r="C33" s="117"/>
      <c r="D33" s="115"/>
      <c r="E33" s="115"/>
      <c r="F33" s="115"/>
      <c r="G33" s="115"/>
      <c r="H33" s="117"/>
      <c r="I33" s="155"/>
      <c r="J33" s="116"/>
      <c r="K33" s="118"/>
      <c r="L33" s="115"/>
      <c r="M33" s="156"/>
      <c r="N33" s="145"/>
      <c r="O33" s="145"/>
      <c r="P33" s="145"/>
      <c r="Q33" s="145"/>
      <c r="R33" s="145"/>
      <c r="S33" s="145"/>
      <c r="T33" s="17"/>
      <c r="U33" s="17"/>
      <c r="V33" s="17"/>
      <c r="W33" s="17"/>
    </row>
    <row r="34" spans="1:23" s="18" customFormat="1" ht="20.100000000000001" customHeight="1">
      <c r="A34" s="86"/>
      <c r="B34" s="110"/>
      <c r="C34" s="115"/>
      <c r="D34" s="115"/>
      <c r="E34" s="115"/>
      <c r="F34" s="115"/>
      <c r="G34" s="115"/>
      <c r="H34" s="115"/>
      <c r="I34" s="155"/>
      <c r="J34" s="116"/>
      <c r="K34" s="115"/>
      <c r="L34" s="115"/>
      <c r="M34" s="156"/>
      <c r="N34" s="145"/>
      <c r="O34" s="145"/>
      <c r="P34" s="145"/>
      <c r="Q34" s="145"/>
      <c r="R34" s="145"/>
      <c r="S34" s="145"/>
      <c r="T34" s="17"/>
      <c r="U34" s="17"/>
      <c r="V34" s="17"/>
      <c r="W34" s="17"/>
    </row>
    <row r="35" spans="1:23" s="18" customFormat="1" ht="20.100000000000001" customHeight="1">
      <c r="A35" s="86"/>
      <c r="B35" s="110"/>
      <c r="C35" s="117"/>
      <c r="D35" s="115"/>
      <c r="E35" s="115"/>
      <c r="F35" s="115"/>
      <c r="G35" s="115"/>
      <c r="H35" s="117"/>
      <c r="I35" s="155"/>
      <c r="J35" s="116"/>
      <c r="K35" s="119"/>
      <c r="L35" s="115"/>
      <c r="M35" s="156"/>
      <c r="N35" s="145">
        <f t="shared" ref="N35:N51" si="0">IF(G33&lt;A33+D33,(G33-(A33+D33)),0)</f>
        <v>0</v>
      </c>
      <c r="O35" s="145">
        <f t="shared" ref="O35:O51" si="1">IF(G33&gt;A33+C33,(G33-(A33+C33)),0)</f>
        <v>0</v>
      </c>
      <c r="P35" s="145"/>
      <c r="Q35" s="145"/>
      <c r="R35" s="145"/>
      <c r="S35" s="145"/>
      <c r="T35" s="17"/>
      <c r="U35" s="17"/>
      <c r="V35" s="17"/>
      <c r="W35" s="17"/>
    </row>
    <row r="36" spans="1:23" s="18" customFormat="1" ht="20.100000000000001" customHeight="1">
      <c r="A36" s="86"/>
      <c r="B36" s="110"/>
      <c r="C36" s="110"/>
      <c r="D36" s="110"/>
      <c r="E36" s="110"/>
      <c r="F36" s="110"/>
      <c r="G36" s="110"/>
      <c r="H36" s="110"/>
      <c r="I36" s="153"/>
      <c r="J36" s="112"/>
      <c r="K36" s="110"/>
      <c r="L36" s="110"/>
      <c r="M36" s="154"/>
      <c r="N36" s="145">
        <f t="shared" si="0"/>
        <v>0</v>
      </c>
      <c r="O36" s="145">
        <f t="shared" si="1"/>
        <v>0</v>
      </c>
      <c r="P36" s="145"/>
      <c r="Q36" s="145"/>
      <c r="R36" s="145"/>
      <c r="S36" s="145"/>
      <c r="T36" s="17"/>
      <c r="U36" s="17"/>
      <c r="V36" s="17"/>
      <c r="W36" s="17"/>
    </row>
    <row r="37" spans="1:23" s="18" customFormat="1" ht="20.100000000000001" customHeight="1">
      <c r="A37" s="86"/>
      <c r="B37" s="110"/>
      <c r="C37" s="110"/>
      <c r="D37" s="110"/>
      <c r="E37" s="110"/>
      <c r="F37" s="110"/>
      <c r="G37" s="110"/>
      <c r="H37" s="110"/>
      <c r="I37" s="153"/>
      <c r="J37" s="112"/>
      <c r="K37" s="110"/>
      <c r="L37" s="110"/>
      <c r="M37" s="154"/>
      <c r="N37" s="145">
        <f t="shared" si="0"/>
        <v>0</v>
      </c>
      <c r="O37" s="145">
        <f t="shared" si="1"/>
        <v>0</v>
      </c>
      <c r="P37" s="145"/>
      <c r="Q37" s="145"/>
      <c r="R37" s="145"/>
      <c r="S37" s="145"/>
      <c r="T37" s="17"/>
      <c r="U37" s="17"/>
      <c r="V37" s="17"/>
      <c r="W37" s="17"/>
    </row>
    <row r="38" spans="1:23" s="18" customFormat="1" ht="20.100000000000001" customHeight="1">
      <c r="A38" s="86"/>
      <c r="B38" s="110"/>
      <c r="C38" s="110"/>
      <c r="D38" s="110"/>
      <c r="E38" s="110"/>
      <c r="F38" s="110"/>
      <c r="G38" s="110"/>
      <c r="H38" s="110"/>
      <c r="I38" s="111"/>
      <c r="J38" s="112"/>
      <c r="K38" s="110"/>
      <c r="L38" s="110"/>
      <c r="M38" s="113"/>
      <c r="N38" s="145">
        <f t="shared" si="0"/>
        <v>0</v>
      </c>
      <c r="O38" s="145">
        <f t="shared" si="1"/>
        <v>0</v>
      </c>
      <c r="P38" s="145"/>
      <c r="Q38" s="145"/>
      <c r="R38" s="145"/>
      <c r="S38" s="145"/>
      <c r="T38" s="17"/>
      <c r="U38" s="17"/>
      <c r="V38" s="17"/>
      <c r="W38" s="17"/>
    </row>
    <row r="39" spans="1:23" s="18" customFormat="1" ht="20.100000000000001" customHeight="1">
      <c r="A39" s="86"/>
      <c r="B39" s="110"/>
      <c r="C39" s="110"/>
      <c r="D39" s="110"/>
      <c r="E39" s="110"/>
      <c r="F39" s="110"/>
      <c r="G39" s="110"/>
      <c r="H39" s="110"/>
      <c r="I39" s="111"/>
      <c r="J39" s="112"/>
      <c r="K39" s="110"/>
      <c r="L39" s="110"/>
      <c r="M39" s="113"/>
      <c r="N39" s="145">
        <f t="shared" si="0"/>
        <v>0</v>
      </c>
      <c r="O39" s="145">
        <f t="shared" si="1"/>
        <v>0</v>
      </c>
      <c r="P39" s="145"/>
      <c r="Q39" s="145"/>
      <c r="R39" s="145"/>
      <c r="S39" s="145"/>
      <c r="T39" s="17"/>
      <c r="U39" s="17"/>
      <c r="V39" s="17"/>
      <c r="W39" s="17"/>
    </row>
    <row r="40" spans="1:23" ht="20.100000000000001" customHeight="1">
      <c r="A40" s="86"/>
      <c r="B40" s="110"/>
      <c r="C40" s="110"/>
      <c r="D40" s="110"/>
      <c r="E40" s="110"/>
      <c r="F40" s="110"/>
      <c r="G40" s="110"/>
      <c r="H40" s="110"/>
      <c r="I40" s="111"/>
      <c r="J40" s="112"/>
      <c r="K40" s="110"/>
      <c r="L40" s="110"/>
      <c r="M40" s="113"/>
      <c r="N40" s="145">
        <f t="shared" si="0"/>
        <v>0</v>
      </c>
      <c r="O40" s="145">
        <f t="shared" si="1"/>
        <v>0</v>
      </c>
    </row>
    <row r="41" spans="1:23" ht="20.100000000000001" customHeight="1">
      <c r="A41" s="86"/>
      <c r="B41" s="110"/>
      <c r="C41" s="110"/>
      <c r="D41" s="110"/>
      <c r="E41" s="110"/>
      <c r="F41" s="110"/>
      <c r="G41" s="110"/>
      <c r="H41" s="110"/>
      <c r="I41" s="111"/>
      <c r="J41" s="112"/>
      <c r="K41" s="110"/>
      <c r="L41" s="110"/>
      <c r="M41" s="113"/>
      <c r="N41" s="145">
        <f t="shared" si="0"/>
        <v>0</v>
      </c>
      <c r="O41" s="145">
        <f t="shared" si="1"/>
        <v>0</v>
      </c>
    </row>
    <row r="42" spans="1:23" ht="20.100000000000001" customHeight="1">
      <c r="A42" s="86"/>
      <c r="B42" s="110"/>
      <c r="C42" s="110"/>
      <c r="D42" s="110"/>
      <c r="E42" s="110"/>
      <c r="F42" s="110"/>
      <c r="G42" s="110"/>
      <c r="H42" s="110"/>
      <c r="I42" s="111"/>
      <c r="J42" s="112"/>
      <c r="K42" s="110"/>
      <c r="L42" s="110"/>
      <c r="M42" s="113"/>
      <c r="N42" s="145">
        <f t="shared" si="0"/>
        <v>0</v>
      </c>
      <c r="O42" s="145">
        <f t="shared" si="1"/>
        <v>0</v>
      </c>
    </row>
    <row r="43" spans="1:23" ht="20.100000000000001" customHeight="1">
      <c r="A43" s="86"/>
      <c r="B43" s="110"/>
      <c r="C43" s="110"/>
      <c r="D43" s="110"/>
      <c r="E43" s="110"/>
      <c r="F43" s="110"/>
      <c r="G43" s="110"/>
      <c r="H43" s="110"/>
      <c r="I43" s="111"/>
      <c r="J43" s="112"/>
      <c r="K43" s="110"/>
      <c r="L43" s="110"/>
      <c r="M43" s="113"/>
      <c r="N43" s="145">
        <f t="shared" si="0"/>
        <v>0</v>
      </c>
      <c r="O43" s="145">
        <f t="shared" si="1"/>
        <v>0</v>
      </c>
    </row>
    <row r="44" spans="1:23" ht="20.100000000000001" customHeight="1">
      <c r="A44" s="86"/>
      <c r="B44" s="110"/>
      <c r="C44" s="110"/>
      <c r="D44" s="110"/>
      <c r="E44" s="110"/>
      <c r="F44" s="110"/>
      <c r="G44" s="110"/>
      <c r="H44" s="110"/>
      <c r="I44" s="111"/>
      <c r="J44" s="112"/>
      <c r="K44" s="110"/>
      <c r="L44" s="110"/>
      <c r="M44" s="113"/>
      <c r="N44" s="145">
        <f t="shared" si="0"/>
        <v>0</v>
      </c>
      <c r="O44" s="145">
        <f t="shared" si="1"/>
        <v>0</v>
      </c>
    </row>
    <row r="45" spans="1:23" ht="20.100000000000001" customHeight="1">
      <c r="A45" s="86"/>
      <c r="B45" s="110"/>
      <c r="C45" s="110"/>
      <c r="D45" s="110"/>
      <c r="E45" s="110"/>
      <c r="F45" s="110"/>
      <c r="G45" s="110"/>
      <c r="H45" s="110"/>
      <c r="I45" s="111"/>
      <c r="J45" s="112"/>
      <c r="K45" s="110"/>
      <c r="L45" s="110"/>
      <c r="M45" s="113"/>
      <c r="N45" s="145">
        <f t="shared" si="0"/>
        <v>0</v>
      </c>
      <c r="O45" s="145">
        <f t="shared" si="1"/>
        <v>0</v>
      </c>
    </row>
    <row r="46" spans="1:23" ht="20.100000000000001" customHeight="1">
      <c r="A46" s="86"/>
      <c r="B46" s="110"/>
      <c r="C46" s="110"/>
      <c r="D46" s="110"/>
      <c r="E46" s="110"/>
      <c r="F46" s="110"/>
      <c r="G46" s="110"/>
      <c r="H46" s="110"/>
      <c r="I46" s="111"/>
      <c r="J46" s="112"/>
      <c r="K46" s="110"/>
      <c r="L46" s="110"/>
      <c r="M46" s="113"/>
      <c r="N46" s="145">
        <f t="shared" si="0"/>
        <v>0</v>
      </c>
      <c r="O46" s="145">
        <f t="shared" si="1"/>
        <v>0</v>
      </c>
    </row>
    <row r="47" spans="1:23" ht="20.100000000000001" customHeight="1">
      <c r="A47" s="86"/>
      <c r="B47" s="110"/>
      <c r="C47" s="110"/>
      <c r="D47" s="110"/>
      <c r="E47" s="110"/>
      <c r="F47" s="110"/>
      <c r="G47" s="110"/>
      <c r="H47" s="110"/>
      <c r="I47" s="111"/>
      <c r="J47" s="112"/>
      <c r="K47" s="110"/>
      <c r="L47" s="110"/>
      <c r="M47" s="113"/>
      <c r="N47" s="145">
        <f t="shared" si="0"/>
        <v>0</v>
      </c>
      <c r="O47" s="145">
        <f t="shared" si="1"/>
        <v>0</v>
      </c>
    </row>
    <row r="48" spans="1:23" ht="20.100000000000001" customHeight="1">
      <c r="A48" s="86"/>
      <c r="B48" s="110"/>
      <c r="C48" s="110"/>
      <c r="D48" s="110"/>
      <c r="E48" s="110"/>
      <c r="F48" s="110"/>
      <c r="G48" s="110"/>
      <c r="H48" s="110"/>
      <c r="I48" s="111"/>
      <c r="J48" s="112"/>
      <c r="K48" s="110"/>
      <c r="L48" s="110"/>
      <c r="M48" s="113"/>
      <c r="N48" s="145">
        <f t="shared" si="0"/>
        <v>0</v>
      </c>
      <c r="O48" s="145">
        <f t="shared" si="1"/>
        <v>0</v>
      </c>
    </row>
    <row r="49" spans="1:15" ht="20.100000000000001" customHeight="1">
      <c r="A49" s="86"/>
      <c r="B49" s="110"/>
      <c r="C49" s="110"/>
      <c r="D49" s="110"/>
      <c r="E49" s="110"/>
      <c r="F49" s="110"/>
      <c r="G49" s="110"/>
      <c r="H49" s="110"/>
      <c r="I49" s="111"/>
      <c r="J49" s="112"/>
      <c r="K49" s="110"/>
      <c r="L49" s="110"/>
      <c r="M49" s="113"/>
      <c r="N49" s="145">
        <f t="shared" si="0"/>
        <v>0</v>
      </c>
      <c r="O49" s="145">
        <f t="shared" si="1"/>
        <v>0</v>
      </c>
    </row>
    <row r="50" spans="1:15" ht="20.100000000000001" customHeight="1">
      <c r="N50" s="145">
        <f t="shared" si="0"/>
        <v>0</v>
      </c>
      <c r="O50" s="145">
        <f t="shared" si="1"/>
        <v>0</v>
      </c>
    </row>
    <row r="51" spans="1:15" ht="20.100000000000001" customHeight="1">
      <c r="N51" s="145">
        <f t="shared" si="0"/>
        <v>0</v>
      </c>
      <c r="O51" s="145">
        <f t="shared" si="1"/>
        <v>0</v>
      </c>
    </row>
    <row r="53" spans="1:15">
      <c r="E53" s="13"/>
      <c r="F53" s="13"/>
      <c r="G53" s="13"/>
      <c r="H53" s="13"/>
      <c r="I53" s="13"/>
    </row>
    <row r="69" spans="15:16">
      <c r="O69" s="149"/>
      <c r="P69" s="149"/>
    </row>
  </sheetData>
  <mergeCells count="41">
    <mergeCell ref="B28:C28"/>
    <mergeCell ref="F28:G28"/>
    <mergeCell ref="H28:I28"/>
    <mergeCell ref="J28:K28"/>
    <mergeCell ref="F15:G15"/>
    <mergeCell ref="B24:C24"/>
    <mergeCell ref="F24:G24"/>
    <mergeCell ref="H24:I24"/>
    <mergeCell ref="J24:K24"/>
    <mergeCell ref="A2:K2"/>
    <mergeCell ref="A6:K6"/>
    <mergeCell ref="A3:K3"/>
    <mergeCell ref="J21:K21"/>
    <mergeCell ref="J22:K22"/>
    <mergeCell ref="F21:G21"/>
    <mergeCell ref="H21:I21"/>
    <mergeCell ref="F22:G22"/>
    <mergeCell ref="H22:I22"/>
    <mergeCell ref="B22:C22"/>
    <mergeCell ref="B21:C21"/>
    <mergeCell ref="B14:C14"/>
    <mergeCell ref="D14:E14"/>
    <mergeCell ref="F14:G14"/>
    <mergeCell ref="B15:C15"/>
    <mergeCell ref="D15:E15"/>
    <mergeCell ref="B23:C23"/>
    <mergeCell ref="F23:G23"/>
    <mergeCell ref="H23:I23"/>
    <mergeCell ref="J23:K23"/>
    <mergeCell ref="B31:C31"/>
    <mergeCell ref="F31:G31"/>
    <mergeCell ref="H31:I31"/>
    <mergeCell ref="J31:K31"/>
    <mergeCell ref="B30:C30"/>
    <mergeCell ref="F30:G30"/>
    <mergeCell ref="H30:I30"/>
    <mergeCell ref="J30:K30"/>
    <mergeCell ref="B29:C29"/>
    <mergeCell ref="F29:G29"/>
    <mergeCell ref="H29:I29"/>
    <mergeCell ref="J29:K29"/>
  </mergeCells>
  <conditionalFormatting sqref="I32 I36:I49">
    <cfRule type="cellIs" dxfId="5" priority="6" stopIfTrue="1" operator="notBetween">
      <formula>$A$32+$C$32</formula>
      <formula>$A$32+$D$32</formula>
    </cfRule>
  </conditionalFormatting>
  <conditionalFormatting sqref="I33:I35">
    <cfRule type="cellIs" dxfId="4" priority="4" stopIfTrue="1" operator="notBetween">
      <formula>$A$32+$C$32</formula>
      <formula>$A$32+$D$32</formula>
    </cfRule>
  </conditionalFormatting>
  <conditionalFormatting sqref="H11">
    <cfRule type="containsBlanks" dxfId="3" priority="3">
      <formula>LEN(TRIM(H11))=0</formula>
    </cfRule>
  </conditionalFormatting>
  <conditionalFormatting sqref="B15">
    <cfRule type="containsBlanks" dxfId="2" priority="2">
      <formula>LEN(TRIM(B15))=0</formula>
    </cfRule>
  </conditionalFormatting>
  <conditionalFormatting sqref="D15">
    <cfRule type="containsBlanks" dxfId="1" priority="1">
      <formula>LEN(TRIM(D15))=0</formula>
    </cfRule>
  </conditionalFormatting>
  <printOptions horizontalCentered="1"/>
  <pageMargins left="0.39370078740157483" right="0.39370078740157483" top="0.39370078740157483" bottom="0.39370078740157483" header="0.31496062992125984" footer="0.31496062992125984"/>
  <pageSetup paperSize="9" fitToWidth="0" fitToHeight="0" pageOrder="overThenDown" orientation="portrait" r:id="rId1"/>
  <headerFooter alignWithMargins="0">
    <oddFooter>&amp;RPage 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DCE159DA1F3154EA66D0E243DF3BAA6" ma:contentTypeVersion="10" ma:contentTypeDescription="Crée un document." ma:contentTypeScope="" ma:versionID="438104f49e01fba44cf8b3fd65beffa3">
  <xsd:schema xmlns:xsd="http://www.w3.org/2001/XMLSchema" xmlns:xs="http://www.w3.org/2001/XMLSchema" xmlns:p="http://schemas.microsoft.com/office/2006/metadata/properties" xmlns:ns2="c3017dfb-aab7-47ef-946e-d0b6069f8b09" targetNamespace="http://schemas.microsoft.com/office/2006/metadata/properties" ma:root="true" ma:fieldsID="ef9b391dc0ded3987a22bfffeb30e30a" ns2:_="">
    <xsd:import namespace="c3017dfb-aab7-47ef-946e-d0b6069f8b0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017dfb-aab7-47ef-946e-d0b6069f8b0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00C335C-7C0E-4DA0-975A-1F658E468D74}">
  <ds:schemaRefs>
    <ds:schemaRef ds:uri="http://schemas.microsoft.com/office/2006/documentManagement/types"/>
    <ds:schemaRef ds:uri="http://purl.org/dc/terms/"/>
    <ds:schemaRef ds:uri="c3017dfb-aab7-47ef-946e-d0b6069f8b09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B60B481A-4AE7-4565-BBE0-32E3A5D992F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2B4B030-4071-4060-8B91-0703DE5D8F5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3017dfb-aab7-47ef-946e-d0b6069f8b0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3</vt:i4>
      </vt:variant>
    </vt:vector>
  </HeadingPairs>
  <TitlesOfParts>
    <vt:vector size="6" baseType="lpstr">
      <vt:lpstr>Rapport d'essai dimensionnel</vt:lpstr>
      <vt:lpstr>Plan de contrôle horizontal</vt:lpstr>
      <vt:lpstr>Mesures</vt:lpstr>
      <vt:lpstr>Mesures!Zone_d_impression</vt:lpstr>
      <vt:lpstr>'Plan de contrôle horizontal'!Zone_d_impression</vt:lpstr>
      <vt:lpstr>'Rapport d''essai dimensionnel'!Zone_d_impression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COMEP</cp:lastModifiedBy>
  <cp:lastPrinted>2024-01-09T09:48:35Z</cp:lastPrinted>
  <dcterms:created xsi:type="dcterms:W3CDTF">1996-10-21T11:03:58Z</dcterms:created>
  <dcterms:modified xsi:type="dcterms:W3CDTF">2024-03-19T07:42:50Z</dcterms:modified>
</cp:coreProperties>
</file>