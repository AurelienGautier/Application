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drawings/drawing13.xml" ContentType="application/vnd.openxmlformats-officedocument.drawingml.chartshapes+xml"/>
  <Override PartName="/xl/charts/chart8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16.xml" ContentType="application/vnd.openxmlformats-officedocument.drawingml.chartshapes+xml"/>
  <Override PartName="/xl/charts/chart10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9.xml" ContentType="application/vnd.openxmlformats-officedocument.drawingml.chartshapes+xml"/>
  <Override PartName="/xl/charts/chart12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22.xml" ContentType="application/vnd.openxmlformats-officedocument.drawingml.chartshapes+xml"/>
  <Override PartName="/xl/charts/chart14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omments8.xml" ContentType="application/vnd.openxmlformats-officedocument.spreadsheetml.comments+xml"/>
  <Override PartName="/xl/charts/chart15.xml" ContentType="application/vnd.openxmlformats-officedocument.drawingml.chart+xml"/>
  <Override PartName="/xl/drawings/drawing25.xml" ContentType="application/vnd.openxmlformats-officedocument.drawingml.chartshapes+xml"/>
  <Override PartName="/xl/charts/chart16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omments9.xml" ContentType="application/vnd.openxmlformats-officedocument.spreadsheetml.comments+xml"/>
  <Override PartName="/xl/charts/chart17.xml" ContentType="application/vnd.openxmlformats-officedocument.drawingml.chart+xml"/>
  <Override PartName="/xl/drawings/drawing28.xml" ContentType="application/vnd.openxmlformats-officedocument.drawingml.chartshapes+xml"/>
  <Override PartName="/xl/charts/chart18.xml" ContentType="application/vnd.openxmlformats-officedocument.drawingml.chart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omments10.xml" ContentType="application/vnd.openxmlformats-officedocument.spreadsheetml.comments+xml"/>
  <Override PartName="/xl/charts/chart19.xml" ContentType="application/vnd.openxmlformats-officedocument.drawingml.chart+xml"/>
  <Override PartName="/xl/drawings/drawing31.xml" ContentType="application/vnd.openxmlformats-officedocument.drawingml.chartshapes+xml"/>
  <Override PartName="/xl/charts/chart20.xml" ContentType="application/vnd.openxmlformats-officedocument.drawingml.chart+xml"/>
  <Override PartName="/xl/drawings/drawing3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Z:\GED\TRIDIMENSIONNEL\Partage F\DEM\GESTION DU LABO5\NE PAS UTILISER\"/>
    </mc:Choice>
  </mc:AlternateContent>
  <xr:revisionPtr revIDLastSave="0" documentId="8_{C14A4F17-A0C7-4332-9642-67A9BB823EF1}" xr6:coauthVersionLast="47" xr6:coauthVersionMax="47" xr10:uidLastSave="{00000000-0000-0000-0000-000000000000}"/>
  <bookViews>
    <workbookView xWindow="1560" yWindow="510" windowWidth="27195" windowHeight="15090" tabRatio="947" xr2:uid="{00000000-000D-0000-FFFF-FFFF00000000}"/>
  </bookViews>
  <sheets>
    <sheet name="Rapport d'essai dimensionnel" sheetId="21" r:id="rId1"/>
    <sheet name="Plan de contrôle horizontal" sheetId="22" r:id="rId2"/>
    <sheet name="Capa" sheetId="27" r:id="rId3"/>
    <sheet name="Capa (2)" sheetId="29" r:id="rId4"/>
    <sheet name="Capa (3)" sheetId="30" r:id="rId5"/>
    <sheet name="Capa (4)" sheetId="31" r:id="rId6"/>
    <sheet name="Capa (5)" sheetId="32" r:id="rId7"/>
    <sheet name="Capa (6)" sheetId="33" r:id="rId8"/>
    <sheet name="Capa (7)" sheetId="34" r:id="rId9"/>
    <sheet name="Capa (8)" sheetId="35" r:id="rId10"/>
    <sheet name="Capa (9)" sheetId="36" r:id="rId11"/>
    <sheet name="Capa (10)" sheetId="37" r:id="rId12"/>
  </sheets>
  <externalReferences>
    <externalReference r:id="rId13"/>
    <externalReference r:id="rId14"/>
  </externalReferences>
  <definedNames>
    <definedName name="constat" localSheetId="2">#REF!</definedName>
    <definedName name="constat" localSheetId="11">#REF!</definedName>
    <definedName name="constat" localSheetId="3">#REF!</definedName>
    <definedName name="constat" localSheetId="4">#REF!</definedName>
    <definedName name="constat" localSheetId="5">#REF!</definedName>
    <definedName name="constat" localSheetId="6">#REF!</definedName>
    <definedName name="constat" localSheetId="7">#REF!</definedName>
    <definedName name="constat" localSheetId="8">#REF!</definedName>
    <definedName name="constat" localSheetId="9">#REF!</definedName>
    <definedName name="constat" localSheetId="10">#REF!</definedName>
    <definedName name="constat">#REF!</definedName>
    <definedName name="DATA" localSheetId="2">Capa!$C$19:$AK$33</definedName>
    <definedName name="DATA" localSheetId="11">'Capa (10)'!$C$19:$AK$33</definedName>
    <definedName name="DATA" localSheetId="3">'Capa (2)'!$C$19:$AK$33</definedName>
    <definedName name="DATA" localSheetId="4">'Capa (3)'!$C$19:$AK$33</definedName>
    <definedName name="DATA" localSheetId="5">'Capa (4)'!$C$19:$AK$33</definedName>
    <definedName name="DATA" localSheetId="6">'Capa (5)'!$C$19:$AK$33</definedName>
    <definedName name="DATA" localSheetId="7">'Capa (6)'!$C$19:$AK$33</definedName>
    <definedName name="DATA" localSheetId="8">'Capa (7)'!$C$19:$AK$33</definedName>
    <definedName name="DATA" localSheetId="9">'Capa (8)'!$C$19:$AK$33</definedName>
    <definedName name="DATA" localSheetId="10">'Capa (9)'!$C$19:$AK$33</definedName>
    <definedName name="MAX_DATA" localSheetId="2">Capa!$Q$22</definedName>
    <definedName name="MAX_DATA" localSheetId="11">'Capa (10)'!$Q$22</definedName>
    <definedName name="MAX_DATA" localSheetId="3">'Capa (2)'!$Q$22</definedName>
    <definedName name="MAX_DATA" localSheetId="4">'Capa (3)'!$Q$22</definedName>
    <definedName name="MAX_DATA" localSheetId="5">'Capa (4)'!$Q$22</definedName>
    <definedName name="MAX_DATA" localSheetId="6">'Capa (5)'!$Q$22</definedName>
    <definedName name="MAX_DATA" localSheetId="7">'Capa (6)'!$Q$22</definedName>
    <definedName name="MAX_DATA" localSheetId="8">'Capa (7)'!$Q$22</definedName>
    <definedName name="MAX_DATA" localSheetId="9">'Capa (8)'!$Q$22</definedName>
    <definedName name="MAX_DATA" localSheetId="10">'Capa (9)'!$Q$22</definedName>
    <definedName name="MAX_SPEC" localSheetId="2">Capa!$Q$28</definedName>
    <definedName name="MAX_SPEC" localSheetId="11">'Capa (10)'!$Q$28</definedName>
    <definedName name="MAX_SPEC" localSheetId="3">'Capa (2)'!$Q$28</definedName>
    <definedName name="MAX_SPEC" localSheetId="4">'Capa (3)'!$Q$28</definedName>
    <definedName name="MAX_SPEC" localSheetId="5">'Capa (4)'!$Q$28</definedName>
    <definedName name="MAX_SPEC" localSheetId="6">'Capa (5)'!$Q$28</definedName>
    <definedName name="MAX_SPEC" localSheetId="7">'Capa (6)'!$Q$28</definedName>
    <definedName name="MAX_SPEC" localSheetId="8">'Capa (7)'!$Q$28</definedName>
    <definedName name="MAX_SPEC" localSheetId="9">'Capa (8)'!$Q$28</definedName>
    <definedName name="MAX_SPEC" localSheetId="10">'Capa (9)'!$Q$28</definedName>
    <definedName name="MIN_DATA" localSheetId="2">Capa!$Q$23</definedName>
    <definedName name="MIN_DATA" localSheetId="11">'Capa (10)'!$Q$23</definedName>
    <definedName name="MIN_DATA" localSheetId="3">'Capa (2)'!$Q$23</definedName>
    <definedName name="MIN_DATA" localSheetId="4">'Capa (3)'!$Q$23</definedName>
    <definedName name="MIN_DATA" localSheetId="5">'Capa (4)'!$Q$23</definedName>
    <definedName name="MIN_DATA" localSheetId="6">'Capa (5)'!$Q$23</definedName>
    <definedName name="MIN_DATA" localSheetId="7">'Capa (6)'!$Q$23</definedName>
    <definedName name="MIN_DATA" localSheetId="8">'Capa (7)'!$Q$23</definedName>
    <definedName name="MIN_DATA" localSheetId="9">'Capa (8)'!$Q$23</definedName>
    <definedName name="MIN_DATA" localSheetId="10">'Capa (9)'!$Q$23</definedName>
    <definedName name="MIN_SPEC" localSheetId="2">Capa!$Q$29</definedName>
    <definedName name="MIN_SPEC" localSheetId="11">'Capa (10)'!$Q$29</definedName>
    <definedName name="MIN_SPEC" localSheetId="3">'Capa (2)'!$Q$29</definedName>
    <definedName name="MIN_SPEC" localSheetId="4">'Capa (3)'!$Q$29</definedName>
    <definedName name="MIN_SPEC" localSheetId="5">'Capa (4)'!$Q$29</definedName>
    <definedName name="MIN_SPEC" localSheetId="6">'Capa (5)'!$Q$29</definedName>
    <definedName name="MIN_SPEC" localSheetId="7">'Capa (6)'!$Q$29</definedName>
    <definedName name="MIN_SPEC" localSheetId="8">'Capa (7)'!$Q$29</definedName>
    <definedName name="MIN_SPEC" localSheetId="9">'Capa (8)'!$Q$29</definedName>
    <definedName name="MIN_SPEC" localSheetId="10">'Capa (9)'!$Q$29</definedName>
    <definedName name="MOY" localSheetId="2">Capa!$Q$20</definedName>
    <definedName name="MOY" localSheetId="11">'Capa (10)'!$Q$20</definedName>
    <definedName name="MOY" localSheetId="3">'Capa (2)'!$Q$20</definedName>
    <definedName name="MOY" localSheetId="4">'Capa (3)'!$Q$20</definedName>
    <definedName name="MOY" localSheetId="5">'Capa (4)'!$Q$20</definedName>
    <definedName name="MOY" localSheetId="6">'Capa (5)'!$Q$20</definedName>
    <definedName name="MOY" localSheetId="7">'Capa (6)'!$Q$20</definedName>
    <definedName name="MOY" localSheetId="8">'Capa (7)'!$Q$20</definedName>
    <definedName name="MOY" localSheetId="9">'Capa (8)'!$Q$20</definedName>
    <definedName name="MOY" localSheetId="10">'Capa (9)'!$Q$20</definedName>
    <definedName name="NB_DATA" localSheetId="2">Capa!$Q$19</definedName>
    <definedName name="NB_DATA" localSheetId="11">'Capa (10)'!$Q$19</definedName>
    <definedName name="NB_DATA" localSheetId="3">'Capa (2)'!$Q$19</definedName>
    <definedName name="NB_DATA" localSheetId="4">'Capa (3)'!$Q$19</definedName>
    <definedName name="NB_DATA" localSheetId="5">'Capa (4)'!$Q$19</definedName>
    <definedName name="NB_DATA" localSheetId="6">'Capa (5)'!$Q$19</definedName>
    <definedName name="NB_DATA" localSheetId="7">'Capa (6)'!$Q$19</definedName>
    <definedName name="NB_DATA" localSheetId="8">'Capa (7)'!$Q$19</definedName>
    <definedName name="NB_DATA" localSheetId="9">'Capa (8)'!$Q$19</definedName>
    <definedName name="NB_DATA" localSheetId="10">'Capa (9)'!$Q$19</definedName>
    <definedName name="S" localSheetId="2">Capa!$Q$21</definedName>
    <definedName name="S" localSheetId="11">'Capa (10)'!$Q$21</definedName>
    <definedName name="S" localSheetId="3">'Capa (2)'!$Q$21</definedName>
    <definedName name="S" localSheetId="4">'Capa (3)'!$Q$21</definedName>
    <definedName name="S" localSheetId="5">'Capa (4)'!$Q$21</definedName>
    <definedName name="S" localSheetId="6">'Capa (5)'!$Q$21</definedName>
    <definedName name="S" localSheetId="7">'Capa (6)'!$Q$21</definedName>
    <definedName name="S" localSheetId="8">'Capa (7)'!$Q$21</definedName>
    <definedName name="S" localSheetId="9">'Capa (8)'!$Q$21</definedName>
    <definedName name="S" localSheetId="10">'Capa (9)'!$Q$21</definedName>
    <definedName name="_xlnm.Print_Area" localSheetId="2">Capa!$A$1:$S$58</definedName>
    <definedName name="_xlnm.Print_Area" localSheetId="11">'Capa (10)'!$A$1:$S$58</definedName>
    <definedName name="_xlnm.Print_Area" localSheetId="3">'Capa (2)'!$A$1:$S$58</definedName>
    <definedName name="_xlnm.Print_Area" localSheetId="4">'Capa (3)'!$A$1:$S$58</definedName>
    <definedName name="_xlnm.Print_Area" localSheetId="5">'Capa (4)'!$A$1:$S$58</definedName>
    <definedName name="_xlnm.Print_Area" localSheetId="6">'Capa (5)'!$A$1:$S$58</definedName>
    <definedName name="_xlnm.Print_Area" localSheetId="7">'Capa (6)'!$A$1:$S$58</definedName>
    <definedName name="_xlnm.Print_Area" localSheetId="8">'Capa (7)'!$A$1:$S$58</definedName>
    <definedName name="_xlnm.Print_Area" localSheetId="9">'Capa (8)'!$A$1:$S$58</definedName>
    <definedName name="_xlnm.Print_Area" localSheetId="10">'Capa (9)'!$A$1:$S$58</definedName>
    <definedName name="_xlnm.Print_Area" localSheetId="1">'Plan de contrôle horizontal'!$A$2:$Y$38</definedName>
    <definedName name="_xlnm.Print_Area" localSheetId="0">'Rapport d''essai dimensionnel'!$A$1:$O$103</definedName>
    <definedName name="_xlnm.Print_Area">#REF!</definedName>
  </definedNames>
  <calcPr calcId="191029"/>
  <customWorkbookViews>
    <customWorkbookView name="test" guid="{2E603240-45D0-11D8-ACA8-A56CE297D533}" maximized="1" windowWidth="796" windowHeight="4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2" i="37" l="1"/>
  <c r="A152" i="37"/>
  <c r="B151" i="37"/>
  <c r="A151" i="37"/>
  <c r="B150" i="37"/>
  <c r="A150" i="37"/>
  <c r="B149" i="37"/>
  <c r="A149" i="37"/>
  <c r="B148" i="37"/>
  <c r="A148" i="37"/>
  <c r="B147" i="37"/>
  <c r="A147" i="37"/>
  <c r="B146" i="37"/>
  <c r="A146" i="37"/>
  <c r="B145" i="37"/>
  <c r="A145" i="37"/>
  <c r="B144" i="37"/>
  <c r="A144" i="37"/>
  <c r="B143" i="37"/>
  <c r="A143" i="37"/>
  <c r="B142" i="37"/>
  <c r="A142" i="37"/>
  <c r="B141" i="37"/>
  <c r="A141" i="37"/>
  <c r="B140" i="37"/>
  <c r="A140" i="37"/>
  <c r="B139" i="37"/>
  <c r="A139" i="37"/>
  <c r="B138" i="37"/>
  <c r="A138" i="37"/>
  <c r="B137" i="37"/>
  <c r="A137" i="37"/>
  <c r="B136" i="37"/>
  <c r="A136" i="37"/>
  <c r="B135" i="37"/>
  <c r="A135" i="37"/>
  <c r="B134" i="37"/>
  <c r="A134" i="37"/>
  <c r="B133" i="37"/>
  <c r="A133" i="37"/>
  <c r="B132" i="37"/>
  <c r="A132" i="37"/>
  <c r="B131" i="37"/>
  <c r="A131" i="37"/>
  <c r="B130" i="37"/>
  <c r="A130" i="37"/>
  <c r="B129" i="37"/>
  <c r="A129" i="37"/>
  <c r="B128" i="37"/>
  <c r="A128" i="37"/>
  <c r="AO127" i="37"/>
  <c r="AP127" i="37" s="1"/>
  <c r="AQ127" i="37" s="1"/>
  <c r="AR127" i="37" s="1"/>
  <c r="AS127" i="37" s="1"/>
  <c r="AT127" i="37" s="1"/>
  <c r="AU127" i="37" s="1"/>
  <c r="AV127" i="37" s="1"/>
  <c r="AW127" i="37" s="1"/>
  <c r="AX127" i="37" s="1"/>
  <c r="AY127" i="37" s="1"/>
  <c r="AZ127" i="37" s="1"/>
  <c r="BA127" i="37" s="1"/>
  <c r="BB127" i="37" s="1"/>
  <c r="BC127" i="37" s="1"/>
  <c r="BD127" i="37" s="1"/>
  <c r="BE127" i="37" s="1"/>
  <c r="AH127" i="37"/>
  <c r="AI127" i="37" s="1"/>
  <c r="AJ127" i="37" s="1"/>
  <c r="AK127" i="37" s="1"/>
  <c r="AL127" i="37" s="1"/>
  <c r="AM127" i="37" s="1"/>
  <c r="AN127" i="37" s="1"/>
  <c r="AG127" i="37"/>
  <c r="Y127" i="37"/>
  <c r="X127" i="37"/>
  <c r="W127" i="37"/>
  <c r="V127" i="37"/>
  <c r="U127" i="37"/>
  <c r="T127" i="37"/>
  <c r="S127" i="37"/>
  <c r="R127" i="37"/>
  <c r="Q127" i="37"/>
  <c r="AF127" i="37" s="1"/>
  <c r="P127" i="37"/>
  <c r="AE127" i="37" s="1"/>
  <c r="J127" i="37"/>
  <c r="K127" i="37" s="1"/>
  <c r="B127" i="37"/>
  <c r="A127" i="37"/>
  <c r="U126" i="37"/>
  <c r="T126" i="37"/>
  <c r="S126" i="37"/>
  <c r="R126" i="37"/>
  <c r="Q126" i="37"/>
  <c r="P126" i="37"/>
  <c r="B126" i="37"/>
  <c r="A126" i="37"/>
  <c r="U125" i="37"/>
  <c r="T125" i="37"/>
  <c r="S125" i="37"/>
  <c r="R125" i="37"/>
  <c r="Q125" i="37"/>
  <c r="P125" i="37"/>
  <c r="B125" i="37"/>
  <c r="A125" i="37"/>
  <c r="U124" i="37"/>
  <c r="T124" i="37"/>
  <c r="S124" i="37"/>
  <c r="R124" i="37"/>
  <c r="Q124" i="37"/>
  <c r="P124" i="37"/>
  <c r="B124" i="37"/>
  <c r="A124" i="37"/>
  <c r="U123" i="37"/>
  <c r="T123" i="37"/>
  <c r="S123" i="37"/>
  <c r="R123" i="37"/>
  <c r="Q123" i="37"/>
  <c r="P123" i="37"/>
  <c r="B123" i="37"/>
  <c r="A123" i="37"/>
  <c r="U122" i="37"/>
  <c r="T122" i="37"/>
  <c r="S122" i="37"/>
  <c r="R122" i="37"/>
  <c r="Q122" i="37"/>
  <c r="P122" i="37"/>
  <c r="B122" i="37"/>
  <c r="A122" i="37"/>
  <c r="U121" i="37"/>
  <c r="T121" i="37"/>
  <c r="S121" i="37"/>
  <c r="R121" i="37"/>
  <c r="Q121" i="37"/>
  <c r="P121" i="37"/>
  <c r="B121" i="37"/>
  <c r="A121" i="37"/>
  <c r="U120" i="37"/>
  <c r="T120" i="37"/>
  <c r="S120" i="37"/>
  <c r="R120" i="37"/>
  <c r="Q120" i="37"/>
  <c r="P120" i="37"/>
  <c r="B120" i="37"/>
  <c r="A120" i="37"/>
  <c r="U119" i="37"/>
  <c r="T119" i="37"/>
  <c r="S119" i="37"/>
  <c r="R119" i="37"/>
  <c r="Q119" i="37"/>
  <c r="P119" i="37"/>
  <c r="H119" i="37"/>
  <c r="B119" i="37"/>
  <c r="A119" i="37"/>
  <c r="U118" i="37"/>
  <c r="T118" i="37"/>
  <c r="S118" i="37"/>
  <c r="R118" i="37"/>
  <c r="Q118" i="37"/>
  <c r="P118" i="37"/>
  <c r="H118" i="37"/>
  <c r="B118" i="37"/>
  <c r="A118" i="37"/>
  <c r="U117" i="37"/>
  <c r="T117" i="37"/>
  <c r="S117" i="37"/>
  <c r="R117" i="37"/>
  <c r="Q117" i="37"/>
  <c r="P117" i="37"/>
  <c r="H117" i="37"/>
  <c r="B117" i="37"/>
  <c r="A117" i="37"/>
  <c r="U116" i="37"/>
  <c r="T116" i="37"/>
  <c r="S116" i="37"/>
  <c r="R116" i="37"/>
  <c r="Q116" i="37"/>
  <c r="P116" i="37"/>
  <c r="H116" i="37"/>
  <c r="B116" i="37"/>
  <c r="A116" i="37"/>
  <c r="U115" i="37"/>
  <c r="T115" i="37"/>
  <c r="S115" i="37"/>
  <c r="R115" i="37"/>
  <c r="Q115" i="37"/>
  <c r="P115" i="37"/>
  <c r="H115" i="37"/>
  <c r="B115" i="37"/>
  <c r="A115" i="37"/>
  <c r="U114" i="37"/>
  <c r="T114" i="37"/>
  <c r="S114" i="37"/>
  <c r="R114" i="37"/>
  <c r="Q114" i="37"/>
  <c r="P114" i="37"/>
  <c r="H114" i="37"/>
  <c r="B114" i="37"/>
  <c r="A114" i="37"/>
  <c r="U113" i="37"/>
  <c r="T113" i="37"/>
  <c r="S113" i="37"/>
  <c r="R113" i="37"/>
  <c r="Q113" i="37"/>
  <c r="P113" i="37"/>
  <c r="H113" i="37"/>
  <c r="B113" i="37"/>
  <c r="A113" i="37"/>
  <c r="U112" i="37"/>
  <c r="T112" i="37"/>
  <c r="S112" i="37"/>
  <c r="R112" i="37"/>
  <c r="Q112" i="37"/>
  <c r="P112" i="37"/>
  <c r="H112" i="37"/>
  <c r="B112" i="37"/>
  <c r="A112" i="37"/>
  <c r="U111" i="37"/>
  <c r="T111" i="37"/>
  <c r="S111" i="37"/>
  <c r="R111" i="37"/>
  <c r="Q111" i="37"/>
  <c r="P111" i="37"/>
  <c r="H111" i="37"/>
  <c r="B111" i="37"/>
  <c r="A111" i="37"/>
  <c r="U110" i="37"/>
  <c r="T110" i="37"/>
  <c r="S110" i="37"/>
  <c r="R110" i="37"/>
  <c r="Q110" i="37"/>
  <c r="P110" i="37"/>
  <c r="B110" i="37"/>
  <c r="A110" i="37"/>
  <c r="U109" i="37"/>
  <c r="T109" i="37"/>
  <c r="S109" i="37"/>
  <c r="R109" i="37"/>
  <c r="Q109" i="37"/>
  <c r="P109" i="37"/>
  <c r="B109" i="37"/>
  <c r="A109" i="37"/>
  <c r="U108" i="37"/>
  <c r="T108" i="37"/>
  <c r="S108" i="37"/>
  <c r="R108" i="37"/>
  <c r="Q108" i="37"/>
  <c r="P108" i="37"/>
  <c r="B108" i="37"/>
  <c r="A108" i="37"/>
  <c r="U107" i="37"/>
  <c r="T107" i="37"/>
  <c r="S107" i="37"/>
  <c r="R107" i="37"/>
  <c r="Q107" i="37"/>
  <c r="P107" i="37"/>
  <c r="B107" i="37"/>
  <c r="A107" i="37"/>
  <c r="U106" i="37"/>
  <c r="T106" i="37"/>
  <c r="S106" i="37"/>
  <c r="R106" i="37"/>
  <c r="Q106" i="37"/>
  <c r="P106" i="37"/>
  <c r="H106" i="37"/>
  <c r="B106" i="37"/>
  <c r="A106" i="37"/>
  <c r="U105" i="37"/>
  <c r="T105" i="37"/>
  <c r="S105" i="37"/>
  <c r="R105" i="37"/>
  <c r="Q105" i="37"/>
  <c r="P105" i="37"/>
  <c r="B105" i="37"/>
  <c r="A105" i="37"/>
  <c r="U104" i="37"/>
  <c r="T104" i="37"/>
  <c r="S104" i="37"/>
  <c r="R104" i="37"/>
  <c r="Q104" i="37"/>
  <c r="P104" i="37"/>
  <c r="H104" i="37"/>
  <c r="B104" i="37"/>
  <c r="A104" i="37"/>
  <c r="U103" i="37"/>
  <c r="T103" i="37"/>
  <c r="G125" i="37" s="1"/>
  <c r="H125" i="37" s="1"/>
  <c r="S103" i="37"/>
  <c r="R103" i="37"/>
  <c r="Q103" i="37"/>
  <c r="P103" i="37"/>
  <c r="G123" i="37" s="1"/>
  <c r="H123" i="37" s="1"/>
  <c r="B103" i="37"/>
  <c r="A103" i="37"/>
  <c r="H102" i="37"/>
  <c r="T100" i="37"/>
  <c r="P96" i="37"/>
  <c r="L96" i="37"/>
  <c r="H96" i="37"/>
  <c r="H103" i="37" s="1"/>
  <c r="Q29" i="37"/>
  <c r="AC25" i="37"/>
  <c r="AB25" i="37"/>
  <c r="AA25" i="37"/>
  <c r="Z25" i="37"/>
  <c r="Y25" i="37"/>
  <c r="X25" i="37"/>
  <c r="W25" i="37"/>
  <c r="V25" i="37"/>
  <c r="U25" i="37"/>
  <c r="T25" i="37"/>
  <c r="AC24" i="37"/>
  <c r="AB24" i="37"/>
  <c r="AA24" i="37"/>
  <c r="Z24" i="37"/>
  <c r="Y24" i="37"/>
  <c r="X24" i="37"/>
  <c r="W24" i="37"/>
  <c r="V24" i="37"/>
  <c r="U24" i="37"/>
  <c r="T24" i="37"/>
  <c r="AA23" i="37"/>
  <c r="W23" i="37"/>
  <c r="AC21" i="37"/>
  <c r="AB21" i="37"/>
  <c r="AA21" i="37"/>
  <c r="Z21" i="37"/>
  <c r="Y21" i="37"/>
  <c r="X21" i="37"/>
  <c r="W21" i="37"/>
  <c r="V21" i="37"/>
  <c r="U21" i="37"/>
  <c r="T21" i="37"/>
  <c r="AC20" i="37"/>
  <c r="AB20" i="37"/>
  <c r="AA20" i="37"/>
  <c r="Z20" i="37"/>
  <c r="Y20" i="37"/>
  <c r="X20" i="37"/>
  <c r="W20" i="37"/>
  <c r="V20" i="37"/>
  <c r="U20" i="37"/>
  <c r="T20" i="37"/>
  <c r="V19" i="37"/>
  <c r="L19" i="37"/>
  <c r="K19" i="37"/>
  <c r="AB23" i="37" s="1"/>
  <c r="J19" i="37"/>
  <c r="I19" i="37"/>
  <c r="Z23" i="37" s="1"/>
  <c r="H19" i="37"/>
  <c r="G19" i="37"/>
  <c r="X23" i="37" s="1"/>
  <c r="F19" i="37"/>
  <c r="E19" i="37"/>
  <c r="V23" i="37" s="1"/>
  <c r="D19" i="37"/>
  <c r="Q23" i="37" s="1"/>
  <c r="C19" i="37"/>
  <c r="M10" i="37"/>
  <c r="M9" i="37"/>
  <c r="I9" i="37"/>
  <c r="M8" i="37"/>
  <c r="I8" i="37"/>
  <c r="A3" i="37"/>
  <c r="B152" i="36"/>
  <c r="A152" i="36"/>
  <c r="B151" i="36"/>
  <c r="A151" i="36"/>
  <c r="B150" i="36"/>
  <c r="A150" i="36"/>
  <c r="B149" i="36"/>
  <c r="A149" i="36"/>
  <c r="B148" i="36"/>
  <c r="A148" i="36"/>
  <c r="B147" i="36"/>
  <c r="A147" i="36"/>
  <c r="B146" i="36"/>
  <c r="A146" i="36"/>
  <c r="B145" i="36"/>
  <c r="A145" i="36"/>
  <c r="B144" i="36"/>
  <c r="A144" i="36"/>
  <c r="B143" i="36"/>
  <c r="A143" i="36"/>
  <c r="B142" i="36"/>
  <c r="A142" i="36"/>
  <c r="B141" i="36"/>
  <c r="A141" i="36"/>
  <c r="B140" i="36"/>
  <c r="A140" i="36"/>
  <c r="B139" i="36"/>
  <c r="A139" i="36"/>
  <c r="B138" i="36"/>
  <c r="A138" i="36"/>
  <c r="B137" i="36"/>
  <c r="A137" i="36"/>
  <c r="B136" i="36"/>
  <c r="A136" i="36"/>
  <c r="B135" i="36"/>
  <c r="A135" i="36"/>
  <c r="B134" i="36"/>
  <c r="A134" i="36"/>
  <c r="B133" i="36"/>
  <c r="A133" i="36"/>
  <c r="B132" i="36"/>
  <c r="A132" i="36"/>
  <c r="B131" i="36"/>
  <c r="A131" i="36"/>
  <c r="B130" i="36"/>
  <c r="A130" i="36"/>
  <c r="B129" i="36"/>
  <c r="A129" i="36"/>
  <c r="B128" i="36"/>
  <c r="A128" i="36"/>
  <c r="AH127" i="36"/>
  <c r="AI127" i="36" s="1"/>
  <c r="AJ127" i="36" s="1"/>
  <c r="AK127" i="36" s="1"/>
  <c r="AL127" i="36" s="1"/>
  <c r="AM127" i="36" s="1"/>
  <c r="AN127" i="36" s="1"/>
  <c r="AO127" i="36" s="1"/>
  <c r="AP127" i="36" s="1"/>
  <c r="AQ127" i="36" s="1"/>
  <c r="AR127" i="36" s="1"/>
  <c r="AS127" i="36" s="1"/>
  <c r="AT127" i="36" s="1"/>
  <c r="AU127" i="36" s="1"/>
  <c r="AV127" i="36" s="1"/>
  <c r="AW127" i="36" s="1"/>
  <c r="AX127" i="36" s="1"/>
  <c r="AY127" i="36" s="1"/>
  <c r="AZ127" i="36" s="1"/>
  <c r="BA127" i="36" s="1"/>
  <c r="BB127" i="36" s="1"/>
  <c r="BC127" i="36" s="1"/>
  <c r="BD127" i="36" s="1"/>
  <c r="BE127" i="36" s="1"/>
  <c r="AG127" i="36"/>
  <c r="AF127" i="36"/>
  <c r="Y127" i="36"/>
  <c r="X127" i="36"/>
  <c r="W127" i="36"/>
  <c r="V127" i="36"/>
  <c r="U127" i="36"/>
  <c r="T127" i="36"/>
  <c r="S127" i="36"/>
  <c r="R127" i="36"/>
  <c r="Q127" i="36"/>
  <c r="P127" i="36"/>
  <c r="AE127" i="36" s="1"/>
  <c r="J127" i="36"/>
  <c r="K127" i="36" s="1"/>
  <c r="B127" i="36"/>
  <c r="A127" i="36"/>
  <c r="U126" i="36"/>
  <c r="T126" i="36"/>
  <c r="S126" i="36"/>
  <c r="R126" i="36"/>
  <c r="Q126" i="36"/>
  <c r="P126" i="36"/>
  <c r="B126" i="36"/>
  <c r="A126" i="36"/>
  <c r="U125" i="36"/>
  <c r="T125" i="36"/>
  <c r="S125" i="36"/>
  <c r="R125" i="36"/>
  <c r="Q125" i="36"/>
  <c r="P125" i="36"/>
  <c r="B125" i="36"/>
  <c r="A125" i="36"/>
  <c r="U124" i="36"/>
  <c r="T124" i="36"/>
  <c r="S124" i="36"/>
  <c r="R124" i="36"/>
  <c r="Q124" i="36"/>
  <c r="P124" i="36"/>
  <c r="B124" i="36"/>
  <c r="A124" i="36"/>
  <c r="U123" i="36"/>
  <c r="T123" i="36"/>
  <c r="S123" i="36"/>
  <c r="R123" i="36"/>
  <c r="Q123" i="36"/>
  <c r="P123" i="36"/>
  <c r="B123" i="36"/>
  <c r="A123" i="36"/>
  <c r="U122" i="36"/>
  <c r="T122" i="36"/>
  <c r="S122" i="36"/>
  <c r="R122" i="36"/>
  <c r="Q122" i="36"/>
  <c r="P122" i="36"/>
  <c r="B122" i="36"/>
  <c r="A122" i="36"/>
  <c r="U121" i="36"/>
  <c r="T121" i="36"/>
  <c r="S121" i="36"/>
  <c r="R121" i="36"/>
  <c r="Q121" i="36"/>
  <c r="P121" i="36"/>
  <c r="B121" i="36"/>
  <c r="A121" i="36"/>
  <c r="U120" i="36"/>
  <c r="T120" i="36"/>
  <c r="S120" i="36"/>
  <c r="R120" i="36"/>
  <c r="Q120" i="36"/>
  <c r="P120" i="36"/>
  <c r="B120" i="36"/>
  <c r="A120" i="36"/>
  <c r="U119" i="36"/>
  <c r="T119" i="36"/>
  <c r="S119" i="36"/>
  <c r="R119" i="36"/>
  <c r="Q119" i="36"/>
  <c r="P119" i="36"/>
  <c r="H119" i="36"/>
  <c r="B119" i="36"/>
  <c r="A119" i="36"/>
  <c r="U118" i="36"/>
  <c r="T118" i="36"/>
  <c r="S118" i="36"/>
  <c r="R118" i="36"/>
  <c r="Q118" i="36"/>
  <c r="P118" i="36"/>
  <c r="H118" i="36"/>
  <c r="B118" i="36"/>
  <c r="A118" i="36"/>
  <c r="U117" i="36"/>
  <c r="T117" i="36"/>
  <c r="S117" i="36"/>
  <c r="R117" i="36"/>
  <c r="Q117" i="36"/>
  <c r="P117" i="36"/>
  <c r="B117" i="36"/>
  <c r="A117" i="36"/>
  <c r="U116" i="36"/>
  <c r="T116" i="36"/>
  <c r="S116" i="36"/>
  <c r="R116" i="36"/>
  <c r="Q116" i="36"/>
  <c r="P116" i="36"/>
  <c r="H116" i="36"/>
  <c r="H117" i="36" s="1"/>
  <c r="B116" i="36"/>
  <c r="A116" i="36"/>
  <c r="U115" i="36"/>
  <c r="T115" i="36"/>
  <c r="S115" i="36"/>
  <c r="R115" i="36"/>
  <c r="Q115" i="36"/>
  <c r="P115" i="36"/>
  <c r="H115" i="36"/>
  <c r="B115" i="36"/>
  <c r="A115" i="36"/>
  <c r="U114" i="36"/>
  <c r="T114" i="36"/>
  <c r="S114" i="36"/>
  <c r="R114" i="36"/>
  <c r="Q114" i="36"/>
  <c r="P114" i="36"/>
  <c r="H114" i="36"/>
  <c r="B114" i="36"/>
  <c r="A114" i="36"/>
  <c r="U113" i="36"/>
  <c r="T113" i="36"/>
  <c r="S113" i="36"/>
  <c r="R113" i="36"/>
  <c r="Q113" i="36"/>
  <c r="P113" i="36"/>
  <c r="H113" i="36"/>
  <c r="B113" i="36"/>
  <c r="A113" i="36"/>
  <c r="U112" i="36"/>
  <c r="T112" i="36"/>
  <c r="S112" i="36"/>
  <c r="R112" i="36"/>
  <c r="Q112" i="36"/>
  <c r="P112" i="36"/>
  <c r="H112" i="36"/>
  <c r="B112" i="36"/>
  <c r="A112" i="36"/>
  <c r="U111" i="36"/>
  <c r="T111" i="36"/>
  <c r="S111" i="36"/>
  <c r="R111" i="36"/>
  <c r="Q111" i="36"/>
  <c r="P111" i="36"/>
  <c r="H111" i="36"/>
  <c r="B111" i="36"/>
  <c r="A111" i="36"/>
  <c r="U110" i="36"/>
  <c r="T110" i="36"/>
  <c r="S110" i="36"/>
  <c r="R110" i="36"/>
  <c r="Q110" i="36"/>
  <c r="P110" i="36"/>
  <c r="B110" i="36"/>
  <c r="A110" i="36"/>
  <c r="U109" i="36"/>
  <c r="T109" i="36"/>
  <c r="S109" i="36"/>
  <c r="R109" i="36"/>
  <c r="Q109" i="36"/>
  <c r="P109" i="36"/>
  <c r="B109" i="36"/>
  <c r="A109" i="36"/>
  <c r="U108" i="36"/>
  <c r="T108" i="36"/>
  <c r="S108" i="36"/>
  <c r="R108" i="36"/>
  <c r="Q108" i="36"/>
  <c r="P108" i="36"/>
  <c r="B108" i="36"/>
  <c r="A108" i="36"/>
  <c r="U107" i="36"/>
  <c r="T107" i="36"/>
  <c r="S107" i="36"/>
  <c r="R107" i="36"/>
  <c r="Q107" i="36"/>
  <c r="P107" i="36"/>
  <c r="B107" i="36"/>
  <c r="A107" i="36"/>
  <c r="U106" i="36"/>
  <c r="T106" i="36"/>
  <c r="S106" i="36"/>
  <c r="R106" i="36"/>
  <c r="Q106" i="36"/>
  <c r="P106" i="36"/>
  <c r="H106" i="36"/>
  <c r="B106" i="36"/>
  <c r="A106" i="36"/>
  <c r="U105" i="36"/>
  <c r="T105" i="36"/>
  <c r="S105" i="36"/>
  <c r="R105" i="36"/>
  <c r="Q105" i="36"/>
  <c r="P105" i="36"/>
  <c r="B105" i="36"/>
  <c r="A105" i="36"/>
  <c r="U104" i="36"/>
  <c r="T104" i="36"/>
  <c r="S104" i="36"/>
  <c r="R104" i="36"/>
  <c r="Q104" i="36"/>
  <c r="P104" i="36"/>
  <c r="B104" i="36"/>
  <c r="A104" i="36"/>
  <c r="U103" i="36"/>
  <c r="T103" i="36"/>
  <c r="G125" i="36" s="1"/>
  <c r="H125" i="36" s="1"/>
  <c r="S103" i="36"/>
  <c r="R103" i="36"/>
  <c r="G124" i="36" s="1"/>
  <c r="H124" i="36" s="1"/>
  <c r="Q103" i="36"/>
  <c r="P103" i="36"/>
  <c r="G123" i="36" s="1"/>
  <c r="H123" i="36" s="1"/>
  <c r="H126" i="36" s="1"/>
  <c r="H122" i="36" s="1"/>
  <c r="B103" i="36"/>
  <c r="A103" i="36"/>
  <c r="P96" i="36"/>
  <c r="L96" i="36"/>
  <c r="H96" i="36"/>
  <c r="H103" i="36" s="1"/>
  <c r="E62" i="36"/>
  <c r="Q29" i="36"/>
  <c r="Q28" i="36"/>
  <c r="C66" i="36" s="1"/>
  <c r="AC25" i="36"/>
  <c r="AB25" i="36"/>
  <c r="AA25" i="36"/>
  <c r="Z25" i="36"/>
  <c r="Y25" i="36"/>
  <c r="X25" i="36"/>
  <c r="W25" i="36"/>
  <c r="V25" i="36"/>
  <c r="U25" i="36"/>
  <c r="T25" i="36"/>
  <c r="AC24" i="36"/>
  <c r="AB24" i="36"/>
  <c r="AA24" i="36"/>
  <c r="Z24" i="36"/>
  <c r="Y24" i="36"/>
  <c r="X24" i="36"/>
  <c r="W24" i="36"/>
  <c r="V24" i="36"/>
  <c r="U24" i="36"/>
  <c r="T24" i="36"/>
  <c r="AA23" i="36"/>
  <c r="Z23" i="36"/>
  <c r="W23" i="36"/>
  <c r="V23" i="36"/>
  <c r="AC21" i="36"/>
  <c r="AB21" i="36"/>
  <c r="AA21" i="36"/>
  <c r="Z21" i="36"/>
  <c r="Y21" i="36"/>
  <c r="X21" i="36"/>
  <c r="W21" i="36"/>
  <c r="V21" i="36"/>
  <c r="U21" i="36"/>
  <c r="T21" i="36"/>
  <c r="AC20" i="36"/>
  <c r="AB20" i="36"/>
  <c r="AA20" i="36"/>
  <c r="Z20" i="36"/>
  <c r="Y20" i="36"/>
  <c r="X20" i="36"/>
  <c r="W20" i="36"/>
  <c r="V20" i="36"/>
  <c r="U20" i="36"/>
  <c r="T20" i="36"/>
  <c r="AC19" i="36"/>
  <c r="Y19" i="36"/>
  <c r="U19" i="36"/>
  <c r="L19" i="36"/>
  <c r="AC23" i="36" s="1"/>
  <c r="K19" i="36"/>
  <c r="AB19" i="36" s="1"/>
  <c r="J19" i="36"/>
  <c r="AA19" i="36" s="1"/>
  <c r="I19" i="36"/>
  <c r="H19" i="36"/>
  <c r="Y23" i="36" s="1"/>
  <c r="G19" i="36"/>
  <c r="X19" i="36" s="1"/>
  <c r="F19" i="36"/>
  <c r="W19" i="36" s="1"/>
  <c r="E19" i="36"/>
  <c r="D19" i="36"/>
  <c r="U23" i="36" s="1"/>
  <c r="C19" i="36"/>
  <c r="Q22" i="36" s="1"/>
  <c r="M10" i="36"/>
  <c r="M9" i="36"/>
  <c r="I9" i="36"/>
  <c r="M8" i="36"/>
  <c r="I8" i="36"/>
  <c r="Z19" i="36" s="1"/>
  <c r="A3" i="36"/>
  <c r="B152" i="35"/>
  <c r="A152" i="35"/>
  <c r="B151" i="35"/>
  <c r="A151" i="35"/>
  <c r="B150" i="35"/>
  <c r="A150" i="35"/>
  <c r="B149" i="35"/>
  <c r="A149" i="35"/>
  <c r="B148" i="35"/>
  <c r="A148" i="35"/>
  <c r="B147" i="35"/>
  <c r="A147" i="35"/>
  <c r="B146" i="35"/>
  <c r="A146" i="35"/>
  <c r="B145" i="35"/>
  <c r="A145" i="35"/>
  <c r="B144" i="35"/>
  <c r="A144" i="35"/>
  <c r="B143" i="35"/>
  <c r="A143" i="35"/>
  <c r="B142" i="35"/>
  <c r="A142" i="35"/>
  <c r="B141" i="35"/>
  <c r="A141" i="35"/>
  <c r="B140" i="35"/>
  <c r="A140" i="35"/>
  <c r="B139" i="35"/>
  <c r="A139" i="35"/>
  <c r="B138" i="35"/>
  <c r="A138" i="35"/>
  <c r="B137" i="35"/>
  <c r="A137" i="35"/>
  <c r="B136" i="35"/>
  <c r="A136" i="35"/>
  <c r="B135" i="35"/>
  <c r="A135" i="35"/>
  <c r="B134" i="35"/>
  <c r="A134" i="35"/>
  <c r="B133" i="35"/>
  <c r="A133" i="35"/>
  <c r="B132" i="35"/>
  <c r="A132" i="35"/>
  <c r="B131" i="35"/>
  <c r="A131" i="35"/>
  <c r="B130" i="35"/>
  <c r="A130" i="35"/>
  <c r="B129" i="35"/>
  <c r="A129" i="35"/>
  <c r="B128" i="35"/>
  <c r="A128" i="35"/>
  <c r="AI127" i="35"/>
  <c r="AJ127" i="35" s="1"/>
  <c r="AK127" i="35" s="1"/>
  <c r="AL127" i="35" s="1"/>
  <c r="AM127" i="35" s="1"/>
  <c r="AN127" i="35" s="1"/>
  <c r="AO127" i="35" s="1"/>
  <c r="AP127" i="35" s="1"/>
  <c r="AQ127" i="35" s="1"/>
  <c r="AR127" i="35" s="1"/>
  <c r="AS127" i="35" s="1"/>
  <c r="AT127" i="35" s="1"/>
  <c r="AU127" i="35" s="1"/>
  <c r="AV127" i="35" s="1"/>
  <c r="AW127" i="35" s="1"/>
  <c r="AX127" i="35" s="1"/>
  <c r="AY127" i="35" s="1"/>
  <c r="AZ127" i="35" s="1"/>
  <c r="BA127" i="35" s="1"/>
  <c r="BB127" i="35" s="1"/>
  <c r="BC127" i="35" s="1"/>
  <c r="BD127" i="35" s="1"/>
  <c r="BE127" i="35" s="1"/>
  <c r="AH127" i="35"/>
  <c r="AF127" i="35"/>
  <c r="X127" i="35"/>
  <c r="W127" i="35"/>
  <c r="V127" i="35"/>
  <c r="U127" i="35"/>
  <c r="T127" i="35"/>
  <c r="S127" i="35"/>
  <c r="R127" i="35"/>
  <c r="AG127" i="35" s="1"/>
  <c r="Q127" i="35"/>
  <c r="P127" i="35"/>
  <c r="AE127" i="35" s="1"/>
  <c r="L127" i="35"/>
  <c r="K127" i="35"/>
  <c r="Z127" i="35" s="1"/>
  <c r="J127" i="35"/>
  <c r="Y127" i="35" s="1"/>
  <c r="B127" i="35"/>
  <c r="A127" i="35"/>
  <c r="U126" i="35"/>
  <c r="T126" i="35"/>
  <c r="S126" i="35"/>
  <c r="R126" i="35"/>
  <c r="Q126" i="35"/>
  <c r="P126" i="35"/>
  <c r="B126" i="35"/>
  <c r="A126" i="35"/>
  <c r="U125" i="35"/>
  <c r="T125" i="35"/>
  <c r="S125" i="35"/>
  <c r="R125" i="35"/>
  <c r="Q125" i="35"/>
  <c r="P125" i="35"/>
  <c r="B125" i="35"/>
  <c r="A125" i="35"/>
  <c r="U124" i="35"/>
  <c r="T124" i="35"/>
  <c r="S124" i="35"/>
  <c r="R124" i="35"/>
  <c r="Q124" i="35"/>
  <c r="P124" i="35"/>
  <c r="B124" i="35"/>
  <c r="A124" i="35"/>
  <c r="U123" i="35"/>
  <c r="T123" i="35"/>
  <c r="S123" i="35"/>
  <c r="R123" i="35"/>
  <c r="Q123" i="35"/>
  <c r="P123" i="35"/>
  <c r="B123" i="35"/>
  <c r="A123" i="35"/>
  <c r="U122" i="35"/>
  <c r="T122" i="35"/>
  <c r="S122" i="35"/>
  <c r="R122" i="35"/>
  <c r="Q122" i="35"/>
  <c r="P122" i="35"/>
  <c r="B122" i="35"/>
  <c r="A122" i="35"/>
  <c r="U121" i="35"/>
  <c r="T121" i="35"/>
  <c r="S121" i="35"/>
  <c r="R121" i="35"/>
  <c r="Q121" i="35"/>
  <c r="P121" i="35"/>
  <c r="B121" i="35"/>
  <c r="A121" i="35"/>
  <c r="U120" i="35"/>
  <c r="T120" i="35"/>
  <c r="S120" i="35"/>
  <c r="R120" i="35"/>
  <c r="Q120" i="35"/>
  <c r="P120" i="35"/>
  <c r="B120" i="35"/>
  <c r="A120" i="35"/>
  <c r="U119" i="35"/>
  <c r="T119" i="35"/>
  <c r="S119" i="35"/>
  <c r="R119" i="35"/>
  <c r="Q119" i="35"/>
  <c r="P119" i="35"/>
  <c r="H119" i="35"/>
  <c r="B119" i="35"/>
  <c r="A119" i="35"/>
  <c r="U118" i="35"/>
  <c r="T118" i="35"/>
  <c r="S118" i="35"/>
  <c r="R118" i="35"/>
  <c r="Q118" i="35"/>
  <c r="P118" i="35"/>
  <c r="H118" i="35"/>
  <c r="B118" i="35"/>
  <c r="A118" i="35"/>
  <c r="U117" i="35"/>
  <c r="T117" i="35"/>
  <c r="S117" i="35"/>
  <c r="R117" i="35"/>
  <c r="Q117" i="35"/>
  <c r="P117" i="35"/>
  <c r="B117" i="35"/>
  <c r="A117" i="35"/>
  <c r="U116" i="35"/>
  <c r="T116" i="35"/>
  <c r="S116" i="35"/>
  <c r="R116" i="35"/>
  <c r="Q116" i="35"/>
  <c r="P116" i="35"/>
  <c r="H116" i="35"/>
  <c r="B116" i="35"/>
  <c r="A116" i="35"/>
  <c r="U115" i="35"/>
  <c r="T115" i="35"/>
  <c r="S115" i="35"/>
  <c r="R115" i="35"/>
  <c r="Q115" i="35"/>
  <c r="P115" i="35"/>
  <c r="H115" i="35"/>
  <c r="B115" i="35"/>
  <c r="A115" i="35"/>
  <c r="U114" i="35"/>
  <c r="T114" i="35"/>
  <c r="S114" i="35"/>
  <c r="R114" i="35"/>
  <c r="Q114" i="35"/>
  <c r="P114" i="35"/>
  <c r="H114" i="35"/>
  <c r="B114" i="35"/>
  <c r="A114" i="35"/>
  <c r="U113" i="35"/>
  <c r="T113" i="35"/>
  <c r="S113" i="35"/>
  <c r="R113" i="35"/>
  <c r="Q113" i="35"/>
  <c r="P113" i="35"/>
  <c r="H113" i="35"/>
  <c r="B113" i="35"/>
  <c r="A113" i="35"/>
  <c r="U112" i="35"/>
  <c r="T112" i="35"/>
  <c r="S112" i="35"/>
  <c r="R112" i="35"/>
  <c r="Q112" i="35"/>
  <c r="P112" i="35"/>
  <c r="H112" i="35"/>
  <c r="B112" i="35"/>
  <c r="A112" i="35"/>
  <c r="U111" i="35"/>
  <c r="T111" i="35"/>
  <c r="S111" i="35"/>
  <c r="R111" i="35"/>
  <c r="Q111" i="35"/>
  <c r="P111" i="35"/>
  <c r="H111" i="35"/>
  <c r="B111" i="35"/>
  <c r="A111" i="35"/>
  <c r="U110" i="35"/>
  <c r="T110" i="35"/>
  <c r="S110" i="35"/>
  <c r="R110" i="35"/>
  <c r="Q110" i="35"/>
  <c r="P110" i="35"/>
  <c r="B110" i="35"/>
  <c r="A110" i="35"/>
  <c r="U109" i="35"/>
  <c r="T109" i="35"/>
  <c r="S109" i="35"/>
  <c r="R109" i="35"/>
  <c r="Q109" i="35"/>
  <c r="P109" i="35"/>
  <c r="B109" i="35"/>
  <c r="A109" i="35"/>
  <c r="U108" i="35"/>
  <c r="T108" i="35"/>
  <c r="S108" i="35"/>
  <c r="R108" i="35"/>
  <c r="Q108" i="35"/>
  <c r="P108" i="35"/>
  <c r="B108" i="35"/>
  <c r="A108" i="35"/>
  <c r="U107" i="35"/>
  <c r="T107" i="35"/>
  <c r="S107" i="35"/>
  <c r="R107" i="35"/>
  <c r="Q107" i="35"/>
  <c r="P107" i="35"/>
  <c r="B107" i="35"/>
  <c r="A107" i="35"/>
  <c r="U106" i="35"/>
  <c r="T106" i="35"/>
  <c r="S106" i="35"/>
  <c r="R106" i="35"/>
  <c r="Q106" i="35"/>
  <c r="P106" i="35"/>
  <c r="H106" i="35"/>
  <c r="B106" i="35"/>
  <c r="A106" i="35"/>
  <c r="U105" i="35"/>
  <c r="T105" i="35"/>
  <c r="S105" i="35"/>
  <c r="R105" i="35"/>
  <c r="Q105" i="35"/>
  <c r="P105" i="35"/>
  <c r="B105" i="35"/>
  <c r="A105" i="35"/>
  <c r="U104" i="35"/>
  <c r="G125" i="35" s="1"/>
  <c r="H125" i="35" s="1"/>
  <c r="T104" i="35"/>
  <c r="S104" i="35"/>
  <c r="R104" i="35"/>
  <c r="Q104" i="35"/>
  <c r="G123" i="35" s="1"/>
  <c r="H123" i="35" s="1"/>
  <c r="P104" i="35"/>
  <c r="B104" i="35"/>
  <c r="A104" i="35"/>
  <c r="U103" i="35"/>
  <c r="T103" i="35"/>
  <c r="S103" i="35"/>
  <c r="R103" i="35"/>
  <c r="Q103" i="35"/>
  <c r="P103" i="35"/>
  <c r="B103" i="35"/>
  <c r="B153" i="35" s="1"/>
  <c r="H120" i="35" s="1"/>
  <c r="Q32" i="35" s="1"/>
  <c r="A103" i="35"/>
  <c r="P96" i="35"/>
  <c r="L96" i="35"/>
  <c r="H96" i="35"/>
  <c r="AC25" i="35"/>
  <c r="AB25" i="35"/>
  <c r="AA25" i="35"/>
  <c r="Z25" i="35"/>
  <c r="Y25" i="35"/>
  <c r="X25" i="35"/>
  <c r="W25" i="35"/>
  <c r="V25" i="35"/>
  <c r="U25" i="35"/>
  <c r="T25" i="35"/>
  <c r="AC24" i="35"/>
  <c r="AB24" i="35"/>
  <c r="AA24" i="35"/>
  <c r="Z24" i="35"/>
  <c r="Y24" i="35"/>
  <c r="X24" i="35"/>
  <c r="W24" i="35"/>
  <c r="V24" i="35"/>
  <c r="U24" i="35"/>
  <c r="T24" i="35"/>
  <c r="Z23" i="35"/>
  <c r="U23" i="35"/>
  <c r="AC21" i="35"/>
  <c r="AB21" i="35"/>
  <c r="AA21" i="35"/>
  <c r="Z21" i="35"/>
  <c r="Y21" i="35"/>
  <c r="X21" i="35"/>
  <c r="W21" i="35"/>
  <c r="V21" i="35"/>
  <c r="U21" i="35"/>
  <c r="T21" i="35"/>
  <c r="AC20" i="35"/>
  <c r="AB20" i="35"/>
  <c r="AA20" i="35"/>
  <c r="Z20" i="35"/>
  <c r="Y20" i="35"/>
  <c r="X20" i="35"/>
  <c r="W20" i="35"/>
  <c r="V20" i="35"/>
  <c r="U20" i="35"/>
  <c r="T20" i="35"/>
  <c r="Z19" i="35"/>
  <c r="X19" i="35"/>
  <c r="U19" i="35"/>
  <c r="L19" i="35"/>
  <c r="AC23" i="35" s="1"/>
  <c r="K19" i="35"/>
  <c r="J19" i="35"/>
  <c r="I19" i="35"/>
  <c r="H19" i="35"/>
  <c r="Y23" i="35" s="1"/>
  <c r="G19" i="35"/>
  <c r="F19" i="35"/>
  <c r="E19" i="35"/>
  <c r="D19" i="35"/>
  <c r="Q24" i="35" s="1"/>
  <c r="C19" i="35"/>
  <c r="M10" i="35"/>
  <c r="M9" i="35"/>
  <c r="I9" i="35"/>
  <c r="Q29" i="35" s="1"/>
  <c r="M8" i="35"/>
  <c r="I8" i="35"/>
  <c r="T19" i="35" s="1"/>
  <c r="A3" i="35"/>
  <c r="B152" i="34"/>
  <c r="A152" i="34"/>
  <c r="B151" i="34"/>
  <c r="A151" i="34"/>
  <c r="B150" i="34"/>
  <c r="A150" i="34"/>
  <c r="B149" i="34"/>
  <c r="A149" i="34"/>
  <c r="B148" i="34"/>
  <c r="A148" i="34"/>
  <c r="B147" i="34"/>
  <c r="A147" i="34"/>
  <c r="B146" i="34"/>
  <c r="A146" i="34"/>
  <c r="B145" i="34"/>
  <c r="A145" i="34"/>
  <c r="B144" i="34"/>
  <c r="A144" i="34"/>
  <c r="B143" i="34"/>
  <c r="A143" i="34"/>
  <c r="B142" i="34"/>
  <c r="A142" i="34"/>
  <c r="B141" i="34"/>
  <c r="A141" i="34"/>
  <c r="B140" i="34"/>
  <c r="A140" i="34"/>
  <c r="B139" i="34"/>
  <c r="A139" i="34"/>
  <c r="B138" i="34"/>
  <c r="A138" i="34"/>
  <c r="B137" i="34"/>
  <c r="A137" i="34"/>
  <c r="B136" i="34"/>
  <c r="A136" i="34"/>
  <c r="B135" i="34"/>
  <c r="A135" i="34"/>
  <c r="B134" i="34"/>
  <c r="A134" i="34"/>
  <c r="B133" i="34"/>
  <c r="A133" i="34"/>
  <c r="B132" i="34"/>
  <c r="A132" i="34"/>
  <c r="B131" i="34"/>
  <c r="A131" i="34"/>
  <c r="B130" i="34"/>
  <c r="A130" i="34"/>
  <c r="B129" i="34"/>
  <c r="A129" i="34"/>
  <c r="B128" i="34"/>
  <c r="A128" i="34"/>
  <c r="BC127" i="34"/>
  <c r="BD127" i="34" s="1"/>
  <c r="BE127" i="34" s="1"/>
  <c r="AM127" i="34"/>
  <c r="AN127" i="34" s="1"/>
  <c r="AO127" i="34" s="1"/>
  <c r="AP127" i="34" s="1"/>
  <c r="AQ127" i="34" s="1"/>
  <c r="AR127" i="34" s="1"/>
  <c r="AS127" i="34" s="1"/>
  <c r="AT127" i="34" s="1"/>
  <c r="AU127" i="34" s="1"/>
  <c r="AV127" i="34" s="1"/>
  <c r="AW127" i="34" s="1"/>
  <c r="AX127" i="34" s="1"/>
  <c r="AY127" i="34" s="1"/>
  <c r="AZ127" i="34" s="1"/>
  <c r="BA127" i="34" s="1"/>
  <c r="BB127" i="34" s="1"/>
  <c r="AI127" i="34"/>
  <c r="AJ127" i="34" s="1"/>
  <c r="AK127" i="34" s="1"/>
  <c r="AL127" i="34" s="1"/>
  <c r="AH127" i="34"/>
  <c r="AF127" i="34"/>
  <c r="AE127" i="34"/>
  <c r="X127" i="34"/>
  <c r="W127" i="34"/>
  <c r="V127" i="34"/>
  <c r="U127" i="34"/>
  <c r="T127" i="34"/>
  <c r="S127" i="34"/>
  <c r="R127" i="34"/>
  <c r="AG127" i="34" s="1"/>
  <c r="Q127" i="34"/>
  <c r="P127" i="34"/>
  <c r="K127" i="34"/>
  <c r="J127" i="34"/>
  <c r="Y127" i="34" s="1"/>
  <c r="B127" i="34"/>
  <c r="A127" i="34"/>
  <c r="U126" i="34"/>
  <c r="T126" i="34"/>
  <c r="S126" i="34"/>
  <c r="R126" i="34"/>
  <c r="Q126" i="34"/>
  <c r="P126" i="34"/>
  <c r="B126" i="34"/>
  <c r="A126" i="34"/>
  <c r="U125" i="34"/>
  <c r="T125" i="34"/>
  <c r="S125" i="34"/>
  <c r="R125" i="34"/>
  <c r="Q125" i="34"/>
  <c r="P125" i="34"/>
  <c r="B125" i="34"/>
  <c r="A125" i="34"/>
  <c r="U124" i="34"/>
  <c r="T124" i="34"/>
  <c r="S124" i="34"/>
  <c r="R124" i="34"/>
  <c r="Q124" i="34"/>
  <c r="P124" i="34"/>
  <c r="B124" i="34"/>
  <c r="A124" i="34"/>
  <c r="U123" i="34"/>
  <c r="T123" i="34"/>
  <c r="S123" i="34"/>
  <c r="R123" i="34"/>
  <c r="Q123" i="34"/>
  <c r="P123" i="34"/>
  <c r="B123" i="34"/>
  <c r="A123" i="34"/>
  <c r="U122" i="34"/>
  <c r="T122" i="34"/>
  <c r="S122" i="34"/>
  <c r="R122" i="34"/>
  <c r="Q122" i="34"/>
  <c r="P122" i="34"/>
  <c r="B122" i="34"/>
  <c r="A122" i="34"/>
  <c r="U121" i="34"/>
  <c r="T121" i="34"/>
  <c r="S121" i="34"/>
  <c r="R121" i="34"/>
  <c r="Q121" i="34"/>
  <c r="P121" i="34"/>
  <c r="B121" i="34"/>
  <c r="A121" i="34"/>
  <c r="U120" i="34"/>
  <c r="T120" i="34"/>
  <c r="S120" i="34"/>
  <c r="R120" i="34"/>
  <c r="Q120" i="34"/>
  <c r="P120" i="34"/>
  <c r="B120" i="34"/>
  <c r="A120" i="34"/>
  <c r="U119" i="34"/>
  <c r="T119" i="34"/>
  <c r="S119" i="34"/>
  <c r="R119" i="34"/>
  <c r="Q119" i="34"/>
  <c r="P119" i="34"/>
  <c r="H119" i="34"/>
  <c r="B119" i="34"/>
  <c r="A119" i="34"/>
  <c r="U118" i="34"/>
  <c r="T118" i="34"/>
  <c r="S118" i="34"/>
  <c r="R118" i="34"/>
  <c r="Q118" i="34"/>
  <c r="P118" i="34"/>
  <c r="H118" i="34"/>
  <c r="B118" i="34"/>
  <c r="A118" i="34"/>
  <c r="U117" i="34"/>
  <c r="T117" i="34"/>
  <c r="S117" i="34"/>
  <c r="R117" i="34"/>
  <c r="Q117" i="34"/>
  <c r="P117" i="34"/>
  <c r="B117" i="34"/>
  <c r="A117" i="34"/>
  <c r="U116" i="34"/>
  <c r="T116" i="34"/>
  <c r="S116" i="34"/>
  <c r="R116" i="34"/>
  <c r="Q116" i="34"/>
  <c r="P116" i="34"/>
  <c r="H116" i="34"/>
  <c r="B116" i="34"/>
  <c r="A116" i="34"/>
  <c r="U115" i="34"/>
  <c r="T115" i="34"/>
  <c r="S115" i="34"/>
  <c r="R115" i="34"/>
  <c r="Q115" i="34"/>
  <c r="P115" i="34"/>
  <c r="H115" i="34"/>
  <c r="H117" i="34" s="1"/>
  <c r="B115" i="34"/>
  <c r="A115" i="34"/>
  <c r="U114" i="34"/>
  <c r="T114" i="34"/>
  <c r="S114" i="34"/>
  <c r="R114" i="34"/>
  <c r="Q114" i="34"/>
  <c r="P114" i="34"/>
  <c r="H114" i="34"/>
  <c r="B114" i="34"/>
  <c r="A114" i="34"/>
  <c r="U113" i="34"/>
  <c r="T113" i="34"/>
  <c r="S113" i="34"/>
  <c r="R113" i="34"/>
  <c r="Q113" i="34"/>
  <c r="P113" i="34"/>
  <c r="H113" i="34"/>
  <c r="B113" i="34"/>
  <c r="A113" i="34"/>
  <c r="U112" i="34"/>
  <c r="T112" i="34"/>
  <c r="S112" i="34"/>
  <c r="R112" i="34"/>
  <c r="Q112" i="34"/>
  <c r="P112" i="34"/>
  <c r="H112" i="34"/>
  <c r="B112" i="34"/>
  <c r="A112" i="34"/>
  <c r="U111" i="34"/>
  <c r="T111" i="34"/>
  <c r="S111" i="34"/>
  <c r="R111" i="34"/>
  <c r="Q111" i="34"/>
  <c r="P111" i="34"/>
  <c r="H111" i="34"/>
  <c r="B111" i="34"/>
  <c r="A111" i="34"/>
  <c r="U110" i="34"/>
  <c r="T110" i="34"/>
  <c r="S110" i="34"/>
  <c r="R110" i="34"/>
  <c r="Q110" i="34"/>
  <c r="P110" i="34"/>
  <c r="B110" i="34"/>
  <c r="A110" i="34"/>
  <c r="U109" i="34"/>
  <c r="T109" i="34"/>
  <c r="S109" i="34"/>
  <c r="R109" i="34"/>
  <c r="Q109" i="34"/>
  <c r="P109" i="34"/>
  <c r="B109" i="34"/>
  <c r="A109" i="34"/>
  <c r="U108" i="34"/>
  <c r="T108" i="34"/>
  <c r="G125" i="34" s="1"/>
  <c r="H125" i="34" s="1"/>
  <c r="S108" i="34"/>
  <c r="R108" i="34"/>
  <c r="Q108" i="34"/>
  <c r="P108" i="34"/>
  <c r="G123" i="34" s="1"/>
  <c r="H123" i="34" s="1"/>
  <c r="B108" i="34"/>
  <c r="A108" i="34"/>
  <c r="U107" i="34"/>
  <c r="T107" i="34"/>
  <c r="S107" i="34"/>
  <c r="R107" i="34"/>
  <c r="Q107" i="34"/>
  <c r="P107" i="34"/>
  <c r="B107" i="34"/>
  <c r="A107" i="34"/>
  <c r="U106" i="34"/>
  <c r="T106" i="34"/>
  <c r="S106" i="34"/>
  <c r="R106" i="34"/>
  <c r="Q106" i="34"/>
  <c r="P106" i="34"/>
  <c r="H106" i="34"/>
  <c r="J110" i="34" s="1"/>
  <c r="B106" i="34"/>
  <c r="A106" i="34"/>
  <c r="U105" i="34"/>
  <c r="T105" i="34"/>
  <c r="S105" i="34"/>
  <c r="R105" i="34"/>
  <c r="Q105" i="34"/>
  <c r="P105" i="34"/>
  <c r="B105" i="34"/>
  <c r="A105" i="34"/>
  <c r="U104" i="34"/>
  <c r="T104" i="34"/>
  <c r="S104" i="34"/>
  <c r="R104" i="34"/>
  <c r="Q104" i="34"/>
  <c r="P104" i="34"/>
  <c r="B104" i="34"/>
  <c r="A104" i="34"/>
  <c r="U103" i="34"/>
  <c r="T103" i="34"/>
  <c r="S103" i="34"/>
  <c r="R103" i="34"/>
  <c r="G124" i="34" s="1"/>
  <c r="H124" i="34" s="1"/>
  <c r="Q103" i="34"/>
  <c r="P103" i="34"/>
  <c r="B103" i="34"/>
  <c r="A103" i="34"/>
  <c r="P96" i="34"/>
  <c r="L96" i="34"/>
  <c r="H96" i="34"/>
  <c r="H104" i="34" s="1"/>
  <c r="Q28" i="34"/>
  <c r="AC25" i="34"/>
  <c r="AB25" i="34"/>
  <c r="AA25" i="34"/>
  <c r="Z25" i="34"/>
  <c r="Y25" i="34"/>
  <c r="X25" i="34"/>
  <c r="W25" i="34"/>
  <c r="V25" i="34"/>
  <c r="U25" i="34"/>
  <c r="T25" i="34"/>
  <c r="AC24" i="34"/>
  <c r="AB24" i="34"/>
  <c r="AA24" i="34"/>
  <c r="Z24" i="34"/>
  <c r="Y24" i="34"/>
  <c r="X24" i="34"/>
  <c r="W24" i="34"/>
  <c r="V24" i="34"/>
  <c r="U24" i="34"/>
  <c r="T24" i="34"/>
  <c r="AC23" i="34"/>
  <c r="Y23" i="34"/>
  <c r="AC21" i="34"/>
  <c r="AB21" i="34"/>
  <c r="AA21" i="34"/>
  <c r="Z21" i="34"/>
  <c r="Y21" i="34"/>
  <c r="X21" i="34"/>
  <c r="W21" i="34"/>
  <c r="V21" i="34"/>
  <c r="U21" i="34"/>
  <c r="T21" i="34"/>
  <c r="AC20" i="34"/>
  <c r="AB20" i="34"/>
  <c r="AA20" i="34"/>
  <c r="Z20" i="34"/>
  <c r="Y20" i="34"/>
  <c r="X20" i="34"/>
  <c r="W20" i="34"/>
  <c r="V20" i="34"/>
  <c r="U20" i="34"/>
  <c r="T20" i="34"/>
  <c r="AC19" i="34"/>
  <c r="AB19" i="34"/>
  <c r="Y19" i="34"/>
  <c r="X19" i="34"/>
  <c r="U19" i="34"/>
  <c r="T19" i="34"/>
  <c r="L19" i="34"/>
  <c r="K19" i="34"/>
  <c r="J19" i="34"/>
  <c r="I19" i="34"/>
  <c r="H19" i="34"/>
  <c r="G19" i="34"/>
  <c r="F19" i="34"/>
  <c r="E19" i="34"/>
  <c r="D19" i="34"/>
  <c r="C19" i="34"/>
  <c r="M10" i="34"/>
  <c r="M9" i="34"/>
  <c r="I9" i="34"/>
  <c r="M8" i="34"/>
  <c r="I8" i="34"/>
  <c r="Z19" i="34" s="1"/>
  <c r="A3" i="34"/>
  <c r="B152" i="33"/>
  <c r="A152" i="33"/>
  <c r="B151" i="33"/>
  <c r="A151" i="33"/>
  <c r="B150" i="33"/>
  <c r="A150" i="33"/>
  <c r="B149" i="33"/>
  <c r="A149" i="33"/>
  <c r="B148" i="33"/>
  <c r="A148" i="33"/>
  <c r="B147" i="33"/>
  <c r="A147" i="33"/>
  <c r="B146" i="33"/>
  <c r="A146" i="33"/>
  <c r="B145" i="33"/>
  <c r="A145" i="33"/>
  <c r="B144" i="33"/>
  <c r="A144" i="33"/>
  <c r="B143" i="33"/>
  <c r="A143" i="33"/>
  <c r="B142" i="33"/>
  <c r="A142" i="33"/>
  <c r="B141" i="33"/>
  <c r="A141" i="33"/>
  <c r="B140" i="33"/>
  <c r="A140" i="33"/>
  <c r="G139" i="33"/>
  <c r="H139" i="33" s="1"/>
  <c r="B139" i="33"/>
  <c r="A139" i="33"/>
  <c r="B138" i="33"/>
  <c r="A138" i="33"/>
  <c r="B137" i="33"/>
  <c r="A137" i="33"/>
  <c r="B136" i="33"/>
  <c r="A136" i="33"/>
  <c r="B135" i="33"/>
  <c r="A135" i="33"/>
  <c r="B134" i="33"/>
  <c r="A134" i="33"/>
  <c r="B133" i="33"/>
  <c r="A133" i="33"/>
  <c r="B132" i="33"/>
  <c r="A132" i="33"/>
  <c r="B131" i="33"/>
  <c r="A131" i="33"/>
  <c r="B130" i="33"/>
  <c r="A130" i="33"/>
  <c r="B129" i="33"/>
  <c r="A129" i="33"/>
  <c r="B128" i="33"/>
  <c r="A128" i="33"/>
  <c r="AN127" i="33"/>
  <c r="AO127" i="33" s="1"/>
  <c r="AP127" i="33" s="1"/>
  <c r="AQ127" i="33" s="1"/>
  <c r="AR127" i="33" s="1"/>
  <c r="AS127" i="33" s="1"/>
  <c r="AT127" i="33" s="1"/>
  <c r="AU127" i="33" s="1"/>
  <c r="AV127" i="33" s="1"/>
  <c r="AW127" i="33" s="1"/>
  <c r="AX127" i="33" s="1"/>
  <c r="AY127" i="33" s="1"/>
  <c r="AZ127" i="33" s="1"/>
  <c r="BA127" i="33" s="1"/>
  <c r="BB127" i="33" s="1"/>
  <c r="BC127" i="33" s="1"/>
  <c r="BD127" i="33" s="1"/>
  <c r="BE127" i="33" s="1"/>
  <c r="AJ127" i="33"/>
  <c r="AK127" i="33" s="1"/>
  <c r="AL127" i="33" s="1"/>
  <c r="AM127" i="33" s="1"/>
  <c r="AH127" i="33"/>
  <c r="AI127" i="33" s="1"/>
  <c r="AG127" i="33"/>
  <c r="AF127" i="33"/>
  <c r="Y127" i="33"/>
  <c r="X127" i="33"/>
  <c r="W127" i="33"/>
  <c r="V127" i="33"/>
  <c r="U127" i="33"/>
  <c r="T127" i="33"/>
  <c r="S127" i="33"/>
  <c r="R127" i="33"/>
  <c r="Q127" i="33"/>
  <c r="P127" i="33"/>
  <c r="AE127" i="33" s="1"/>
  <c r="L127" i="33"/>
  <c r="J127" i="33"/>
  <c r="K127" i="33" s="1"/>
  <c r="Z127" i="33" s="1"/>
  <c r="B127" i="33"/>
  <c r="A127" i="33"/>
  <c r="U126" i="33"/>
  <c r="T126" i="33"/>
  <c r="S126" i="33"/>
  <c r="R126" i="33"/>
  <c r="Q126" i="33"/>
  <c r="P126" i="33"/>
  <c r="B126" i="33"/>
  <c r="A126" i="33"/>
  <c r="U125" i="33"/>
  <c r="T125" i="33"/>
  <c r="S125" i="33"/>
  <c r="R125" i="33"/>
  <c r="Q125" i="33"/>
  <c r="P125" i="33"/>
  <c r="B125" i="33"/>
  <c r="A125" i="33"/>
  <c r="U124" i="33"/>
  <c r="T124" i="33"/>
  <c r="S124" i="33"/>
  <c r="R124" i="33"/>
  <c r="Q124" i="33"/>
  <c r="P124" i="33"/>
  <c r="B124" i="33"/>
  <c r="A124" i="33"/>
  <c r="U123" i="33"/>
  <c r="T123" i="33"/>
  <c r="S123" i="33"/>
  <c r="R123" i="33"/>
  <c r="Q123" i="33"/>
  <c r="P123" i="33"/>
  <c r="B123" i="33"/>
  <c r="A123" i="33"/>
  <c r="U122" i="33"/>
  <c r="T122" i="33"/>
  <c r="S122" i="33"/>
  <c r="R122" i="33"/>
  <c r="Q122" i="33"/>
  <c r="P122" i="33"/>
  <c r="B122" i="33"/>
  <c r="A122" i="33"/>
  <c r="U121" i="33"/>
  <c r="T121" i="33"/>
  <c r="S121" i="33"/>
  <c r="R121" i="33"/>
  <c r="Q121" i="33"/>
  <c r="P121" i="33"/>
  <c r="B121" i="33"/>
  <c r="A121" i="33"/>
  <c r="U120" i="33"/>
  <c r="T120" i="33"/>
  <c r="S120" i="33"/>
  <c r="R120" i="33"/>
  <c r="Q120" i="33"/>
  <c r="P120" i="33"/>
  <c r="B120" i="33"/>
  <c r="A120" i="33"/>
  <c r="U119" i="33"/>
  <c r="T119" i="33"/>
  <c r="S119" i="33"/>
  <c r="R119" i="33"/>
  <c r="Q119" i="33"/>
  <c r="P119" i="33"/>
  <c r="H119" i="33"/>
  <c r="B119" i="33"/>
  <c r="A119" i="33"/>
  <c r="U118" i="33"/>
  <c r="T118" i="33"/>
  <c r="S118" i="33"/>
  <c r="R118" i="33"/>
  <c r="Q118" i="33"/>
  <c r="P118" i="33"/>
  <c r="H118" i="33"/>
  <c r="B118" i="33"/>
  <c r="A118" i="33"/>
  <c r="U117" i="33"/>
  <c r="T117" i="33"/>
  <c r="S117" i="33"/>
  <c r="R117" i="33"/>
  <c r="Q117" i="33"/>
  <c r="P117" i="33"/>
  <c r="B117" i="33"/>
  <c r="A117" i="33"/>
  <c r="U116" i="33"/>
  <c r="T116" i="33"/>
  <c r="S116" i="33"/>
  <c r="R116" i="33"/>
  <c r="Q116" i="33"/>
  <c r="P116" i="33"/>
  <c r="H116" i="33"/>
  <c r="H117" i="33" s="1"/>
  <c r="B116" i="33"/>
  <c r="A116" i="33"/>
  <c r="U115" i="33"/>
  <c r="T115" i="33"/>
  <c r="S115" i="33"/>
  <c r="R115" i="33"/>
  <c r="Q115" i="33"/>
  <c r="P115" i="33"/>
  <c r="H115" i="33"/>
  <c r="B115" i="33"/>
  <c r="A115" i="33"/>
  <c r="U114" i="33"/>
  <c r="T114" i="33"/>
  <c r="S114" i="33"/>
  <c r="R114" i="33"/>
  <c r="Q114" i="33"/>
  <c r="P114" i="33"/>
  <c r="H114" i="33"/>
  <c r="B114" i="33"/>
  <c r="A114" i="33"/>
  <c r="U113" i="33"/>
  <c r="T113" i="33"/>
  <c r="S113" i="33"/>
  <c r="R113" i="33"/>
  <c r="Q113" i="33"/>
  <c r="P113" i="33"/>
  <c r="H113" i="33"/>
  <c r="B113" i="33"/>
  <c r="A113" i="33"/>
  <c r="U112" i="33"/>
  <c r="T112" i="33"/>
  <c r="S112" i="33"/>
  <c r="R112" i="33"/>
  <c r="Q112" i="33"/>
  <c r="P112" i="33"/>
  <c r="H112" i="33"/>
  <c r="B112" i="33"/>
  <c r="A112" i="33"/>
  <c r="U111" i="33"/>
  <c r="T111" i="33"/>
  <c r="S111" i="33"/>
  <c r="R111" i="33"/>
  <c r="Q111" i="33"/>
  <c r="P111" i="33"/>
  <c r="H111" i="33"/>
  <c r="B111" i="33"/>
  <c r="A111" i="33"/>
  <c r="U110" i="33"/>
  <c r="T110" i="33"/>
  <c r="S110" i="33"/>
  <c r="R110" i="33"/>
  <c r="Q110" i="33"/>
  <c r="P110" i="33"/>
  <c r="B110" i="33"/>
  <c r="A110" i="33"/>
  <c r="U109" i="33"/>
  <c r="T109" i="33"/>
  <c r="S109" i="33"/>
  <c r="R109" i="33"/>
  <c r="Q109" i="33"/>
  <c r="P109" i="33"/>
  <c r="B109" i="33"/>
  <c r="A109" i="33"/>
  <c r="U108" i="33"/>
  <c r="T108" i="33"/>
  <c r="S108" i="33"/>
  <c r="R108" i="33"/>
  <c r="Q108" i="33"/>
  <c r="P108" i="33"/>
  <c r="B108" i="33"/>
  <c r="A108" i="33"/>
  <c r="U107" i="33"/>
  <c r="T107" i="33"/>
  <c r="S107" i="33"/>
  <c r="R107" i="33"/>
  <c r="Q107" i="33"/>
  <c r="P107" i="33"/>
  <c r="B107" i="33"/>
  <c r="A107" i="33"/>
  <c r="U106" i="33"/>
  <c r="T106" i="33"/>
  <c r="S106" i="33"/>
  <c r="R106" i="33"/>
  <c r="Q106" i="33"/>
  <c r="P106" i="33"/>
  <c r="H106" i="33"/>
  <c r="B106" i="33"/>
  <c r="A106" i="33"/>
  <c r="U105" i="33"/>
  <c r="T105" i="33"/>
  <c r="S105" i="33"/>
  <c r="R105" i="33"/>
  <c r="Q105" i="33"/>
  <c r="P105" i="33"/>
  <c r="B105" i="33"/>
  <c r="A105" i="33"/>
  <c r="U104" i="33"/>
  <c r="T104" i="33"/>
  <c r="S104" i="33"/>
  <c r="R104" i="33"/>
  <c r="Q104" i="33"/>
  <c r="P104" i="33"/>
  <c r="B104" i="33"/>
  <c r="A104" i="33"/>
  <c r="U103" i="33"/>
  <c r="T103" i="33"/>
  <c r="S103" i="33"/>
  <c r="R103" i="33"/>
  <c r="Q103" i="33"/>
  <c r="P103" i="33"/>
  <c r="H103" i="33"/>
  <c r="B103" i="33"/>
  <c r="A103" i="33"/>
  <c r="R100" i="33"/>
  <c r="P96" i="33"/>
  <c r="L96" i="33"/>
  <c r="H96" i="33"/>
  <c r="E62" i="33"/>
  <c r="Q29" i="33"/>
  <c r="Q28" i="33"/>
  <c r="AC25" i="33"/>
  <c r="AB25" i="33"/>
  <c r="AA25" i="33"/>
  <c r="Z25" i="33"/>
  <c r="Y25" i="33"/>
  <c r="X25" i="33"/>
  <c r="W25" i="33"/>
  <c r="V25" i="33"/>
  <c r="U25" i="33"/>
  <c r="T25" i="33"/>
  <c r="AC24" i="33"/>
  <c r="AB24" i="33"/>
  <c r="AA24" i="33"/>
  <c r="Z24" i="33"/>
  <c r="Y24" i="33"/>
  <c r="X24" i="33"/>
  <c r="W24" i="33"/>
  <c r="V24" i="33"/>
  <c r="U24" i="33"/>
  <c r="T24" i="33"/>
  <c r="AA23" i="33"/>
  <c r="Z23" i="33"/>
  <c r="W23" i="33"/>
  <c r="V23" i="33"/>
  <c r="AC21" i="33"/>
  <c r="AB21" i="33"/>
  <c r="AA21" i="33"/>
  <c r="Z21" i="33"/>
  <c r="Y21" i="33"/>
  <c r="X21" i="33"/>
  <c r="W21" i="33"/>
  <c r="V21" i="33"/>
  <c r="U21" i="33"/>
  <c r="T21" i="33"/>
  <c r="AC20" i="33"/>
  <c r="AB20" i="33"/>
  <c r="AA20" i="33"/>
  <c r="Z20" i="33"/>
  <c r="Y20" i="33"/>
  <c r="X20" i="33"/>
  <c r="W20" i="33"/>
  <c r="V20" i="33"/>
  <c r="U20" i="33"/>
  <c r="T20" i="33"/>
  <c r="Y19" i="33"/>
  <c r="L19" i="33"/>
  <c r="AC23" i="33" s="1"/>
  <c r="K19" i="33"/>
  <c r="J19" i="33"/>
  <c r="I19" i="33"/>
  <c r="H19" i="33"/>
  <c r="Y23" i="33" s="1"/>
  <c r="G19" i="33"/>
  <c r="F19" i="33"/>
  <c r="E19" i="33"/>
  <c r="D19" i="33"/>
  <c r="U23" i="33" s="1"/>
  <c r="C19" i="33"/>
  <c r="M10" i="33"/>
  <c r="M9" i="33"/>
  <c r="I9" i="33"/>
  <c r="M8" i="33"/>
  <c r="I8" i="33"/>
  <c r="V19" i="33" s="1"/>
  <c r="A3" i="33"/>
  <c r="B152" i="32"/>
  <c r="A152" i="32"/>
  <c r="B151" i="32"/>
  <c r="A151" i="32"/>
  <c r="B150" i="32"/>
  <c r="A150" i="32"/>
  <c r="B149" i="32"/>
  <c r="A149" i="32"/>
  <c r="B148" i="32"/>
  <c r="A148" i="32"/>
  <c r="B147" i="32"/>
  <c r="A147" i="32"/>
  <c r="B146" i="32"/>
  <c r="A146" i="32"/>
  <c r="B145" i="32"/>
  <c r="A145" i="32"/>
  <c r="B144" i="32"/>
  <c r="A144" i="32"/>
  <c r="B143" i="32"/>
  <c r="A143" i="32"/>
  <c r="B142" i="32"/>
  <c r="A142" i="32"/>
  <c r="B141" i="32"/>
  <c r="A141" i="32"/>
  <c r="B140" i="32"/>
  <c r="A140" i="32"/>
  <c r="B139" i="32"/>
  <c r="A139" i="32"/>
  <c r="B138" i="32"/>
  <c r="A138" i="32"/>
  <c r="B137" i="32"/>
  <c r="A137" i="32"/>
  <c r="B136" i="32"/>
  <c r="A136" i="32"/>
  <c r="B135" i="32"/>
  <c r="A135" i="32"/>
  <c r="B134" i="32"/>
  <c r="A134" i="32"/>
  <c r="B133" i="32"/>
  <c r="A133" i="32"/>
  <c r="B132" i="32"/>
  <c r="A132" i="32"/>
  <c r="B131" i="32"/>
  <c r="A131" i="32"/>
  <c r="B130" i="32"/>
  <c r="A130" i="32"/>
  <c r="B129" i="32"/>
  <c r="A129" i="32"/>
  <c r="B128" i="32"/>
  <c r="A128" i="32"/>
  <c r="AH127" i="32"/>
  <c r="AI127" i="32" s="1"/>
  <c r="AJ127" i="32" s="1"/>
  <c r="AK127" i="32" s="1"/>
  <c r="AL127" i="32" s="1"/>
  <c r="AM127" i="32" s="1"/>
  <c r="AN127" i="32" s="1"/>
  <c r="AO127" i="32" s="1"/>
  <c r="AP127" i="32" s="1"/>
  <c r="AQ127" i="32" s="1"/>
  <c r="AR127" i="32" s="1"/>
  <c r="AS127" i="32" s="1"/>
  <c r="AT127" i="32" s="1"/>
  <c r="AU127" i="32" s="1"/>
  <c r="AV127" i="32" s="1"/>
  <c r="AW127" i="32" s="1"/>
  <c r="AX127" i="32" s="1"/>
  <c r="AY127" i="32" s="1"/>
  <c r="AZ127" i="32" s="1"/>
  <c r="BA127" i="32" s="1"/>
  <c r="BB127" i="32" s="1"/>
  <c r="BC127" i="32" s="1"/>
  <c r="BD127" i="32" s="1"/>
  <c r="BE127" i="32" s="1"/>
  <c r="AG127" i="32"/>
  <c r="AF127" i="32"/>
  <c r="Y127" i="32"/>
  <c r="X127" i="32"/>
  <c r="W127" i="32"/>
  <c r="V127" i="32"/>
  <c r="U127" i="32"/>
  <c r="T127" i="32"/>
  <c r="S127" i="32"/>
  <c r="R127" i="32"/>
  <c r="Q127" i="32"/>
  <c r="P127" i="32"/>
  <c r="AE127" i="32" s="1"/>
  <c r="J127" i="32"/>
  <c r="K127" i="32" s="1"/>
  <c r="B127" i="32"/>
  <c r="A127" i="32"/>
  <c r="U126" i="32"/>
  <c r="T126" i="32"/>
  <c r="S126" i="32"/>
  <c r="R126" i="32"/>
  <c r="Q126" i="32"/>
  <c r="P126" i="32"/>
  <c r="B126" i="32"/>
  <c r="A126" i="32"/>
  <c r="U125" i="32"/>
  <c r="T125" i="32"/>
  <c r="S125" i="32"/>
  <c r="R125" i="32"/>
  <c r="Q125" i="32"/>
  <c r="P125" i="32"/>
  <c r="B125" i="32"/>
  <c r="A125" i="32"/>
  <c r="U124" i="32"/>
  <c r="T124" i="32"/>
  <c r="S124" i="32"/>
  <c r="R124" i="32"/>
  <c r="Q124" i="32"/>
  <c r="P124" i="32"/>
  <c r="B124" i="32"/>
  <c r="A124" i="32"/>
  <c r="U123" i="32"/>
  <c r="T123" i="32"/>
  <c r="S123" i="32"/>
  <c r="R123" i="32"/>
  <c r="Q123" i="32"/>
  <c r="P123" i="32"/>
  <c r="B123" i="32"/>
  <c r="A123" i="32"/>
  <c r="U122" i="32"/>
  <c r="T122" i="32"/>
  <c r="S122" i="32"/>
  <c r="R122" i="32"/>
  <c r="Q122" i="32"/>
  <c r="P122" i="32"/>
  <c r="B122" i="32"/>
  <c r="A122" i="32"/>
  <c r="U121" i="32"/>
  <c r="T121" i="32"/>
  <c r="S121" i="32"/>
  <c r="R121" i="32"/>
  <c r="Q121" i="32"/>
  <c r="P121" i="32"/>
  <c r="B121" i="32"/>
  <c r="A121" i="32"/>
  <c r="U120" i="32"/>
  <c r="T120" i="32"/>
  <c r="S120" i="32"/>
  <c r="R120" i="32"/>
  <c r="Q120" i="32"/>
  <c r="P120" i="32"/>
  <c r="B120" i="32"/>
  <c r="A120" i="32"/>
  <c r="U119" i="32"/>
  <c r="T119" i="32"/>
  <c r="S119" i="32"/>
  <c r="R119" i="32"/>
  <c r="Q119" i="32"/>
  <c r="P119" i="32"/>
  <c r="H119" i="32"/>
  <c r="B119" i="32"/>
  <c r="A119" i="32"/>
  <c r="U118" i="32"/>
  <c r="T118" i="32"/>
  <c r="S118" i="32"/>
  <c r="R118" i="32"/>
  <c r="Q118" i="32"/>
  <c r="P118" i="32"/>
  <c r="H118" i="32"/>
  <c r="B118" i="32"/>
  <c r="A118" i="32"/>
  <c r="U117" i="32"/>
  <c r="T117" i="32"/>
  <c r="S117" i="32"/>
  <c r="R117" i="32"/>
  <c r="Q117" i="32"/>
  <c r="P117" i="32"/>
  <c r="B117" i="32"/>
  <c r="A117" i="32"/>
  <c r="U116" i="32"/>
  <c r="T116" i="32"/>
  <c r="S116" i="32"/>
  <c r="R116" i="32"/>
  <c r="Q116" i="32"/>
  <c r="P116" i="32"/>
  <c r="H116" i="32"/>
  <c r="H117" i="32" s="1"/>
  <c r="B116" i="32"/>
  <c r="A116" i="32"/>
  <c r="U115" i="32"/>
  <c r="T115" i="32"/>
  <c r="S115" i="32"/>
  <c r="R115" i="32"/>
  <c r="Q115" i="32"/>
  <c r="P115" i="32"/>
  <c r="H115" i="32"/>
  <c r="B115" i="32"/>
  <c r="A115" i="32"/>
  <c r="U114" i="32"/>
  <c r="T114" i="32"/>
  <c r="S114" i="32"/>
  <c r="R114" i="32"/>
  <c r="Q114" i="32"/>
  <c r="P114" i="32"/>
  <c r="H114" i="32"/>
  <c r="B114" i="32"/>
  <c r="A114" i="32"/>
  <c r="U113" i="32"/>
  <c r="T113" i="32"/>
  <c r="S113" i="32"/>
  <c r="R113" i="32"/>
  <c r="Q113" i="32"/>
  <c r="P113" i="32"/>
  <c r="H113" i="32"/>
  <c r="B113" i="32"/>
  <c r="A113" i="32"/>
  <c r="U112" i="32"/>
  <c r="T112" i="32"/>
  <c r="S112" i="32"/>
  <c r="R112" i="32"/>
  <c r="Q112" i="32"/>
  <c r="P112" i="32"/>
  <c r="H112" i="32"/>
  <c r="B112" i="32"/>
  <c r="A112" i="32"/>
  <c r="U111" i="32"/>
  <c r="T111" i="32"/>
  <c r="S111" i="32"/>
  <c r="R111" i="32"/>
  <c r="Q111" i="32"/>
  <c r="P111" i="32"/>
  <c r="H111" i="32"/>
  <c r="B111" i="32"/>
  <c r="A111" i="32"/>
  <c r="U110" i="32"/>
  <c r="T110" i="32"/>
  <c r="S110" i="32"/>
  <c r="R110" i="32"/>
  <c r="Q110" i="32"/>
  <c r="P110" i="32"/>
  <c r="B110" i="32"/>
  <c r="A110" i="32"/>
  <c r="U109" i="32"/>
  <c r="T109" i="32"/>
  <c r="S109" i="32"/>
  <c r="R109" i="32"/>
  <c r="Q109" i="32"/>
  <c r="P109" i="32"/>
  <c r="B109" i="32"/>
  <c r="A109" i="32"/>
  <c r="U108" i="32"/>
  <c r="T108" i="32"/>
  <c r="S108" i="32"/>
  <c r="R108" i="32"/>
  <c r="Q108" i="32"/>
  <c r="P108" i="32"/>
  <c r="B108" i="32"/>
  <c r="A108" i="32"/>
  <c r="U107" i="32"/>
  <c r="T107" i="32"/>
  <c r="S107" i="32"/>
  <c r="R107" i="32"/>
  <c r="Q107" i="32"/>
  <c r="P107" i="32"/>
  <c r="B107" i="32"/>
  <c r="A107" i="32"/>
  <c r="U106" i="32"/>
  <c r="T106" i="32"/>
  <c r="S106" i="32"/>
  <c r="R106" i="32"/>
  <c r="Q106" i="32"/>
  <c r="P106" i="32"/>
  <c r="H106" i="32"/>
  <c r="B106" i="32"/>
  <c r="A106" i="32"/>
  <c r="U105" i="32"/>
  <c r="T105" i="32"/>
  <c r="S105" i="32"/>
  <c r="R105" i="32"/>
  <c r="Q105" i="32"/>
  <c r="P105" i="32"/>
  <c r="B105" i="32"/>
  <c r="A105" i="32"/>
  <c r="U104" i="32"/>
  <c r="T104" i="32"/>
  <c r="S104" i="32"/>
  <c r="R104" i="32"/>
  <c r="Q104" i="32"/>
  <c r="P104" i="32"/>
  <c r="B104" i="32"/>
  <c r="A104" i="32"/>
  <c r="U103" i="32"/>
  <c r="T103" i="32"/>
  <c r="G125" i="32" s="1"/>
  <c r="H125" i="32" s="1"/>
  <c r="S103" i="32"/>
  <c r="R103" i="32"/>
  <c r="G124" i="32" s="1"/>
  <c r="H124" i="32" s="1"/>
  <c r="Q103" i="32"/>
  <c r="P103" i="32"/>
  <c r="G123" i="32" s="1"/>
  <c r="H123" i="32" s="1"/>
  <c r="H126" i="32" s="1"/>
  <c r="H122" i="32" s="1"/>
  <c r="B103" i="32"/>
  <c r="A103" i="32"/>
  <c r="P96" i="32"/>
  <c r="L96" i="32"/>
  <c r="H96" i="32"/>
  <c r="H103" i="32" s="1"/>
  <c r="E62" i="32"/>
  <c r="Q29" i="32"/>
  <c r="Q28" i="32"/>
  <c r="C66" i="32" s="1"/>
  <c r="AC25" i="32"/>
  <c r="AB25" i="32"/>
  <c r="AA25" i="32"/>
  <c r="Z25" i="32"/>
  <c r="Y25" i="32"/>
  <c r="X25" i="32"/>
  <c r="W25" i="32"/>
  <c r="V25" i="32"/>
  <c r="U25" i="32"/>
  <c r="T25" i="32"/>
  <c r="AC24" i="32"/>
  <c r="AB24" i="32"/>
  <c r="AA24" i="32"/>
  <c r="Z24" i="32"/>
  <c r="Y24" i="32"/>
  <c r="X24" i="32"/>
  <c r="W24" i="32"/>
  <c r="V24" i="32"/>
  <c r="U24" i="32"/>
  <c r="T24" i="32"/>
  <c r="AA23" i="32"/>
  <c r="Z23" i="32"/>
  <c r="W23" i="32"/>
  <c r="V23" i="32"/>
  <c r="AC21" i="32"/>
  <c r="AB21" i="32"/>
  <c r="AA21" i="32"/>
  <c r="Z21" i="32"/>
  <c r="Y21" i="32"/>
  <c r="X21" i="32"/>
  <c r="W21" i="32"/>
  <c r="V21" i="32"/>
  <c r="U21" i="32"/>
  <c r="T21" i="32"/>
  <c r="AC20" i="32"/>
  <c r="AB20" i="32"/>
  <c r="AA20" i="32"/>
  <c r="Z20" i="32"/>
  <c r="Y20" i="32"/>
  <c r="X20" i="32"/>
  <c r="W20" i="32"/>
  <c r="V20" i="32"/>
  <c r="U20" i="32"/>
  <c r="T20" i="32"/>
  <c r="AC19" i="32"/>
  <c r="Y19" i="32"/>
  <c r="U19" i="32"/>
  <c r="L19" i="32"/>
  <c r="AC23" i="32" s="1"/>
  <c r="K19" i="32"/>
  <c r="AB19" i="32" s="1"/>
  <c r="J19" i="32"/>
  <c r="AA19" i="32" s="1"/>
  <c r="I19" i="32"/>
  <c r="H19" i="32"/>
  <c r="Y23" i="32" s="1"/>
  <c r="G19" i="32"/>
  <c r="X19" i="32" s="1"/>
  <c r="F19" i="32"/>
  <c r="W19" i="32" s="1"/>
  <c r="E19" i="32"/>
  <c r="D19" i="32"/>
  <c r="U23" i="32" s="1"/>
  <c r="C19" i="32"/>
  <c r="Q22" i="32" s="1"/>
  <c r="M10" i="32"/>
  <c r="M9" i="32"/>
  <c r="I9" i="32"/>
  <c r="M8" i="32"/>
  <c r="I8" i="32"/>
  <c r="Z19" i="32" s="1"/>
  <c r="A3" i="32"/>
  <c r="B152" i="31"/>
  <c r="A152" i="31"/>
  <c r="B151" i="31"/>
  <c r="A151" i="31"/>
  <c r="B150" i="31"/>
  <c r="A150" i="31"/>
  <c r="B149" i="31"/>
  <c r="A149" i="31"/>
  <c r="B148" i="31"/>
  <c r="A148" i="31"/>
  <c r="B147" i="31"/>
  <c r="A147" i="31"/>
  <c r="B146" i="31"/>
  <c r="A146" i="31"/>
  <c r="B145" i="31"/>
  <c r="A145" i="31"/>
  <c r="B144" i="31"/>
  <c r="A144" i="31"/>
  <c r="B143" i="31"/>
  <c r="A143" i="31"/>
  <c r="B142" i="31"/>
  <c r="A142" i="31"/>
  <c r="B141" i="31"/>
  <c r="A141" i="31"/>
  <c r="B140" i="31"/>
  <c r="A140" i="31"/>
  <c r="B139" i="31"/>
  <c r="A139" i="31"/>
  <c r="B138" i="31"/>
  <c r="A138" i="31"/>
  <c r="B137" i="31"/>
  <c r="A137" i="31"/>
  <c r="B136" i="31"/>
  <c r="A136" i="31"/>
  <c r="B135" i="31"/>
  <c r="A135" i="31"/>
  <c r="B134" i="31"/>
  <c r="A134" i="31"/>
  <c r="B133" i="31"/>
  <c r="A133" i="31"/>
  <c r="B132" i="31"/>
  <c r="A132" i="31"/>
  <c r="B131" i="31"/>
  <c r="A131" i="31"/>
  <c r="B130" i="31"/>
  <c r="A130" i="31"/>
  <c r="B129" i="31"/>
  <c r="A129" i="31"/>
  <c r="B128" i="31"/>
  <c r="A128" i="31"/>
  <c r="AH127" i="31"/>
  <c r="AI127" i="31" s="1"/>
  <c r="AJ127" i="31" s="1"/>
  <c r="AK127" i="31" s="1"/>
  <c r="AL127" i="31" s="1"/>
  <c r="AM127" i="31" s="1"/>
  <c r="AN127" i="31" s="1"/>
  <c r="AO127" i="31" s="1"/>
  <c r="AP127" i="31" s="1"/>
  <c r="AQ127" i="31" s="1"/>
  <c r="AR127" i="31" s="1"/>
  <c r="AS127" i="31" s="1"/>
  <c r="AT127" i="31" s="1"/>
  <c r="AU127" i="31" s="1"/>
  <c r="AV127" i="31" s="1"/>
  <c r="AW127" i="31" s="1"/>
  <c r="AX127" i="31" s="1"/>
  <c r="AY127" i="31" s="1"/>
  <c r="AZ127" i="31" s="1"/>
  <c r="BA127" i="31" s="1"/>
  <c r="BB127" i="31" s="1"/>
  <c r="BC127" i="31" s="1"/>
  <c r="BD127" i="31" s="1"/>
  <c r="BE127" i="31" s="1"/>
  <c r="AE127" i="31"/>
  <c r="X127" i="31"/>
  <c r="W127" i="31"/>
  <c r="V127" i="31"/>
  <c r="U127" i="31"/>
  <c r="T127" i="31"/>
  <c r="S127" i="31"/>
  <c r="R127" i="31"/>
  <c r="AG127" i="31" s="1"/>
  <c r="Q127" i="31"/>
  <c r="AF127" i="31" s="1"/>
  <c r="P127" i="31"/>
  <c r="J127" i="31"/>
  <c r="B127" i="31"/>
  <c r="A127" i="31"/>
  <c r="U126" i="31"/>
  <c r="T126" i="31"/>
  <c r="S126" i="31"/>
  <c r="R126" i="31"/>
  <c r="Q126" i="31"/>
  <c r="P126" i="31"/>
  <c r="B126" i="31"/>
  <c r="A126" i="31"/>
  <c r="U125" i="31"/>
  <c r="T125" i="31"/>
  <c r="S125" i="31"/>
  <c r="R125" i="31"/>
  <c r="Q125" i="31"/>
  <c r="P125" i="31"/>
  <c r="B125" i="31"/>
  <c r="A125" i="31"/>
  <c r="U124" i="31"/>
  <c r="T124" i="31"/>
  <c r="S124" i="31"/>
  <c r="R124" i="31"/>
  <c r="Q124" i="31"/>
  <c r="P124" i="31"/>
  <c r="B124" i="31"/>
  <c r="A124" i="31"/>
  <c r="U123" i="31"/>
  <c r="T123" i="31"/>
  <c r="S123" i="31"/>
  <c r="R123" i="31"/>
  <c r="Q123" i="31"/>
  <c r="P123" i="31"/>
  <c r="B123" i="31"/>
  <c r="A123" i="31"/>
  <c r="U122" i="31"/>
  <c r="T122" i="31"/>
  <c r="S122" i="31"/>
  <c r="R122" i="31"/>
  <c r="Q122" i="31"/>
  <c r="P122" i="31"/>
  <c r="B122" i="31"/>
  <c r="A122" i="31"/>
  <c r="U121" i="31"/>
  <c r="T121" i="31"/>
  <c r="S121" i="31"/>
  <c r="R121" i="31"/>
  <c r="Q121" i="31"/>
  <c r="P121" i="31"/>
  <c r="B121" i="31"/>
  <c r="A121" i="31"/>
  <c r="U120" i="31"/>
  <c r="T120" i="31"/>
  <c r="S120" i="31"/>
  <c r="R120" i="31"/>
  <c r="Q120" i="31"/>
  <c r="P120" i="31"/>
  <c r="B120" i="31"/>
  <c r="A120" i="31"/>
  <c r="U119" i="31"/>
  <c r="T119" i="31"/>
  <c r="S119" i="31"/>
  <c r="R119" i="31"/>
  <c r="Q119" i="31"/>
  <c r="P119" i="31"/>
  <c r="H119" i="31"/>
  <c r="B119" i="31"/>
  <c r="A119" i="31"/>
  <c r="U118" i="31"/>
  <c r="T118" i="31"/>
  <c r="S118" i="31"/>
  <c r="R118" i="31"/>
  <c r="Q118" i="31"/>
  <c r="P118" i="31"/>
  <c r="H118" i="31"/>
  <c r="B118" i="31"/>
  <c r="A118" i="31"/>
  <c r="U117" i="31"/>
  <c r="T117" i="31"/>
  <c r="S117" i="31"/>
  <c r="R117" i="31"/>
  <c r="Q117" i="31"/>
  <c r="P117" i="31"/>
  <c r="B117" i="31"/>
  <c r="A117" i="31"/>
  <c r="U116" i="31"/>
  <c r="T116" i="31"/>
  <c r="S116" i="31"/>
  <c r="R116" i="31"/>
  <c r="Q116" i="31"/>
  <c r="P116" i="31"/>
  <c r="H116" i="31"/>
  <c r="B116" i="31"/>
  <c r="A116" i="31"/>
  <c r="U115" i="31"/>
  <c r="T115" i="31"/>
  <c r="S115" i="31"/>
  <c r="R115" i="31"/>
  <c r="Q115" i="31"/>
  <c r="P115" i="31"/>
  <c r="H115" i="31"/>
  <c r="H117" i="31" s="1"/>
  <c r="B115" i="31"/>
  <c r="A115" i="31"/>
  <c r="U114" i="31"/>
  <c r="T114" i="31"/>
  <c r="S114" i="31"/>
  <c r="R114" i="31"/>
  <c r="Q114" i="31"/>
  <c r="P114" i="31"/>
  <c r="H114" i="31"/>
  <c r="B114" i="31"/>
  <c r="A114" i="31"/>
  <c r="U113" i="31"/>
  <c r="T113" i="31"/>
  <c r="S113" i="31"/>
  <c r="R113" i="31"/>
  <c r="Q113" i="31"/>
  <c r="P113" i="31"/>
  <c r="H113" i="31"/>
  <c r="B113" i="31"/>
  <c r="A113" i="31"/>
  <c r="U112" i="31"/>
  <c r="T112" i="31"/>
  <c r="S112" i="31"/>
  <c r="R112" i="31"/>
  <c r="Q112" i="31"/>
  <c r="P112" i="31"/>
  <c r="H112" i="31"/>
  <c r="B112" i="31"/>
  <c r="A112" i="31"/>
  <c r="U111" i="31"/>
  <c r="T111" i="31"/>
  <c r="S111" i="31"/>
  <c r="R111" i="31"/>
  <c r="Q111" i="31"/>
  <c r="P111" i="31"/>
  <c r="H111" i="31"/>
  <c r="B111" i="31"/>
  <c r="A111" i="31"/>
  <c r="U110" i="31"/>
  <c r="T110" i="31"/>
  <c r="S110" i="31"/>
  <c r="R110" i="31"/>
  <c r="Q110" i="31"/>
  <c r="P110" i="31"/>
  <c r="B110" i="31"/>
  <c r="A110" i="31"/>
  <c r="U109" i="31"/>
  <c r="T109" i="31"/>
  <c r="S109" i="31"/>
  <c r="R109" i="31"/>
  <c r="Q109" i="31"/>
  <c r="P109" i="31"/>
  <c r="B109" i="31"/>
  <c r="A109" i="31"/>
  <c r="U108" i="31"/>
  <c r="T108" i="31"/>
  <c r="S108" i="31"/>
  <c r="R108" i="31"/>
  <c r="Q108" i="31"/>
  <c r="P108" i="31"/>
  <c r="B108" i="31"/>
  <c r="A108" i="31"/>
  <c r="U107" i="31"/>
  <c r="T107" i="31"/>
  <c r="S107" i="31"/>
  <c r="R107" i="31"/>
  <c r="Q107" i="31"/>
  <c r="P107" i="31"/>
  <c r="B107" i="31"/>
  <c r="A107" i="31"/>
  <c r="U106" i="31"/>
  <c r="T106" i="31"/>
  <c r="S106" i="31"/>
  <c r="R106" i="31"/>
  <c r="Q106" i="31"/>
  <c r="P106" i="31"/>
  <c r="H106" i="31"/>
  <c r="J108" i="31" s="1"/>
  <c r="B106" i="31"/>
  <c r="A106" i="31"/>
  <c r="U105" i="31"/>
  <c r="T105" i="31"/>
  <c r="S105" i="31"/>
  <c r="R105" i="31"/>
  <c r="Q105" i="31"/>
  <c r="P105" i="31"/>
  <c r="B105" i="31"/>
  <c r="A105" i="31"/>
  <c r="U104" i="31"/>
  <c r="T104" i="31"/>
  <c r="S104" i="31"/>
  <c r="R104" i="31"/>
  <c r="Q104" i="31"/>
  <c r="P104" i="31"/>
  <c r="B104" i="31"/>
  <c r="A104" i="31"/>
  <c r="U103" i="31"/>
  <c r="T103" i="31"/>
  <c r="S103" i="31"/>
  <c r="R103" i="31"/>
  <c r="Q103" i="31"/>
  <c r="P103" i="31"/>
  <c r="B103" i="31"/>
  <c r="A103" i="31"/>
  <c r="P96" i="31"/>
  <c r="L96" i="31"/>
  <c r="H96" i="31"/>
  <c r="H104" i="31" s="1"/>
  <c r="AC25" i="31"/>
  <c r="AB25" i="31"/>
  <c r="AA25" i="31"/>
  <c r="Z25" i="31"/>
  <c r="Y25" i="31"/>
  <c r="X25" i="31"/>
  <c r="W25" i="31"/>
  <c r="V25" i="31"/>
  <c r="U25" i="31"/>
  <c r="T25" i="31"/>
  <c r="AC24" i="31"/>
  <c r="AB24" i="31"/>
  <c r="AA24" i="31"/>
  <c r="Z24" i="31"/>
  <c r="Y24" i="31"/>
  <c r="X24" i="31"/>
  <c r="W24" i="31"/>
  <c r="V24" i="31"/>
  <c r="U24" i="31"/>
  <c r="T24" i="31"/>
  <c r="AC23" i="31"/>
  <c r="AC21" i="31"/>
  <c r="AB21" i="31"/>
  <c r="AA21" i="31"/>
  <c r="Z21" i="31"/>
  <c r="Y21" i="31"/>
  <c r="X21" i="31"/>
  <c r="W21" i="31"/>
  <c r="V21" i="31"/>
  <c r="U21" i="31"/>
  <c r="T21" i="31"/>
  <c r="AC20" i="31"/>
  <c r="AB20" i="31"/>
  <c r="AA20" i="31"/>
  <c r="Z20" i="31"/>
  <c r="Y20" i="31"/>
  <c r="X20" i="31"/>
  <c r="W20" i="31"/>
  <c r="V20" i="31"/>
  <c r="U20" i="31"/>
  <c r="T20" i="31"/>
  <c r="AB19" i="31"/>
  <c r="AA19" i="31"/>
  <c r="X19" i="31"/>
  <c r="T19" i="31"/>
  <c r="Q19" i="31"/>
  <c r="L19" i="31"/>
  <c r="AC19" i="31" s="1"/>
  <c r="K19" i="31"/>
  <c r="J19" i="31"/>
  <c r="I19" i="31"/>
  <c r="H19" i="31"/>
  <c r="Y19" i="31" s="1"/>
  <c r="G19" i="31"/>
  <c r="F19" i="31"/>
  <c r="E19" i="31"/>
  <c r="D19" i="31"/>
  <c r="U19" i="31" s="1"/>
  <c r="C19" i="31"/>
  <c r="M10" i="31"/>
  <c r="M9" i="31"/>
  <c r="I9" i="31"/>
  <c r="M8" i="31"/>
  <c r="I8" i="31"/>
  <c r="Q28" i="31" s="1"/>
  <c r="A3" i="31"/>
  <c r="B152" i="30"/>
  <c r="A152" i="30"/>
  <c r="B151" i="30"/>
  <c r="A151" i="30"/>
  <c r="B150" i="30"/>
  <c r="A150" i="30"/>
  <c r="B149" i="30"/>
  <c r="A149" i="30"/>
  <c r="B148" i="30"/>
  <c r="A148" i="30"/>
  <c r="B147" i="30"/>
  <c r="A147" i="30"/>
  <c r="B146" i="30"/>
  <c r="A146" i="30"/>
  <c r="B145" i="30"/>
  <c r="A145" i="30"/>
  <c r="B144" i="30"/>
  <c r="A144" i="30"/>
  <c r="B143" i="30"/>
  <c r="A143" i="30"/>
  <c r="B142" i="30"/>
  <c r="A142" i="30"/>
  <c r="B141" i="30"/>
  <c r="A141" i="30"/>
  <c r="B140" i="30"/>
  <c r="A140" i="30"/>
  <c r="B139" i="30"/>
  <c r="A139" i="30"/>
  <c r="B138" i="30"/>
  <c r="A138" i="30"/>
  <c r="B137" i="30"/>
  <c r="A137" i="30"/>
  <c r="B136" i="30"/>
  <c r="A136" i="30"/>
  <c r="B135" i="30"/>
  <c r="A135" i="30"/>
  <c r="B134" i="30"/>
  <c r="A134" i="30"/>
  <c r="B133" i="30"/>
  <c r="A133" i="30"/>
  <c r="B132" i="30"/>
  <c r="A132" i="30"/>
  <c r="B131" i="30"/>
  <c r="A131" i="30"/>
  <c r="B130" i="30"/>
  <c r="A130" i="30"/>
  <c r="B129" i="30"/>
  <c r="A129" i="30"/>
  <c r="B128" i="30"/>
  <c r="A128" i="30"/>
  <c r="AJ127" i="30"/>
  <c r="AK127" i="30" s="1"/>
  <c r="AL127" i="30" s="1"/>
  <c r="AM127" i="30" s="1"/>
  <c r="AN127" i="30" s="1"/>
  <c r="AO127" i="30" s="1"/>
  <c r="AP127" i="30" s="1"/>
  <c r="AQ127" i="30" s="1"/>
  <c r="AR127" i="30" s="1"/>
  <c r="AS127" i="30" s="1"/>
  <c r="AT127" i="30" s="1"/>
  <c r="AU127" i="30" s="1"/>
  <c r="AV127" i="30" s="1"/>
  <c r="AW127" i="30" s="1"/>
  <c r="AX127" i="30" s="1"/>
  <c r="AY127" i="30" s="1"/>
  <c r="AZ127" i="30" s="1"/>
  <c r="BA127" i="30" s="1"/>
  <c r="BB127" i="30" s="1"/>
  <c r="BC127" i="30" s="1"/>
  <c r="BD127" i="30" s="1"/>
  <c r="BE127" i="30" s="1"/>
  <c r="AI127" i="30"/>
  <c r="AH127" i="30"/>
  <c r="AF127" i="30"/>
  <c r="AE127" i="30"/>
  <c r="X127" i="30"/>
  <c r="W127" i="30"/>
  <c r="V127" i="30"/>
  <c r="U127" i="30"/>
  <c r="T127" i="30"/>
  <c r="S127" i="30"/>
  <c r="R127" i="30"/>
  <c r="AG127" i="30" s="1"/>
  <c r="Q127" i="30"/>
  <c r="P127" i="30"/>
  <c r="K127" i="30"/>
  <c r="Z127" i="30" s="1"/>
  <c r="J127" i="30"/>
  <c r="Y127" i="30" s="1"/>
  <c r="B127" i="30"/>
  <c r="A127" i="30"/>
  <c r="U126" i="30"/>
  <c r="T126" i="30"/>
  <c r="S126" i="30"/>
  <c r="R126" i="30"/>
  <c r="Q126" i="30"/>
  <c r="P126" i="30"/>
  <c r="B126" i="30"/>
  <c r="A126" i="30"/>
  <c r="U125" i="30"/>
  <c r="T125" i="30"/>
  <c r="S125" i="30"/>
  <c r="R125" i="30"/>
  <c r="Q125" i="30"/>
  <c r="P125" i="30"/>
  <c r="B125" i="30"/>
  <c r="A125" i="30"/>
  <c r="U124" i="30"/>
  <c r="T124" i="30"/>
  <c r="S124" i="30"/>
  <c r="R124" i="30"/>
  <c r="Q124" i="30"/>
  <c r="P124" i="30"/>
  <c r="B124" i="30"/>
  <c r="A124" i="30"/>
  <c r="U123" i="30"/>
  <c r="T123" i="30"/>
  <c r="S123" i="30"/>
  <c r="R123" i="30"/>
  <c r="Q123" i="30"/>
  <c r="P123" i="30"/>
  <c r="B123" i="30"/>
  <c r="A123" i="30"/>
  <c r="U122" i="30"/>
  <c r="T122" i="30"/>
  <c r="S122" i="30"/>
  <c r="R122" i="30"/>
  <c r="Q122" i="30"/>
  <c r="P122" i="30"/>
  <c r="B122" i="30"/>
  <c r="A122" i="30"/>
  <c r="U121" i="30"/>
  <c r="T121" i="30"/>
  <c r="S121" i="30"/>
  <c r="R121" i="30"/>
  <c r="Q121" i="30"/>
  <c r="P121" i="30"/>
  <c r="B121" i="30"/>
  <c r="A121" i="30"/>
  <c r="U120" i="30"/>
  <c r="T120" i="30"/>
  <c r="S120" i="30"/>
  <c r="R120" i="30"/>
  <c r="Q120" i="30"/>
  <c r="P120" i="30"/>
  <c r="B120" i="30"/>
  <c r="A120" i="30"/>
  <c r="U119" i="30"/>
  <c r="T119" i="30"/>
  <c r="S119" i="30"/>
  <c r="R119" i="30"/>
  <c r="Q119" i="30"/>
  <c r="P119" i="30"/>
  <c r="H119" i="30"/>
  <c r="B119" i="30"/>
  <c r="A119" i="30"/>
  <c r="U118" i="30"/>
  <c r="T118" i="30"/>
  <c r="S118" i="30"/>
  <c r="R118" i="30"/>
  <c r="Q118" i="30"/>
  <c r="P118" i="30"/>
  <c r="H118" i="30"/>
  <c r="B118" i="30"/>
  <c r="A118" i="30"/>
  <c r="U117" i="30"/>
  <c r="T117" i="30"/>
  <c r="S117" i="30"/>
  <c r="R117" i="30"/>
  <c r="Q117" i="30"/>
  <c r="P117" i="30"/>
  <c r="B117" i="30"/>
  <c r="A117" i="30"/>
  <c r="U116" i="30"/>
  <c r="T116" i="30"/>
  <c r="S116" i="30"/>
  <c r="R116" i="30"/>
  <c r="Q116" i="30"/>
  <c r="P116" i="30"/>
  <c r="H116" i="30"/>
  <c r="B116" i="30"/>
  <c r="A116" i="30"/>
  <c r="U115" i="30"/>
  <c r="T115" i="30"/>
  <c r="S115" i="30"/>
  <c r="R115" i="30"/>
  <c r="Q115" i="30"/>
  <c r="P115" i="30"/>
  <c r="H115" i="30"/>
  <c r="H117" i="30" s="1"/>
  <c r="B115" i="30"/>
  <c r="A115" i="30"/>
  <c r="U114" i="30"/>
  <c r="T114" i="30"/>
  <c r="S114" i="30"/>
  <c r="R114" i="30"/>
  <c r="Q114" i="30"/>
  <c r="P114" i="30"/>
  <c r="H114" i="30"/>
  <c r="B114" i="30"/>
  <c r="A114" i="30"/>
  <c r="U113" i="30"/>
  <c r="T113" i="30"/>
  <c r="S113" i="30"/>
  <c r="R113" i="30"/>
  <c r="Q113" i="30"/>
  <c r="P113" i="30"/>
  <c r="H113" i="30"/>
  <c r="B113" i="30"/>
  <c r="A113" i="30"/>
  <c r="U112" i="30"/>
  <c r="T112" i="30"/>
  <c r="S112" i="30"/>
  <c r="R112" i="30"/>
  <c r="Q112" i="30"/>
  <c r="P112" i="30"/>
  <c r="H112" i="30"/>
  <c r="B112" i="30"/>
  <c r="A112" i="30"/>
  <c r="U111" i="30"/>
  <c r="T111" i="30"/>
  <c r="S111" i="30"/>
  <c r="R111" i="30"/>
  <c r="Q111" i="30"/>
  <c r="P111" i="30"/>
  <c r="H111" i="30"/>
  <c r="B111" i="30"/>
  <c r="A111" i="30"/>
  <c r="U110" i="30"/>
  <c r="T110" i="30"/>
  <c r="S110" i="30"/>
  <c r="R110" i="30"/>
  <c r="Q110" i="30"/>
  <c r="P110" i="30"/>
  <c r="B110" i="30"/>
  <c r="A110" i="30"/>
  <c r="U109" i="30"/>
  <c r="T109" i="30"/>
  <c r="S109" i="30"/>
  <c r="R109" i="30"/>
  <c r="Q109" i="30"/>
  <c r="P109" i="30"/>
  <c r="B109" i="30"/>
  <c r="A109" i="30"/>
  <c r="U108" i="30"/>
  <c r="T108" i="30"/>
  <c r="S108" i="30"/>
  <c r="R108" i="30"/>
  <c r="Q108" i="30"/>
  <c r="P108" i="30"/>
  <c r="B108" i="30"/>
  <c r="A108" i="30"/>
  <c r="U107" i="30"/>
  <c r="T107" i="30"/>
  <c r="S107" i="30"/>
  <c r="R107" i="30"/>
  <c r="Q107" i="30"/>
  <c r="P107" i="30"/>
  <c r="B107" i="30"/>
  <c r="A107" i="30"/>
  <c r="U106" i="30"/>
  <c r="T106" i="30"/>
  <c r="S106" i="30"/>
  <c r="R106" i="30"/>
  <c r="Q106" i="30"/>
  <c r="P106" i="30"/>
  <c r="H106" i="30"/>
  <c r="B106" i="30"/>
  <c r="A106" i="30"/>
  <c r="U105" i="30"/>
  <c r="T105" i="30"/>
  <c r="S105" i="30"/>
  <c r="R105" i="30"/>
  <c r="Q105" i="30"/>
  <c r="P105" i="30"/>
  <c r="B105" i="30"/>
  <c r="A105" i="30"/>
  <c r="U104" i="30"/>
  <c r="G125" i="30" s="1"/>
  <c r="H125" i="30" s="1"/>
  <c r="T104" i="30"/>
  <c r="S104" i="30"/>
  <c r="R104" i="30"/>
  <c r="Q104" i="30"/>
  <c r="G123" i="30" s="1"/>
  <c r="H123" i="30" s="1"/>
  <c r="P104" i="30"/>
  <c r="B104" i="30"/>
  <c r="A104" i="30"/>
  <c r="A153" i="30" s="1"/>
  <c r="H121" i="30" s="1"/>
  <c r="Q33" i="30" s="1"/>
  <c r="U103" i="30"/>
  <c r="T103" i="30"/>
  <c r="S103" i="30"/>
  <c r="R103" i="30"/>
  <c r="Q103" i="30"/>
  <c r="P103" i="30"/>
  <c r="B103" i="30"/>
  <c r="B153" i="30" s="1"/>
  <c r="H120" i="30" s="1"/>
  <c r="Q32" i="30" s="1"/>
  <c r="A103" i="30"/>
  <c r="P96" i="30"/>
  <c r="L96" i="30"/>
  <c r="H96" i="30"/>
  <c r="H103" i="30" s="1"/>
  <c r="C66" i="30"/>
  <c r="E62" i="30"/>
  <c r="D62" i="30"/>
  <c r="Q28" i="30"/>
  <c r="AC25" i="30"/>
  <c r="AB25" i="30"/>
  <c r="AA25" i="30"/>
  <c r="Z25" i="30"/>
  <c r="Y25" i="30"/>
  <c r="X25" i="30"/>
  <c r="W25" i="30"/>
  <c r="V25" i="30"/>
  <c r="U25" i="30"/>
  <c r="T25" i="30"/>
  <c r="AC24" i="30"/>
  <c r="AB24" i="30"/>
  <c r="AA24" i="30"/>
  <c r="Z24" i="30"/>
  <c r="Y24" i="30"/>
  <c r="X24" i="30"/>
  <c r="W24" i="30"/>
  <c r="V24" i="30"/>
  <c r="U24" i="30"/>
  <c r="T24" i="30"/>
  <c r="AC23" i="30"/>
  <c r="Z23" i="30"/>
  <c r="U23" i="30"/>
  <c r="AC21" i="30"/>
  <c r="AB21" i="30"/>
  <c r="AA21" i="30"/>
  <c r="Z21" i="30"/>
  <c r="Y21" i="30"/>
  <c r="X21" i="30"/>
  <c r="W21" i="30"/>
  <c r="V21" i="30"/>
  <c r="U21" i="30"/>
  <c r="T21" i="30"/>
  <c r="Q21" i="30"/>
  <c r="AC20" i="30"/>
  <c r="AB20" i="30"/>
  <c r="AA20" i="30"/>
  <c r="Z20" i="30"/>
  <c r="Y20" i="30"/>
  <c r="X20" i="30"/>
  <c r="W20" i="30"/>
  <c r="V20" i="30"/>
  <c r="U20" i="30"/>
  <c r="T20" i="30"/>
  <c r="AC19" i="30"/>
  <c r="AB19" i="30"/>
  <c r="Y19" i="30"/>
  <c r="U19" i="30"/>
  <c r="T19" i="30"/>
  <c r="L19" i="30"/>
  <c r="K19" i="30"/>
  <c r="J19" i="30"/>
  <c r="I19" i="30"/>
  <c r="Z19" i="30" s="1"/>
  <c r="H19" i="30"/>
  <c r="G19" i="30"/>
  <c r="F19" i="30"/>
  <c r="E19" i="30"/>
  <c r="V19" i="30" s="1"/>
  <c r="D19" i="30"/>
  <c r="C19" i="30"/>
  <c r="M10" i="30"/>
  <c r="M9" i="30"/>
  <c r="I9" i="30"/>
  <c r="Q29" i="30" s="1"/>
  <c r="M8" i="30"/>
  <c r="I8" i="30"/>
  <c r="A3" i="30"/>
  <c r="L19" i="29"/>
  <c r="K19" i="29"/>
  <c r="J19" i="29"/>
  <c r="I19" i="29"/>
  <c r="H19" i="29"/>
  <c r="G19" i="29"/>
  <c r="F19" i="29"/>
  <c r="E19" i="29"/>
  <c r="Q21" i="29" s="1"/>
  <c r="D19" i="29"/>
  <c r="C19" i="29"/>
  <c r="L19" i="27"/>
  <c r="K19" i="27"/>
  <c r="J19" i="27"/>
  <c r="I19" i="27"/>
  <c r="H19" i="27"/>
  <c r="G19" i="27"/>
  <c r="F19" i="27"/>
  <c r="E19" i="27"/>
  <c r="D19" i="27"/>
  <c r="C19" i="27"/>
  <c r="B152" i="29"/>
  <c r="A152" i="29"/>
  <c r="B151" i="29"/>
  <c r="A151" i="29"/>
  <c r="B150" i="29"/>
  <c r="A150" i="29"/>
  <c r="B149" i="29"/>
  <c r="A149" i="29"/>
  <c r="B148" i="29"/>
  <c r="A148" i="29"/>
  <c r="B147" i="29"/>
  <c r="A147" i="29"/>
  <c r="B146" i="29"/>
  <c r="A146" i="29"/>
  <c r="B145" i="29"/>
  <c r="A145" i="29"/>
  <c r="B144" i="29"/>
  <c r="A144" i="29"/>
  <c r="B143" i="29"/>
  <c r="A143" i="29"/>
  <c r="B142" i="29"/>
  <c r="A142" i="29"/>
  <c r="B141" i="29"/>
  <c r="A141" i="29"/>
  <c r="B140" i="29"/>
  <c r="A140" i="29"/>
  <c r="B139" i="29"/>
  <c r="A139" i="29"/>
  <c r="B138" i="29"/>
  <c r="A138" i="29"/>
  <c r="B137" i="29"/>
  <c r="A137" i="29"/>
  <c r="B136" i="29"/>
  <c r="A136" i="29"/>
  <c r="B135" i="29"/>
  <c r="A135" i="29"/>
  <c r="B134" i="29"/>
  <c r="A134" i="29"/>
  <c r="B133" i="29"/>
  <c r="A133" i="29"/>
  <c r="B132" i="29"/>
  <c r="A132" i="29"/>
  <c r="B131" i="29"/>
  <c r="A131" i="29"/>
  <c r="B130" i="29"/>
  <c r="A130" i="29"/>
  <c r="B129" i="29"/>
  <c r="A129" i="29"/>
  <c r="B128" i="29"/>
  <c r="A128" i="29"/>
  <c r="AH127" i="29"/>
  <c r="AI127" i="29" s="1"/>
  <c r="AJ127" i="29" s="1"/>
  <c r="AK127" i="29" s="1"/>
  <c r="AL127" i="29" s="1"/>
  <c r="AM127" i="29" s="1"/>
  <c r="AN127" i="29" s="1"/>
  <c r="AO127" i="29" s="1"/>
  <c r="AP127" i="29" s="1"/>
  <c r="AQ127" i="29" s="1"/>
  <c r="AR127" i="29" s="1"/>
  <c r="AS127" i="29" s="1"/>
  <c r="AT127" i="29" s="1"/>
  <c r="AU127" i="29" s="1"/>
  <c r="AV127" i="29" s="1"/>
  <c r="AW127" i="29" s="1"/>
  <c r="AX127" i="29" s="1"/>
  <c r="AY127" i="29" s="1"/>
  <c r="AZ127" i="29" s="1"/>
  <c r="BA127" i="29" s="1"/>
  <c r="BB127" i="29" s="1"/>
  <c r="BC127" i="29" s="1"/>
  <c r="BD127" i="29" s="1"/>
  <c r="BE127" i="29" s="1"/>
  <c r="X127" i="29"/>
  <c r="W127" i="29"/>
  <c r="V127" i="29"/>
  <c r="U127" i="29"/>
  <c r="T127" i="29"/>
  <c r="S127" i="29"/>
  <c r="R127" i="29"/>
  <c r="AG127" i="29" s="1"/>
  <c r="Q127" i="29"/>
  <c r="AF127" i="29" s="1"/>
  <c r="P127" i="29"/>
  <c r="AE127" i="29" s="1"/>
  <c r="J127" i="29"/>
  <c r="B127" i="29"/>
  <c r="A127" i="29"/>
  <c r="U126" i="29"/>
  <c r="T126" i="29"/>
  <c r="S126" i="29"/>
  <c r="R126" i="29"/>
  <c r="Q126" i="29"/>
  <c r="P126" i="29"/>
  <c r="B126" i="29"/>
  <c r="A126" i="29"/>
  <c r="U125" i="29"/>
  <c r="T125" i="29"/>
  <c r="S125" i="29"/>
  <c r="R125" i="29"/>
  <c r="Q125" i="29"/>
  <c r="P125" i="29"/>
  <c r="B125" i="29"/>
  <c r="A125" i="29"/>
  <c r="U124" i="29"/>
  <c r="T124" i="29"/>
  <c r="S124" i="29"/>
  <c r="R124" i="29"/>
  <c r="Q124" i="29"/>
  <c r="P124" i="29"/>
  <c r="B124" i="29"/>
  <c r="A124" i="29"/>
  <c r="U123" i="29"/>
  <c r="T123" i="29"/>
  <c r="S123" i="29"/>
  <c r="R123" i="29"/>
  <c r="Q123" i="29"/>
  <c r="P123" i="29"/>
  <c r="B123" i="29"/>
  <c r="A123" i="29"/>
  <c r="U122" i="29"/>
  <c r="T122" i="29"/>
  <c r="S122" i="29"/>
  <c r="R122" i="29"/>
  <c r="Q122" i="29"/>
  <c r="P122" i="29"/>
  <c r="B122" i="29"/>
  <c r="A122" i="29"/>
  <c r="U121" i="29"/>
  <c r="T121" i="29"/>
  <c r="S121" i="29"/>
  <c r="R121" i="29"/>
  <c r="Q121" i="29"/>
  <c r="P121" i="29"/>
  <c r="B121" i="29"/>
  <c r="A121" i="29"/>
  <c r="U120" i="29"/>
  <c r="T120" i="29"/>
  <c r="S120" i="29"/>
  <c r="R120" i="29"/>
  <c r="Q120" i="29"/>
  <c r="P120" i="29"/>
  <c r="B120" i="29"/>
  <c r="A120" i="29"/>
  <c r="U119" i="29"/>
  <c r="T119" i="29"/>
  <c r="S119" i="29"/>
  <c r="R119" i="29"/>
  <c r="Q119" i="29"/>
  <c r="P119" i="29"/>
  <c r="H119" i="29"/>
  <c r="B119" i="29"/>
  <c r="A119" i="29"/>
  <c r="U118" i="29"/>
  <c r="T118" i="29"/>
  <c r="S118" i="29"/>
  <c r="R118" i="29"/>
  <c r="Q118" i="29"/>
  <c r="P118" i="29"/>
  <c r="H118" i="29"/>
  <c r="B118" i="29"/>
  <c r="A118" i="29"/>
  <c r="U117" i="29"/>
  <c r="T117" i="29"/>
  <c r="S117" i="29"/>
  <c r="R117" i="29"/>
  <c r="Q117" i="29"/>
  <c r="P117" i="29"/>
  <c r="B117" i="29"/>
  <c r="A117" i="29"/>
  <c r="U116" i="29"/>
  <c r="T116" i="29"/>
  <c r="S116" i="29"/>
  <c r="R116" i="29"/>
  <c r="Q116" i="29"/>
  <c r="P116" i="29"/>
  <c r="H116" i="29"/>
  <c r="B116" i="29"/>
  <c r="A116" i="29"/>
  <c r="U115" i="29"/>
  <c r="T115" i="29"/>
  <c r="S115" i="29"/>
  <c r="R115" i="29"/>
  <c r="Q115" i="29"/>
  <c r="P115" i="29"/>
  <c r="H115" i="29"/>
  <c r="B115" i="29"/>
  <c r="A115" i="29"/>
  <c r="U114" i="29"/>
  <c r="T114" i="29"/>
  <c r="S114" i="29"/>
  <c r="R114" i="29"/>
  <c r="Q114" i="29"/>
  <c r="P114" i="29"/>
  <c r="H114" i="29"/>
  <c r="B114" i="29"/>
  <c r="A114" i="29"/>
  <c r="U113" i="29"/>
  <c r="T113" i="29"/>
  <c r="S113" i="29"/>
  <c r="R113" i="29"/>
  <c r="Q113" i="29"/>
  <c r="P113" i="29"/>
  <c r="H113" i="29"/>
  <c r="B113" i="29"/>
  <c r="A113" i="29"/>
  <c r="U112" i="29"/>
  <c r="S112" i="29"/>
  <c r="Q112" i="29"/>
  <c r="H112" i="29"/>
  <c r="U111" i="29"/>
  <c r="S111" i="29"/>
  <c r="Q111" i="29"/>
  <c r="H111" i="29"/>
  <c r="U110" i="29"/>
  <c r="S110" i="29"/>
  <c r="Q110" i="29"/>
  <c r="U109" i="29"/>
  <c r="S109" i="29"/>
  <c r="Q109" i="29"/>
  <c r="U108" i="29"/>
  <c r="S108" i="29"/>
  <c r="Q108" i="29"/>
  <c r="U107" i="29"/>
  <c r="S107" i="29"/>
  <c r="Q107" i="29"/>
  <c r="U106" i="29"/>
  <c r="S106" i="29"/>
  <c r="Q106" i="29"/>
  <c r="H106" i="29"/>
  <c r="U105" i="29"/>
  <c r="S105" i="29"/>
  <c r="Q105" i="29"/>
  <c r="U104" i="29"/>
  <c r="S104" i="29"/>
  <c r="Q104" i="29"/>
  <c r="U103" i="29"/>
  <c r="S103" i="29"/>
  <c r="Q103" i="29"/>
  <c r="B103" i="29"/>
  <c r="P96" i="29"/>
  <c r="L96" i="29"/>
  <c r="H96" i="29"/>
  <c r="H104" i="29" s="1"/>
  <c r="B111" i="29" s="1"/>
  <c r="AC25" i="29"/>
  <c r="AB25" i="29"/>
  <c r="AA25" i="29"/>
  <c r="Z25" i="29"/>
  <c r="Y25" i="29"/>
  <c r="X25" i="29"/>
  <c r="W25" i="29"/>
  <c r="V25" i="29"/>
  <c r="U25" i="29"/>
  <c r="T25" i="29"/>
  <c r="AC24" i="29"/>
  <c r="AB24" i="29"/>
  <c r="AA24" i="29"/>
  <c r="Z24" i="29"/>
  <c r="Y24" i="29"/>
  <c r="X24" i="29"/>
  <c r="W24" i="29"/>
  <c r="V24" i="29"/>
  <c r="U24" i="29"/>
  <c r="T24" i="29"/>
  <c r="AC21" i="29"/>
  <c r="AB21" i="29"/>
  <c r="AA21" i="29"/>
  <c r="Z21" i="29"/>
  <c r="Y21" i="29"/>
  <c r="X21" i="29"/>
  <c r="W21" i="29"/>
  <c r="V21" i="29"/>
  <c r="U21" i="29"/>
  <c r="T21" i="29"/>
  <c r="AC20" i="29"/>
  <c r="AB20" i="29"/>
  <c r="AA20" i="29"/>
  <c r="Z20" i="29"/>
  <c r="Y20" i="29"/>
  <c r="X20" i="29"/>
  <c r="W20" i="29"/>
  <c r="V20" i="29"/>
  <c r="U20" i="29"/>
  <c r="T20" i="29"/>
  <c r="M10" i="29"/>
  <c r="M9" i="29"/>
  <c r="I9" i="29"/>
  <c r="AB23" i="29" s="1"/>
  <c r="M8" i="29"/>
  <c r="I8" i="29"/>
  <c r="Q28" i="29" s="1"/>
  <c r="A3" i="29"/>
  <c r="M10" i="27"/>
  <c r="M9" i="27"/>
  <c r="M8" i="27"/>
  <c r="V127" i="27"/>
  <c r="W127" i="27"/>
  <c r="X127" i="27"/>
  <c r="G139" i="36" l="1"/>
  <c r="H139" i="36" s="1"/>
  <c r="R101" i="36"/>
  <c r="P100" i="36"/>
  <c r="E130" i="36"/>
  <c r="E129" i="36"/>
  <c r="P101" i="36"/>
  <c r="T101" i="36"/>
  <c r="R100" i="36"/>
  <c r="T100" i="36"/>
  <c r="D62" i="36"/>
  <c r="Z127" i="36"/>
  <c r="L127" i="36"/>
  <c r="Q25" i="36"/>
  <c r="Y19" i="37"/>
  <c r="Y23" i="37"/>
  <c r="V19" i="36"/>
  <c r="Q20" i="36"/>
  <c r="Q23" i="36"/>
  <c r="F62" i="36"/>
  <c r="H102" i="36"/>
  <c r="H104" i="36"/>
  <c r="J110" i="36" s="1"/>
  <c r="Q18" i="36"/>
  <c r="Q19" i="36"/>
  <c r="T23" i="36"/>
  <c r="X23" i="36"/>
  <c r="AB23" i="36"/>
  <c r="C62" i="36"/>
  <c r="E64" i="36"/>
  <c r="A153" i="36"/>
  <c r="H121" i="36" s="1"/>
  <c r="Q33" i="36" s="1"/>
  <c r="L127" i="37"/>
  <c r="Z127" i="37"/>
  <c r="Q21" i="36"/>
  <c r="Q26" i="36" s="1"/>
  <c r="Q24" i="36"/>
  <c r="U19" i="37"/>
  <c r="U23" i="37"/>
  <c r="Q20" i="37"/>
  <c r="AC19" i="37"/>
  <c r="AC23" i="37"/>
  <c r="T19" i="36"/>
  <c r="U18" i="36" s="1"/>
  <c r="B153" i="36"/>
  <c r="H120" i="36" s="1"/>
  <c r="Q32" i="36" s="1"/>
  <c r="G124" i="37"/>
  <c r="H124" i="37" s="1"/>
  <c r="H126" i="37" s="1"/>
  <c r="H122" i="37" s="1"/>
  <c r="H148" i="37"/>
  <c r="H149" i="37"/>
  <c r="H143" i="37"/>
  <c r="H140" i="37"/>
  <c r="G139" i="37"/>
  <c r="H139" i="37" s="1"/>
  <c r="H138" i="37"/>
  <c r="F138" i="37"/>
  <c r="G138" i="37" s="1"/>
  <c r="F136" i="37"/>
  <c r="G136" i="37" s="1"/>
  <c r="T101" i="37"/>
  <c r="R100" i="37"/>
  <c r="H142" i="37"/>
  <c r="F132" i="37"/>
  <c r="G132" i="37" s="1"/>
  <c r="F131" i="37"/>
  <c r="G131" i="37" s="1"/>
  <c r="F130" i="37"/>
  <c r="G130" i="37" s="1"/>
  <c r="R101" i="37"/>
  <c r="P100" i="37"/>
  <c r="F137" i="37"/>
  <c r="G137" i="37" s="1"/>
  <c r="F133" i="37"/>
  <c r="G133" i="37" s="1"/>
  <c r="E132" i="37"/>
  <c r="F149" i="37" s="1"/>
  <c r="G149" i="37" s="1"/>
  <c r="E130" i="37"/>
  <c r="E129" i="37"/>
  <c r="P101" i="37"/>
  <c r="H109" i="37"/>
  <c r="H107" i="37"/>
  <c r="E131" i="37"/>
  <c r="J110" i="37"/>
  <c r="H129" i="37"/>
  <c r="Q28" i="37"/>
  <c r="Q18" i="37" s="1"/>
  <c r="AB19" i="37"/>
  <c r="X19" i="37"/>
  <c r="T19" i="37"/>
  <c r="U18" i="37" s="1"/>
  <c r="W19" i="37"/>
  <c r="AA19" i="37"/>
  <c r="Z19" i="37"/>
  <c r="I108" i="37"/>
  <c r="H108" i="37" s="1"/>
  <c r="H132" i="37"/>
  <c r="Q24" i="37"/>
  <c r="E62" i="37"/>
  <c r="I110" i="37"/>
  <c r="H110" i="37" s="1"/>
  <c r="H131" i="37"/>
  <c r="H136" i="37"/>
  <c r="Q19" i="37"/>
  <c r="T23" i="37"/>
  <c r="A153" i="37"/>
  <c r="H121" i="37" s="1"/>
  <c r="Q33" i="37" s="1"/>
  <c r="J108" i="37"/>
  <c r="Q22" i="37"/>
  <c r="Q25" i="37" s="1"/>
  <c r="B153" i="37"/>
  <c r="H120" i="37" s="1"/>
  <c r="Q32" i="37" s="1"/>
  <c r="Q21" i="37"/>
  <c r="D62" i="32"/>
  <c r="L127" i="32"/>
  <c r="Z127" i="32"/>
  <c r="F148" i="32"/>
  <c r="G148" i="32" s="1"/>
  <c r="E132" i="32"/>
  <c r="F149" i="32" s="1"/>
  <c r="G149" i="32" s="1"/>
  <c r="R101" i="32"/>
  <c r="P100" i="32"/>
  <c r="G139" i="32"/>
  <c r="H139" i="32" s="1"/>
  <c r="T101" i="32"/>
  <c r="R100" i="32"/>
  <c r="E129" i="32"/>
  <c r="P101" i="32"/>
  <c r="E130" i="32"/>
  <c r="T100" i="32"/>
  <c r="J110" i="32"/>
  <c r="E63" i="32"/>
  <c r="V19" i="32"/>
  <c r="Q20" i="32"/>
  <c r="Q23" i="32"/>
  <c r="Q25" i="32" s="1"/>
  <c r="F62" i="32"/>
  <c r="H102" i="32"/>
  <c r="H104" i="32"/>
  <c r="Q18" i="32"/>
  <c r="Q19" i="32"/>
  <c r="T23" i="32"/>
  <c r="X23" i="32"/>
  <c r="AB23" i="32"/>
  <c r="C62" i="32"/>
  <c r="E64" i="32"/>
  <c r="A153" i="32"/>
  <c r="H121" i="32" s="1"/>
  <c r="Q33" i="32" s="1"/>
  <c r="J108" i="32"/>
  <c r="Q21" i="32"/>
  <c r="Q26" i="32" s="1"/>
  <c r="Q24" i="32"/>
  <c r="Q22" i="33"/>
  <c r="T19" i="33"/>
  <c r="T23" i="33"/>
  <c r="Q19" i="33"/>
  <c r="Q24" i="33"/>
  <c r="Q20" i="33"/>
  <c r="Q23" i="33"/>
  <c r="Q21" i="33"/>
  <c r="Q27" i="33" s="1"/>
  <c r="X19" i="33"/>
  <c r="X23" i="33"/>
  <c r="AB19" i="33"/>
  <c r="AB23" i="33"/>
  <c r="T19" i="32"/>
  <c r="U18" i="32" s="1"/>
  <c r="B153" i="32"/>
  <c r="H120" i="32" s="1"/>
  <c r="Q32" i="32" s="1"/>
  <c r="C66" i="33"/>
  <c r="F62" i="33" s="1"/>
  <c r="R101" i="33"/>
  <c r="P100" i="33"/>
  <c r="E130" i="33"/>
  <c r="E129" i="33"/>
  <c r="P101" i="33"/>
  <c r="T100" i="33"/>
  <c r="T101" i="33"/>
  <c r="G124" i="33"/>
  <c r="H124" i="33" s="1"/>
  <c r="AA127" i="33"/>
  <c r="M127" i="33"/>
  <c r="Z19" i="33"/>
  <c r="D62" i="33"/>
  <c r="Q18" i="33"/>
  <c r="H104" i="33"/>
  <c r="E132" i="33" s="1"/>
  <c r="H102" i="33"/>
  <c r="G123" i="33"/>
  <c r="H123" i="33" s="1"/>
  <c r="G125" i="33"/>
  <c r="H125" i="33" s="1"/>
  <c r="Z127" i="34"/>
  <c r="L127" i="34"/>
  <c r="U19" i="33"/>
  <c r="AC19" i="33"/>
  <c r="U18" i="34"/>
  <c r="W19" i="33"/>
  <c r="AA19" i="33"/>
  <c r="B153" i="33"/>
  <c r="H120" i="33" s="1"/>
  <c r="Q32" i="33" s="1"/>
  <c r="Q26" i="34"/>
  <c r="H126" i="34"/>
  <c r="H122" i="34" s="1"/>
  <c r="W19" i="34"/>
  <c r="W23" i="34"/>
  <c r="AA19" i="34"/>
  <c r="AA23" i="34"/>
  <c r="B153" i="34"/>
  <c r="H120" i="34" s="1"/>
  <c r="Q32" i="34" s="1"/>
  <c r="A153" i="33"/>
  <c r="H121" i="33" s="1"/>
  <c r="Q33" i="33" s="1"/>
  <c r="Q29" i="34"/>
  <c r="Z23" i="34"/>
  <c r="V23" i="34"/>
  <c r="T23" i="34"/>
  <c r="X23" i="34"/>
  <c r="AB23" i="34"/>
  <c r="Q22" i="34"/>
  <c r="Q25" i="34" s="1"/>
  <c r="U23" i="34"/>
  <c r="Q21" i="34"/>
  <c r="Q24" i="34"/>
  <c r="H103" i="34"/>
  <c r="V19" i="34"/>
  <c r="Q20" i="34"/>
  <c r="Q23" i="34"/>
  <c r="H102" i="34"/>
  <c r="W19" i="35"/>
  <c r="W23" i="35"/>
  <c r="AA19" i="35"/>
  <c r="AA23" i="35"/>
  <c r="Q19" i="34"/>
  <c r="A153" i="34"/>
  <c r="H121" i="34" s="1"/>
  <c r="Q33" i="34" s="1"/>
  <c r="J108" i="34"/>
  <c r="E62" i="35"/>
  <c r="H126" i="35"/>
  <c r="H122" i="35" s="1"/>
  <c r="T23" i="35"/>
  <c r="Q19" i="35"/>
  <c r="X23" i="35"/>
  <c r="AB23" i="35"/>
  <c r="V19" i="35"/>
  <c r="U18" i="35" s="1"/>
  <c r="AB19" i="35"/>
  <c r="Q22" i="35"/>
  <c r="V23" i="35"/>
  <c r="H104" i="35"/>
  <c r="H102" i="35"/>
  <c r="H103" i="35"/>
  <c r="J110" i="35"/>
  <c r="M127" i="35"/>
  <c r="AA127" i="35"/>
  <c r="AC19" i="35"/>
  <c r="Q21" i="35"/>
  <c r="Q28" i="35"/>
  <c r="Y19" i="35"/>
  <c r="Q20" i="35"/>
  <c r="Q23" i="35"/>
  <c r="G124" i="35"/>
  <c r="H124" i="35" s="1"/>
  <c r="H117" i="35"/>
  <c r="A153" i="35"/>
  <c r="H121" i="35" s="1"/>
  <c r="Q33" i="35" s="1"/>
  <c r="J108" i="35"/>
  <c r="E130" i="30"/>
  <c r="E129" i="30"/>
  <c r="P101" i="30"/>
  <c r="T100" i="30"/>
  <c r="T101" i="30"/>
  <c r="G139" i="30"/>
  <c r="H139" i="30" s="1"/>
  <c r="R100" i="30"/>
  <c r="R101" i="30"/>
  <c r="P100" i="30"/>
  <c r="H126" i="30"/>
  <c r="H122" i="30" s="1"/>
  <c r="Q26" i="30"/>
  <c r="G124" i="30"/>
  <c r="H124" i="30" s="1"/>
  <c r="V19" i="31"/>
  <c r="U18" i="31" s="1"/>
  <c r="V23" i="31"/>
  <c r="Q22" i="31"/>
  <c r="Z19" i="31"/>
  <c r="Z23" i="31"/>
  <c r="G123" i="31"/>
  <c r="H123" i="31" s="1"/>
  <c r="J110" i="31"/>
  <c r="D64" i="30"/>
  <c r="X23" i="30"/>
  <c r="X19" i="30"/>
  <c r="V23" i="30"/>
  <c r="Q29" i="31"/>
  <c r="AB23" i="31"/>
  <c r="T23" i="31"/>
  <c r="Y23" i="31"/>
  <c r="W23" i="31"/>
  <c r="W19" i="31"/>
  <c r="AA23" i="31"/>
  <c r="U23" i="31"/>
  <c r="Y127" i="31"/>
  <c r="K127" i="31"/>
  <c r="W19" i="30"/>
  <c r="U18" i="30" s="1"/>
  <c r="W23" i="30"/>
  <c r="AA19" i="30"/>
  <c r="AA23" i="30"/>
  <c r="E64" i="30"/>
  <c r="F62" i="30"/>
  <c r="H104" i="30"/>
  <c r="E132" i="30" s="1"/>
  <c r="H102" i="30"/>
  <c r="C62" i="30"/>
  <c r="Q18" i="30"/>
  <c r="T23" i="30"/>
  <c r="Q19" i="30"/>
  <c r="Q23" i="30"/>
  <c r="Q20" i="30"/>
  <c r="D63" i="30" s="1"/>
  <c r="AB23" i="30"/>
  <c r="Q24" i="30"/>
  <c r="Q22" i="30"/>
  <c r="Q25" i="30" s="1"/>
  <c r="Y23" i="30"/>
  <c r="J110" i="30"/>
  <c r="L127" i="30"/>
  <c r="X23" i="31"/>
  <c r="Q23" i="31"/>
  <c r="A153" i="31"/>
  <c r="H121" i="31" s="1"/>
  <c r="Q33" i="31" s="1"/>
  <c r="G124" i="31"/>
  <c r="H124" i="31" s="1"/>
  <c r="G125" i="31"/>
  <c r="H125" i="31" s="1"/>
  <c r="J108" i="30"/>
  <c r="B153" i="31"/>
  <c r="H120" i="31" s="1"/>
  <c r="Q32" i="31" s="1"/>
  <c r="Q21" i="31"/>
  <c r="Q26" i="31" s="1"/>
  <c r="Q24" i="31"/>
  <c r="H103" i="31"/>
  <c r="Q20" i="31"/>
  <c r="H102" i="31"/>
  <c r="Q23" i="29"/>
  <c r="Q19" i="29"/>
  <c r="H102" i="29"/>
  <c r="I108" i="29" s="1"/>
  <c r="J108" i="29"/>
  <c r="B107" i="29"/>
  <c r="Q24" i="29"/>
  <c r="Q20" i="29"/>
  <c r="Q30" i="29" s="1"/>
  <c r="Q22" i="29"/>
  <c r="Q25" i="29" s="1"/>
  <c r="A111" i="29"/>
  <c r="A109" i="29"/>
  <c r="A107" i="29"/>
  <c r="A104" i="29"/>
  <c r="A108" i="29"/>
  <c r="A106" i="29"/>
  <c r="A103" i="29"/>
  <c r="A112" i="29"/>
  <c r="A110" i="29"/>
  <c r="A105" i="29"/>
  <c r="Y127" i="29"/>
  <c r="K127" i="29"/>
  <c r="V19" i="29"/>
  <c r="Z19" i="29"/>
  <c r="AB19" i="29"/>
  <c r="W23" i="29"/>
  <c r="Y23" i="29"/>
  <c r="AC23" i="29"/>
  <c r="Q29" i="29"/>
  <c r="Q26" i="29" s="1"/>
  <c r="J110" i="29"/>
  <c r="B112" i="29"/>
  <c r="B110" i="29"/>
  <c r="B108" i="29"/>
  <c r="B106" i="29"/>
  <c r="B105" i="29"/>
  <c r="T19" i="29"/>
  <c r="X19" i="29"/>
  <c r="U23" i="29"/>
  <c r="AA23" i="29"/>
  <c r="U19" i="29"/>
  <c r="W19" i="29"/>
  <c r="Y19" i="29"/>
  <c r="AA19" i="29"/>
  <c r="AC19" i="29"/>
  <c r="T23" i="29"/>
  <c r="V23" i="29"/>
  <c r="X23" i="29"/>
  <c r="Z23" i="29"/>
  <c r="H103" i="29"/>
  <c r="E131" i="29" s="1"/>
  <c r="B104" i="29"/>
  <c r="B109" i="29"/>
  <c r="H117" i="29"/>
  <c r="Q23" i="27"/>
  <c r="Q21" i="27"/>
  <c r="Q19" i="27"/>
  <c r="A3" i="27"/>
  <c r="B152" i="27"/>
  <c r="A152" i="27"/>
  <c r="B151" i="27"/>
  <c r="A151" i="27"/>
  <c r="B150" i="27"/>
  <c r="A150" i="27"/>
  <c r="B149" i="27"/>
  <c r="A149" i="27"/>
  <c r="B148" i="27"/>
  <c r="A148" i="27"/>
  <c r="B147" i="27"/>
  <c r="A147" i="27"/>
  <c r="B146" i="27"/>
  <c r="A146" i="27"/>
  <c r="B145" i="27"/>
  <c r="A145" i="27"/>
  <c r="B144" i="27"/>
  <c r="A144" i="27"/>
  <c r="B143" i="27"/>
  <c r="A143" i="27"/>
  <c r="B142" i="27"/>
  <c r="A142" i="27"/>
  <c r="B141" i="27"/>
  <c r="A141" i="27"/>
  <c r="B140" i="27"/>
  <c r="A140" i="27"/>
  <c r="B139" i="27"/>
  <c r="A139" i="27"/>
  <c r="B138" i="27"/>
  <c r="A138" i="27"/>
  <c r="B137" i="27"/>
  <c r="A137" i="27"/>
  <c r="B136" i="27"/>
  <c r="A136" i="27"/>
  <c r="B135" i="27"/>
  <c r="A135" i="27"/>
  <c r="B134" i="27"/>
  <c r="A134" i="27"/>
  <c r="B133" i="27"/>
  <c r="A133" i="27"/>
  <c r="B132" i="27"/>
  <c r="A132" i="27"/>
  <c r="B131" i="27"/>
  <c r="A131" i="27"/>
  <c r="B130" i="27"/>
  <c r="A130" i="27"/>
  <c r="B129" i="27"/>
  <c r="A129" i="27"/>
  <c r="B128" i="27"/>
  <c r="A128" i="27"/>
  <c r="AH127" i="27"/>
  <c r="AI127" i="27" s="1"/>
  <c r="AJ127" i="27" s="1"/>
  <c r="AK127" i="27" s="1"/>
  <c r="AL127" i="27" s="1"/>
  <c r="AM127" i="27" s="1"/>
  <c r="AN127" i="27" s="1"/>
  <c r="AO127" i="27" s="1"/>
  <c r="AP127" i="27" s="1"/>
  <c r="AQ127" i="27" s="1"/>
  <c r="AR127" i="27" s="1"/>
  <c r="AS127" i="27" s="1"/>
  <c r="AT127" i="27" s="1"/>
  <c r="AU127" i="27" s="1"/>
  <c r="AV127" i="27" s="1"/>
  <c r="AW127" i="27" s="1"/>
  <c r="AX127" i="27" s="1"/>
  <c r="AY127" i="27" s="1"/>
  <c r="AZ127" i="27" s="1"/>
  <c r="BA127" i="27" s="1"/>
  <c r="BB127" i="27" s="1"/>
  <c r="BC127" i="27" s="1"/>
  <c r="BD127" i="27" s="1"/>
  <c r="BE127" i="27" s="1"/>
  <c r="U127" i="27"/>
  <c r="T127" i="27"/>
  <c r="S127" i="27"/>
  <c r="R127" i="27"/>
  <c r="AG127" i="27" s="1"/>
  <c r="Q127" i="27"/>
  <c r="AF127" i="27" s="1"/>
  <c r="P127" i="27"/>
  <c r="AE127" i="27" s="1"/>
  <c r="J127" i="27"/>
  <c r="B127" i="27"/>
  <c r="A127" i="27"/>
  <c r="U126" i="27"/>
  <c r="T126" i="27"/>
  <c r="S126" i="27"/>
  <c r="R126" i="27"/>
  <c r="Q126" i="27"/>
  <c r="P126" i="27"/>
  <c r="B126" i="27"/>
  <c r="A126" i="27"/>
  <c r="U125" i="27"/>
  <c r="T125" i="27"/>
  <c r="S125" i="27"/>
  <c r="R125" i="27"/>
  <c r="Q125" i="27"/>
  <c r="P125" i="27"/>
  <c r="B125" i="27"/>
  <c r="A125" i="27"/>
  <c r="U124" i="27"/>
  <c r="T124" i="27"/>
  <c r="S124" i="27"/>
  <c r="R124" i="27"/>
  <c r="Q124" i="27"/>
  <c r="P124" i="27"/>
  <c r="B124" i="27"/>
  <c r="A124" i="27"/>
  <c r="U123" i="27"/>
  <c r="T123" i="27"/>
  <c r="S123" i="27"/>
  <c r="R123" i="27"/>
  <c r="Q123" i="27"/>
  <c r="P123" i="27"/>
  <c r="B123" i="27"/>
  <c r="A123" i="27"/>
  <c r="U122" i="27"/>
  <c r="T122" i="27"/>
  <c r="S122" i="27"/>
  <c r="R122" i="27"/>
  <c r="Q122" i="27"/>
  <c r="P122" i="27"/>
  <c r="B122" i="27"/>
  <c r="A122" i="27"/>
  <c r="U121" i="27"/>
  <c r="T121" i="27"/>
  <c r="S121" i="27"/>
  <c r="R121" i="27"/>
  <c r="Q121" i="27"/>
  <c r="P121" i="27"/>
  <c r="B121" i="27"/>
  <c r="A121" i="27"/>
  <c r="U120" i="27"/>
  <c r="T120" i="27"/>
  <c r="S120" i="27"/>
  <c r="R120" i="27"/>
  <c r="Q120" i="27"/>
  <c r="P120" i="27"/>
  <c r="B120" i="27"/>
  <c r="A120" i="27"/>
  <c r="U119" i="27"/>
  <c r="T119" i="27"/>
  <c r="S119" i="27"/>
  <c r="R119" i="27"/>
  <c r="Q119" i="27"/>
  <c r="P119" i="27"/>
  <c r="H119" i="27"/>
  <c r="B119" i="27"/>
  <c r="A119" i="27"/>
  <c r="U118" i="27"/>
  <c r="T118" i="27"/>
  <c r="S118" i="27"/>
  <c r="R118" i="27"/>
  <c r="Q118" i="27"/>
  <c r="P118" i="27"/>
  <c r="H118" i="27"/>
  <c r="B118" i="27"/>
  <c r="A118" i="27"/>
  <c r="U117" i="27"/>
  <c r="T117" i="27"/>
  <c r="S117" i="27"/>
  <c r="R117" i="27"/>
  <c r="Q117" i="27"/>
  <c r="P117" i="27"/>
  <c r="B117" i="27"/>
  <c r="A117" i="27"/>
  <c r="U116" i="27"/>
  <c r="T116" i="27"/>
  <c r="S116" i="27"/>
  <c r="R116" i="27"/>
  <c r="Q116" i="27"/>
  <c r="P116" i="27"/>
  <c r="H116" i="27"/>
  <c r="B116" i="27"/>
  <c r="A116" i="27"/>
  <c r="U115" i="27"/>
  <c r="T115" i="27"/>
  <c r="S115" i="27"/>
  <c r="R115" i="27"/>
  <c r="Q115" i="27"/>
  <c r="P115" i="27"/>
  <c r="H115" i="27"/>
  <c r="H117" i="27" s="1"/>
  <c r="B115" i="27"/>
  <c r="A115" i="27"/>
  <c r="U114" i="27"/>
  <c r="T114" i="27"/>
  <c r="S114" i="27"/>
  <c r="R114" i="27"/>
  <c r="Q114" i="27"/>
  <c r="P114" i="27"/>
  <c r="H114" i="27"/>
  <c r="B114" i="27"/>
  <c r="A114" i="27"/>
  <c r="U113" i="27"/>
  <c r="T113" i="27"/>
  <c r="S113" i="27"/>
  <c r="R113" i="27"/>
  <c r="Q113" i="27"/>
  <c r="P113" i="27"/>
  <c r="H113" i="27"/>
  <c r="B113" i="27"/>
  <c r="A113" i="27"/>
  <c r="U112" i="27"/>
  <c r="S112" i="27"/>
  <c r="Q112" i="27"/>
  <c r="H112" i="27"/>
  <c r="U111" i="27"/>
  <c r="S111" i="27"/>
  <c r="Q111" i="27"/>
  <c r="H111" i="27"/>
  <c r="U110" i="27"/>
  <c r="S110" i="27"/>
  <c r="Q110" i="27"/>
  <c r="U109" i="27"/>
  <c r="S109" i="27"/>
  <c r="Q109" i="27"/>
  <c r="U108" i="27"/>
  <c r="S108" i="27"/>
  <c r="Q108" i="27"/>
  <c r="U107" i="27"/>
  <c r="S107" i="27"/>
  <c r="Q107" i="27"/>
  <c r="U106" i="27"/>
  <c r="S106" i="27"/>
  <c r="Q106" i="27"/>
  <c r="H106" i="27"/>
  <c r="U105" i="27"/>
  <c r="S105" i="27"/>
  <c r="Q105" i="27"/>
  <c r="U104" i="27"/>
  <c r="S104" i="27"/>
  <c r="Q104" i="27"/>
  <c r="U103" i="27"/>
  <c r="S103" i="27"/>
  <c r="Q103" i="27"/>
  <c r="P96" i="27"/>
  <c r="L96" i="27"/>
  <c r="H96" i="27"/>
  <c r="H103" i="27" s="1"/>
  <c r="AC25" i="27"/>
  <c r="AB25" i="27"/>
  <c r="AA25" i="27"/>
  <c r="Z25" i="27"/>
  <c r="Y25" i="27"/>
  <c r="X25" i="27"/>
  <c r="W25" i="27"/>
  <c r="V25" i="27"/>
  <c r="U25" i="27"/>
  <c r="T25" i="27"/>
  <c r="AC24" i="27"/>
  <c r="AB24" i="27"/>
  <c r="AA24" i="27"/>
  <c r="Z24" i="27"/>
  <c r="Y24" i="27"/>
  <c r="X24" i="27"/>
  <c r="W24" i="27"/>
  <c r="V24" i="27"/>
  <c r="U24" i="27"/>
  <c r="T24" i="27"/>
  <c r="AC21" i="27"/>
  <c r="AB21" i="27"/>
  <c r="AA21" i="27"/>
  <c r="Z21" i="27"/>
  <c r="Y21" i="27"/>
  <c r="X21" i="27"/>
  <c r="W21" i="27"/>
  <c r="V21" i="27"/>
  <c r="U21" i="27"/>
  <c r="T21" i="27"/>
  <c r="AC20" i="27"/>
  <c r="AB20" i="27"/>
  <c r="AA20" i="27"/>
  <c r="Z20" i="27"/>
  <c r="Y20" i="27"/>
  <c r="X20" i="27"/>
  <c r="W20" i="27"/>
  <c r="V20" i="27"/>
  <c r="U20" i="27"/>
  <c r="T20" i="27"/>
  <c r="I9" i="27"/>
  <c r="Q29" i="27" s="1"/>
  <c r="I8" i="27"/>
  <c r="AB19" i="27" s="1"/>
  <c r="BC132" i="37" l="1"/>
  <c r="AY132" i="37"/>
  <c r="AU132" i="37"/>
  <c r="AQ132" i="37"/>
  <c r="AM132" i="37"/>
  <c r="AI132" i="37"/>
  <c r="AE132" i="37"/>
  <c r="AA132" i="37"/>
  <c r="W132" i="37"/>
  <c r="S132" i="37"/>
  <c r="O132" i="37"/>
  <c r="K132" i="37"/>
  <c r="BB132" i="37"/>
  <c r="AX132" i="37"/>
  <c r="AT132" i="37"/>
  <c r="AP132" i="37"/>
  <c r="AL132" i="37"/>
  <c r="AH132" i="37"/>
  <c r="AD132" i="37"/>
  <c r="Z132" i="37"/>
  <c r="V132" i="37"/>
  <c r="R132" i="37"/>
  <c r="N132" i="37"/>
  <c r="J132" i="37"/>
  <c r="BE132" i="37"/>
  <c r="BA132" i="37"/>
  <c r="AW132" i="37"/>
  <c r="AS132" i="37"/>
  <c r="AO132" i="37"/>
  <c r="AK132" i="37"/>
  <c r="AG132" i="37"/>
  <c r="AC132" i="37"/>
  <c r="Y132" i="37"/>
  <c r="U132" i="37"/>
  <c r="Q132" i="37"/>
  <c r="M132" i="37"/>
  <c r="I132" i="37"/>
  <c r="AR132" i="37"/>
  <c r="AB132" i="37"/>
  <c r="L132" i="37"/>
  <c r="BD132" i="37"/>
  <c r="AN132" i="37"/>
  <c r="X132" i="37"/>
  <c r="AZ132" i="37"/>
  <c r="AJ132" i="37"/>
  <c r="T132" i="37"/>
  <c r="AF132" i="37"/>
  <c r="P132" i="37"/>
  <c r="AV132" i="37"/>
  <c r="BD139" i="37"/>
  <c r="AZ139" i="37"/>
  <c r="AV139" i="37"/>
  <c r="AR139" i="37"/>
  <c r="AN139" i="37"/>
  <c r="AJ139" i="37"/>
  <c r="AF139" i="37"/>
  <c r="AB139" i="37"/>
  <c r="X139" i="37"/>
  <c r="T139" i="37"/>
  <c r="P139" i="37"/>
  <c r="L139" i="37"/>
  <c r="BC139" i="37"/>
  <c r="AY139" i="37"/>
  <c r="AU139" i="37"/>
  <c r="AQ139" i="37"/>
  <c r="AM139" i="37"/>
  <c r="AI139" i="37"/>
  <c r="AE139" i="37"/>
  <c r="AA139" i="37"/>
  <c r="W139" i="37"/>
  <c r="S139" i="37"/>
  <c r="O139" i="37"/>
  <c r="K139" i="37"/>
  <c r="BE139" i="37"/>
  <c r="AW139" i="37"/>
  <c r="AO139" i="37"/>
  <c r="AG139" i="37"/>
  <c r="Y139" i="37"/>
  <c r="Q139" i="37"/>
  <c r="I139" i="37"/>
  <c r="BB139" i="37"/>
  <c r="AT139" i="37"/>
  <c r="AL139" i="37"/>
  <c r="AD139" i="37"/>
  <c r="V139" i="37"/>
  <c r="N139" i="37"/>
  <c r="BA139" i="37"/>
  <c r="AS139" i="37"/>
  <c r="AK139" i="37"/>
  <c r="AC139" i="37"/>
  <c r="U139" i="37"/>
  <c r="M139" i="37"/>
  <c r="AP139" i="37"/>
  <c r="J139" i="37"/>
  <c r="AH139" i="37"/>
  <c r="Z139" i="37"/>
  <c r="AX139" i="37"/>
  <c r="R139" i="37"/>
  <c r="BE140" i="37"/>
  <c r="BA140" i="37"/>
  <c r="AW140" i="37"/>
  <c r="AS140" i="37"/>
  <c r="AO140" i="37"/>
  <c r="AK140" i="37"/>
  <c r="AG140" i="37"/>
  <c r="AC140" i="37"/>
  <c r="Y140" i="37"/>
  <c r="U140" i="37"/>
  <c r="Q140" i="37"/>
  <c r="M140" i="37"/>
  <c r="I140" i="37"/>
  <c r="BD140" i="37"/>
  <c r="AZ140" i="37"/>
  <c r="AV140" i="37"/>
  <c r="AR140" i="37"/>
  <c r="AN140" i="37"/>
  <c r="AJ140" i="37"/>
  <c r="AF140" i="37"/>
  <c r="AB140" i="37"/>
  <c r="X140" i="37"/>
  <c r="T140" i="37"/>
  <c r="P140" i="37"/>
  <c r="L140" i="37"/>
  <c r="BB140" i="37"/>
  <c r="AT140" i="37"/>
  <c r="AL140" i="37"/>
  <c r="AD140" i="37"/>
  <c r="V140" i="37"/>
  <c r="N140" i="37"/>
  <c r="AY140" i="37"/>
  <c r="AQ140" i="37"/>
  <c r="AI140" i="37"/>
  <c r="AA140" i="37"/>
  <c r="S140" i="37"/>
  <c r="K140" i="37"/>
  <c r="AX140" i="37"/>
  <c r="AP140" i="37"/>
  <c r="AH140" i="37"/>
  <c r="Z140" i="37"/>
  <c r="R140" i="37"/>
  <c r="J140" i="37"/>
  <c r="AE140" i="37"/>
  <c r="BC140" i="37"/>
  <c r="W140" i="37"/>
  <c r="AU140" i="37"/>
  <c r="O140" i="37"/>
  <c r="AM140" i="37"/>
  <c r="F141" i="37"/>
  <c r="G141" i="37" s="1"/>
  <c r="F147" i="37"/>
  <c r="G147" i="37" s="1"/>
  <c r="BB149" i="37"/>
  <c r="AX149" i="37"/>
  <c r="AT149" i="37"/>
  <c r="AP149" i="37"/>
  <c r="AL149" i="37"/>
  <c r="AH149" i="37"/>
  <c r="AD149" i="37"/>
  <c r="Z149" i="37"/>
  <c r="V149" i="37"/>
  <c r="R149" i="37"/>
  <c r="N149" i="37"/>
  <c r="J149" i="37"/>
  <c r="BE149" i="37"/>
  <c r="BA149" i="37"/>
  <c r="AW149" i="37"/>
  <c r="AS149" i="37"/>
  <c r="AO149" i="37"/>
  <c r="AK149" i="37"/>
  <c r="AG149" i="37"/>
  <c r="AC149" i="37"/>
  <c r="Y149" i="37"/>
  <c r="U149" i="37"/>
  <c r="Q149" i="37"/>
  <c r="M149" i="37"/>
  <c r="I149" i="37"/>
  <c r="BD149" i="37"/>
  <c r="AZ149" i="37"/>
  <c r="AV149" i="37"/>
  <c r="AR149" i="37"/>
  <c r="AN149" i="37"/>
  <c r="AJ149" i="37"/>
  <c r="AF149" i="37"/>
  <c r="AB149" i="37"/>
  <c r="X149" i="37"/>
  <c r="T149" i="37"/>
  <c r="P149" i="37"/>
  <c r="L149" i="37"/>
  <c r="AU149" i="37"/>
  <c r="AE149" i="37"/>
  <c r="O149" i="37"/>
  <c r="AQ149" i="37"/>
  <c r="AA149" i="37"/>
  <c r="K149" i="37"/>
  <c r="AM149" i="37"/>
  <c r="AI149" i="37"/>
  <c r="BC149" i="37"/>
  <c r="W149" i="37"/>
  <c r="AY149" i="37"/>
  <c r="S149" i="37"/>
  <c r="Q31" i="36"/>
  <c r="Q30" i="36"/>
  <c r="E63" i="36"/>
  <c r="D63" i="36"/>
  <c r="D64" i="36"/>
  <c r="E132" i="36"/>
  <c r="AP141" i="37"/>
  <c r="Z141" i="37"/>
  <c r="J141" i="37"/>
  <c r="AS141" i="37"/>
  <c r="AC141" i="37"/>
  <c r="M141" i="37"/>
  <c r="AJ141" i="37"/>
  <c r="AY141" i="37"/>
  <c r="S141" i="37"/>
  <c r="AN141" i="37"/>
  <c r="BC141" i="37"/>
  <c r="AM141" i="37"/>
  <c r="AA127" i="37"/>
  <c r="M127" i="37"/>
  <c r="C63" i="36"/>
  <c r="C64" i="36"/>
  <c r="H109" i="36"/>
  <c r="H107" i="36"/>
  <c r="E131" i="36"/>
  <c r="I110" i="36"/>
  <c r="H110" i="36" s="1"/>
  <c r="I108" i="36"/>
  <c r="H108" i="36" s="1"/>
  <c r="H130" i="37"/>
  <c r="BC130" i="37" s="1"/>
  <c r="F134" i="37"/>
  <c r="G134" i="37" s="1"/>
  <c r="H135" i="37"/>
  <c r="F129" i="37"/>
  <c r="G129" i="37" s="1"/>
  <c r="H134" i="37"/>
  <c r="H133" i="37"/>
  <c r="F143" i="37"/>
  <c r="G143" i="37" s="1"/>
  <c r="H137" i="37"/>
  <c r="F142" i="37"/>
  <c r="G142" i="37" s="1"/>
  <c r="H146" i="37"/>
  <c r="H144" i="37"/>
  <c r="H147" i="37"/>
  <c r="J108" i="36"/>
  <c r="F64" i="36"/>
  <c r="F63" i="36"/>
  <c r="G62" i="36"/>
  <c r="AA127" i="36"/>
  <c r="M127" i="36"/>
  <c r="AY130" i="37"/>
  <c r="AU130" i="37"/>
  <c r="AI130" i="37"/>
  <c r="AE130" i="37"/>
  <c r="S130" i="37"/>
  <c r="O130" i="37"/>
  <c r="BC129" i="37"/>
  <c r="AY129" i="37"/>
  <c r="AU129" i="37"/>
  <c r="AQ129" i="37"/>
  <c r="AM129" i="37"/>
  <c r="AI129" i="37"/>
  <c r="AE129" i="37"/>
  <c r="AA129" i="37"/>
  <c r="W129" i="37"/>
  <c r="S129" i="37"/>
  <c r="O129" i="37"/>
  <c r="K129" i="37"/>
  <c r="AX130" i="37"/>
  <c r="AT130" i="37"/>
  <c r="AH130" i="37"/>
  <c r="AD130" i="37"/>
  <c r="R130" i="37"/>
  <c r="N130" i="37"/>
  <c r="BB129" i="37"/>
  <c r="AX129" i="37"/>
  <c r="AT129" i="37"/>
  <c r="AP129" i="37"/>
  <c r="AL129" i="37"/>
  <c r="AH129" i="37"/>
  <c r="AD129" i="37"/>
  <c r="Z129" i="37"/>
  <c r="V129" i="37"/>
  <c r="R129" i="37"/>
  <c r="N129" i="37"/>
  <c r="J129" i="37"/>
  <c r="BA130" i="37"/>
  <c r="AW130" i="37"/>
  <c r="AK130" i="37"/>
  <c r="AG130" i="37"/>
  <c r="U130" i="37"/>
  <c r="Q130" i="37"/>
  <c r="BE129" i="37"/>
  <c r="BA129" i="37"/>
  <c r="AW129" i="37"/>
  <c r="AS129" i="37"/>
  <c r="AO129" i="37"/>
  <c r="AK129" i="37"/>
  <c r="AG129" i="37"/>
  <c r="AC129" i="37"/>
  <c r="Y129" i="37"/>
  <c r="U129" i="37"/>
  <c r="Q129" i="37"/>
  <c r="M129" i="37"/>
  <c r="I129" i="37"/>
  <c r="AZ130" i="37"/>
  <c r="AV129" i="37"/>
  <c r="AF129" i="37"/>
  <c r="P129" i="37"/>
  <c r="AF130" i="37"/>
  <c r="P130" i="37"/>
  <c r="AR129" i="37"/>
  <c r="AB129" i="37"/>
  <c r="L129" i="37"/>
  <c r="AR130" i="37"/>
  <c r="BD129" i="37"/>
  <c r="AN129" i="37"/>
  <c r="X129" i="37"/>
  <c r="AJ129" i="37"/>
  <c r="BD130" i="37"/>
  <c r="T129" i="37"/>
  <c r="AZ129" i="37"/>
  <c r="U22" i="37"/>
  <c r="E63" i="37"/>
  <c r="F62" i="37"/>
  <c r="F148" i="37"/>
  <c r="G148" i="37" s="1"/>
  <c r="BE144" i="37"/>
  <c r="BA144" i="37"/>
  <c r="AW144" i="37"/>
  <c r="AS144" i="37"/>
  <c r="AO144" i="37"/>
  <c r="AK144" i="37"/>
  <c r="AG144" i="37"/>
  <c r="AC144" i="37"/>
  <c r="Y144" i="37"/>
  <c r="U144" i="37"/>
  <c r="Q144" i="37"/>
  <c r="BD144" i="37"/>
  <c r="AZ144" i="37"/>
  <c r="AV144" i="37"/>
  <c r="AR144" i="37"/>
  <c r="AN144" i="37"/>
  <c r="AJ144" i="37"/>
  <c r="AF144" i="37"/>
  <c r="AB144" i="37"/>
  <c r="X144" i="37"/>
  <c r="T144" i="37"/>
  <c r="P144" i="37"/>
  <c r="L144" i="37"/>
  <c r="BC144" i="37"/>
  <c r="AY144" i="37"/>
  <c r="AU144" i="37"/>
  <c r="AQ144" i="37"/>
  <c r="AM144" i="37"/>
  <c r="AI144" i="37"/>
  <c r="AE144" i="37"/>
  <c r="AA144" i="37"/>
  <c r="W144" i="37"/>
  <c r="S144" i="37"/>
  <c r="O144" i="37"/>
  <c r="K144" i="37"/>
  <c r="AX144" i="37"/>
  <c r="AH144" i="37"/>
  <c r="R144" i="37"/>
  <c r="I144" i="37"/>
  <c r="AT144" i="37"/>
  <c r="AD144" i="37"/>
  <c r="N144" i="37"/>
  <c r="AL144" i="37"/>
  <c r="J144" i="37"/>
  <c r="Z144" i="37"/>
  <c r="BB144" i="37"/>
  <c r="V144" i="37"/>
  <c r="M144" i="37"/>
  <c r="AP144" i="37"/>
  <c r="F145" i="37"/>
  <c r="G145" i="37" s="1"/>
  <c r="U22" i="36"/>
  <c r="BD137" i="37"/>
  <c r="AZ137" i="37"/>
  <c r="AV137" i="37"/>
  <c r="AR137" i="37"/>
  <c r="AN137" i="37"/>
  <c r="AJ137" i="37"/>
  <c r="AF137" i="37"/>
  <c r="AB137" i="37"/>
  <c r="X137" i="37"/>
  <c r="T137" i="37"/>
  <c r="P137" i="37"/>
  <c r="L137" i="37"/>
  <c r="BC137" i="37"/>
  <c r="AY137" i="37"/>
  <c r="AU137" i="37"/>
  <c r="AQ137" i="37"/>
  <c r="AM137" i="37"/>
  <c r="AI137" i="37"/>
  <c r="AE137" i="37"/>
  <c r="AA137" i="37"/>
  <c r="W137" i="37"/>
  <c r="S137" i="37"/>
  <c r="O137" i="37"/>
  <c r="K137" i="37"/>
  <c r="BB137" i="37"/>
  <c r="AX137" i="37"/>
  <c r="AT137" i="37"/>
  <c r="AP137" i="37"/>
  <c r="AL137" i="37"/>
  <c r="AH137" i="37"/>
  <c r="BA137" i="37"/>
  <c r="AK137" i="37"/>
  <c r="Z137" i="37"/>
  <c r="R137" i="37"/>
  <c r="J137" i="37"/>
  <c r="AW137" i="37"/>
  <c r="AG137" i="37"/>
  <c r="Y137" i="37"/>
  <c r="Q137" i="37"/>
  <c r="I137" i="37"/>
  <c r="AS137" i="37"/>
  <c r="AD137" i="37"/>
  <c r="V137" i="37"/>
  <c r="N137" i="37"/>
  <c r="AC137" i="37"/>
  <c r="U137" i="37"/>
  <c r="BE137" i="37"/>
  <c r="M137" i="37"/>
  <c r="AO137" i="37"/>
  <c r="AR133" i="37"/>
  <c r="AB133" i="37"/>
  <c r="L133" i="37"/>
  <c r="AQ133" i="37"/>
  <c r="AA133" i="37"/>
  <c r="K133" i="37"/>
  <c r="AP133" i="37"/>
  <c r="Z133" i="37"/>
  <c r="J133" i="37"/>
  <c r="AS133" i="37"/>
  <c r="AO133" i="37"/>
  <c r="AK133" i="37"/>
  <c r="C66" i="37"/>
  <c r="Q27" i="37"/>
  <c r="Q26" i="37"/>
  <c r="BC143" i="37"/>
  <c r="AY143" i="37"/>
  <c r="AU143" i="37"/>
  <c r="AQ143" i="37"/>
  <c r="BB143" i="37"/>
  <c r="AX143" i="37"/>
  <c r="AT143" i="37"/>
  <c r="AP143" i="37"/>
  <c r="AL143" i="37"/>
  <c r="BE143" i="37"/>
  <c r="AW143" i="37"/>
  <c r="AO143" i="37"/>
  <c r="AJ143" i="37"/>
  <c r="AF143" i="37"/>
  <c r="AB143" i="37"/>
  <c r="X143" i="37"/>
  <c r="T143" i="37"/>
  <c r="P143" i="37"/>
  <c r="L143" i="37"/>
  <c r="BD143" i="37"/>
  <c r="AV143" i="37"/>
  <c r="AN143" i="37"/>
  <c r="AI143" i="37"/>
  <c r="AE143" i="37"/>
  <c r="AA143" i="37"/>
  <c r="W143" i="37"/>
  <c r="S143" i="37"/>
  <c r="O143" i="37"/>
  <c r="K143" i="37"/>
  <c r="AZ143" i="37"/>
  <c r="AK143" i="37"/>
  <c r="AC143" i="37"/>
  <c r="U143" i="37"/>
  <c r="M143" i="37"/>
  <c r="AS143" i="37"/>
  <c r="AH143" i="37"/>
  <c r="Z143" i="37"/>
  <c r="R143" i="37"/>
  <c r="J143" i="37"/>
  <c r="AR143" i="37"/>
  <c r="AG143" i="37"/>
  <c r="Y143" i="37"/>
  <c r="Q143" i="37"/>
  <c r="I143" i="37"/>
  <c r="BF143" i="37" s="1"/>
  <c r="AM143" i="37"/>
  <c r="AD143" i="37"/>
  <c r="V143" i="37"/>
  <c r="BA143" i="37"/>
  <c r="N143" i="37"/>
  <c r="F135" i="37"/>
  <c r="G135" i="37" s="1"/>
  <c r="H141" i="37"/>
  <c r="AX141" i="37" s="1"/>
  <c r="F140" i="37"/>
  <c r="G140" i="37" s="1"/>
  <c r="F144" i="37"/>
  <c r="G144" i="37" s="1"/>
  <c r="H145" i="37"/>
  <c r="F146" i="37"/>
  <c r="G146" i="37" s="1"/>
  <c r="Q27" i="36"/>
  <c r="Q31" i="37"/>
  <c r="Q30" i="37"/>
  <c r="F64" i="33"/>
  <c r="G62" i="33"/>
  <c r="F63" i="33"/>
  <c r="F148" i="33"/>
  <c r="G148" i="33" s="1"/>
  <c r="F140" i="33"/>
  <c r="G140" i="33" s="1"/>
  <c r="F145" i="33"/>
  <c r="G145" i="33" s="1"/>
  <c r="F149" i="33"/>
  <c r="G149" i="33" s="1"/>
  <c r="F141" i="33"/>
  <c r="G141" i="33" s="1"/>
  <c r="F146" i="33"/>
  <c r="G146" i="33" s="1"/>
  <c r="F147" i="33"/>
  <c r="G147" i="33" s="1"/>
  <c r="F143" i="33"/>
  <c r="G143" i="33" s="1"/>
  <c r="F142" i="33"/>
  <c r="G142" i="33" s="1"/>
  <c r="F144" i="33"/>
  <c r="G144" i="33" s="1"/>
  <c r="D63" i="33"/>
  <c r="E64" i="33"/>
  <c r="F140" i="32"/>
  <c r="G140" i="32" s="1"/>
  <c r="F143" i="32"/>
  <c r="G143" i="32" s="1"/>
  <c r="Q30" i="35"/>
  <c r="Q31" i="35"/>
  <c r="H148" i="35"/>
  <c r="H149" i="35"/>
  <c r="H145" i="35"/>
  <c r="H143" i="35"/>
  <c r="F138" i="35"/>
  <c r="G138" i="35" s="1"/>
  <c r="H136" i="35"/>
  <c r="G139" i="35"/>
  <c r="H139" i="35" s="1"/>
  <c r="H146" i="35"/>
  <c r="F133" i="35"/>
  <c r="G133" i="35" s="1"/>
  <c r="E132" i="35"/>
  <c r="F149" i="35" s="1"/>
  <c r="G149" i="35" s="1"/>
  <c r="E130" i="35"/>
  <c r="E129" i="35"/>
  <c r="P101" i="35"/>
  <c r="F137" i="35"/>
  <c r="G137" i="35" s="1"/>
  <c r="F134" i="35"/>
  <c r="G134" i="35" s="1"/>
  <c r="H131" i="35"/>
  <c r="H130" i="35"/>
  <c r="H129" i="35"/>
  <c r="T100" i="35"/>
  <c r="H141" i="35"/>
  <c r="F136" i="35"/>
  <c r="G136" i="35" s="1"/>
  <c r="F132" i="35"/>
  <c r="G132" i="35" s="1"/>
  <c r="R101" i="35"/>
  <c r="F131" i="35"/>
  <c r="G131" i="35" s="1"/>
  <c r="H137" i="35"/>
  <c r="H133" i="35"/>
  <c r="F135" i="35"/>
  <c r="G135" i="35" s="1"/>
  <c r="T101" i="35"/>
  <c r="H134" i="35"/>
  <c r="F129" i="35"/>
  <c r="G129" i="35" s="1"/>
  <c r="R100" i="35"/>
  <c r="P100" i="35"/>
  <c r="U22" i="33"/>
  <c r="U22" i="32"/>
  <c r="E63" i="33"/>
  <c r="E131" i="35"/>
  <c r="H147" i="35" s="1"/>
  <c r="I110" i="35"/>
  <c r="H110" i="35" s="1"/>
  <c r="I108" i="35"/>
  <c r="H108" i="35" s="1"/>
  <c r="H109" i="35"/>
  <c r="H107" i="35"/>
  <c r="Q30" i="34"/>
  <c r="Q27" i="34"/>
  <c r="Q31" i="34"/>
  <c r="Q18" i="34"/>
  <c r="E62" i="34"/>
  <c r="C66" i="34"/>
  <c r="C62" i="34" s="1"/>
  <c r="Q26" i="33"/>
  <c r="Q27" i="32"/>
  <c r="Q31" i="33"/>
  <c r="Q30" i="33"/>
  <c r="U18" i="33"/>
  <c r="Q31" i="32"/>
  <c r="Q30" i="32"/>
  <c r="F144" i="32"/>
  <c r="G144" i="32" s="1"/>
  <c r="F147" i="32"/>
  <c r="G147" i="32" s="1"/>
  <c r="D63" i="32"/>
  <c r="D64" i="32"/>
  <c r="E131" i="34"/>
  <c r="H144" i="34" s="1"/>
  <c r="I110" i="34"/>
  <c r="H110" i="34" s="1"/>
  <c r="I108" i="34"/>
  <c r="H108" i="34" s="1"/>
  <c r="H107" i="34"/>
  <c r="H109" i="34"/>
  <c r="H148" i="34"/>
  <c r="F146" i="34"/>
  <c r="G146" i="34" s="1"/>
  <c r="F147" i="34"/>
  <c r="G147" i="34" s="1"/>
  <c r="H146" i="34"/>
  <c r="F145" i="34"/>
  <c r="G145" i="34" s="1"/>
  <c r="F141" i="34"/>
  <c r="G141" i="34" s="1"/>
  <c r="F138" i="34"/>
  <c r="G138" i="34" s="1"/>
  <c r="H140" i="34"/>
  <c r="H149" i="34"/>
  <c r="F148" i="34"/>
  <c r="G148" i="34" s="1"/>
  <c r="F143" i="34"/>
  <c r="G143" i="34" s="1"/>
  <c r="H141" i="34"/>
  <c r="F140" i="34"/>
  <c r="G140" i="34" s="1"/>
  <c r="G139" i="34"/>
  <c r="H139" i="34" s="1"/>
  <c r="F137" i="34"/>
  <c r="G137" i="34" s="1"/>
  <c r="H135" i="34"/>
  <c r="E132" i="34"/>
  <c r="F149" i="34" s="1"/>
  <c r="G149" i="34" s="1"/>
  <c r="E130" i="34"/>
  <c r="E129" i="34"/>
  <c r="P101" i="34"/>
  <c r="H136" i="34"/>
  <c r="F134" i="34"/>
  <c r="G134" i="34" s="1"/>
  <c r="H130" i="34"/>
  <c r="H129" i="34"/>
  <c r="T100" i="34"/>
  <c r="F135" i="34"/>
  <c r="G135" i="34" s="1"/>
  <c r="H133" i="34"/>
  <c r="T101" i="34"/>
  <c r="R100" i="34"/>
  <c r="R101" i="34"/>
  <c r="F136" i="34"/>
  <c r="G136" i="34" s="1"/>
  <c r="P100" i="34"/>
  <c r="F132" i="34"/>
  <c r="G132" i="34" s="1"/>
  <c r="F131" i="34"/>
  <c r="G131" i="34" s="1"/>
  <c r="H147" i="34"/>
  <c r="H134" i="34"/>
  <c r="F144" i="34"/>
  <c r="G144" i="34" s="1"/>
  <c r="H109" i="33"/>
  <c r="H107" i="33"/>
  <c r="E131" i="33"/>
  <c r="I110" i="33"/>
  <c r="H110" i="33" s="1"/>
  <c r="I108" i="33"/>
  <c r="H108" i="33" s="1"/>
  <c r="F64" i="32"/>
  <c r="F63" i="32"/>
  <c r="G62" i="32"/>
  <c r="Q25" i="35"/>
  <c r="F62" i="35"/>
  <c r="E63" i="35"/>
  <c r="J110" i="33"/>
  <c r="C64" i="32"/>
  <c r="C63" i="32"/>
  <c r="F142" i="32"/>
  <c r="G142" i="32" s="1"/>
  <c r="F145" i="32"/>
  <c r="G145" i="32" s="1"/>
  <c r="AA127" i="32"/>
  <c r="M127" i="32"/>
  <c r="Q26" i="35"/>
  <c r="Q27" i="35"/>
  <c r="C66" i="35"/>
  <c r="N127" i="35"/>
  <c r="AB127" i="35"/>
  <c r="U22" i="35"/>
  <c r="Q18" i="35"/>
  <c r="U22" i="34"/>
  <c r="J108" i="33"/>
  <c r="M127" i="34"/>
  <c r="AA127" i="34"/>
  <c r="H126" i="33"/>
  <c r="H122" i="33" s="1"/>
  <c r="C62" i="33"/>
  <c r="D64" i="33" s="1"/>
  <c r="N127" i="33"/>
  <c r="AB127" i="33"/>
  <c r="Q25" i="33"/>
  <c r="E131" i="32"/>
  <c r="H109" i="32"/>
  <c r="H107" i="32"/>
  <c r="I110" i="32"/>
  <c r="H110" i="32" s="1"/>
  <c r="I108" i="32"/>
  <c r="H108" i="32" s="1"/>
  <c r="F146" i="32"/>
  <c r="G146" i="32" s="1"/>
  <c r="F141" i="32"/>
  <c r="G141" i="32" s="1"/>
  <c r="F148" i="30"/>
  <c r="G148" i="30" s="1"/>
  <c r="F144" i="30"/>
  <c r="G144" i="30" s="1"/>
  <c r="F141" i="30"/>
  <c r="G141" i="30" s="1"/>
  <c r="F142" i="30"/>
  <c r="G142" i="30" s="1"/>
  <c r="F143" i="30"/>
  <c r="G143" i="30" s="1"/>
  <c r="F147" i="30"/>
  <c r="G147" i="30" s="1"/>
  <c r="F149" i="30"/>
  <c r="G149" i="30" s="1"/>
  <c r="F140" i="30"/>
  <c r="G140" i="30" s="1"/>
  <c r="F146" i="30"/>
  <c r="G146" i="30" s="1"/>
  <c r="F145" i="30"/>
  <c r="G145" i="30" s="1"/>
  <c r="U22" i="31"/>
  <c r="Q30" i="30"/>
  <c r="Q27" i="30"/>
  <c r="Q31" i="30"/>
  <c r="G62" i="30"/>
  <c r="F63" i="30"/>
  <c r="F64" i="30"/>
  <c r="Q31" i="31"/>
  <c r="Q30" i="31"/>
  <c r="C63" i="30"/>
  <c r="C64" i="30"/>
  <c r="F145" i="31"/>
  <c r="G145" i="31" s="1"/>
  <c r="H148" i="31"/>
  <c r="H146" i="31"/>
  <c r="H143" i="31"/>
  <c r="F134" i="31"/>
  <c r="G134" i="31" s="1"/>
  <c r="H140" i="31"/>
  <c r="G139" i="31"/>
  <c r="H139" i="31" s="1"/>
  <c r="H133" i="31"/>
  <c r="H134" i="31"/>
  <c r="F133" i="31"/>
  <c r="G133" i="31" s="1"/>
  <c r="E132" i="31"/>
  <c r="F143" i="31" s="1"/>
  <c r="G143" i="31" s="1"/>
  <c r="E130" i="31"/>
  <c r="T100" i="31"/>
  <c r="F140" i="31"/>
  <c r="G140" i="31" s="1"/>
  <c r="T101" i="31"/>
  <c r="R100" i="31"/>
  <c r="F142" i="31"/>
  <c r="G142" i="31" s="1"/>
  <c r="E129" i="31"/>
  <c r="P100" i="31"/>
  <c r="R101" i="31"/>
  <c r="P101" i="31"/>
  <c r="Q27" i="31"/>
  <c r="M127" i="30"/>
  <c r="AA127" i="30"/>
  <c r="E131" i="30"/>
  <c r="I110" i="30"/>
  <c r="H110" i="30" s="1"/>
  <c r="I108" i="30"/>
  <c r="H108" i="30" s="1"/>
  <c r="H109" i="30"/>
  <c r="H107" i="30"/>
  <c r="L127" i="31"/>
  <c r="Z127" i="31"/>
  <c r="Q25" i="31"/>
  <c r="E131" i="31"/>
  <c r="H149" i="31" s="1"/>
  <c r="I110" i="31"/>
  <c r="H110" i="31" s="1"/>
  <c r="I108" i="31"/>
  <c r="H108" i="31" s="1"/>
  <c r="H109" i="31"/>
  <c r="H107" i="31"/>
  <c r="U22" i="30"/>
  <c r="E62" i="31"/>
  <c r="D62" i="31"/>
  <c r="C62" i="31"/>
  <c r="Q18" i="31"/>
  <c r="C66" i="31"/>
  <c r="H126" i="31"/>
  <c r="H122" i="31" s="1"/>
  <c r="E63" i="30"/>
  <c r="H109" i="29"/>
  <c r="H107" i="29"/>
  <c r="I110" i="29"/>
  <c r="H110" i="29" s="1"/>
  <c r="Q31" i="29"/>
  <c r="B153" i="29"/>
  <c r="H120" i="29" s="1"/>
  <c r="Q32" i="29" s="1"/>
  <c r="K127" i="27"/>
  <c r="Y127" i="27"/>
  <c r="H108" i="29"/>
  <c r="Q27" i="29"/>
  <c r="H149" i="29"/>
  <c r="H147" i="29"/>
  <c r="H145" i="29"/>
  <c r="H143" i="29"/>
  <c r="H141" i="29"/>
  <c r="H146" i="29"/>
  <c r="H142" i="29"/>
  <c r="H140" i="29"/>
  <c r="G139" i="29"/>
  <c r="H139" i="29" s="1"/>
  <c r="H137" i="29"/>
  <c r="F137" i="29"/>
  <c r="G137" i="29" s="1"/>
  <c r="H148" i="29"/>
  <c r="H144" i="29"/>
  <c r="H138" i="29"/>
  <c r="F138" i="29"/>
  <c r="G138" i="29" s="1"/>
  <c r="H136" i="29"/>
  <c r="F136" i="29"/>
  <c r="G136" i="29" s="1"/>
  <c r="H134" i="29"/>
  <c r="F134" i="29"/>
  <c r="G134" i="29" s="1"/>
  <c r="H132" i="29"/>
  <c r="F132" i="29"/>
  <c r="G132" i="29" s="1"/>
  <c r="H131" i="29"/>
  <c r="F131" i="29"/>
  <c r="G131" i="29" s="1"/>
  <c r="H130" i="29"/>
  <c r="F130" i="29"/>
  <c r="G130" i="29" s="1"/>
  <c r="H129" i="29"/>
  <c r="F129" i="29"/>
  <c r="G129" i="29" s="1"/>
  <c r="F135" i="29"/>
  <c r="G135" i="29" s="1"/>
  <c r="H133" i="29"/>
  <c r="E132" i="29"/>
  <c r="F149" i="29" s="1"/>
  <c r="G149" i="29" s="1"/>
  <c r="E130" i="29"/>
  <c r="T101" i="29"/>
  <c r="P101" i="29"/>
  <c r="R100" i="29"/>
  <c r="H135" i="29"/>
  <c r="F133" i="29"/>
  <c r="G133" i="29" s="1"/>
  <c r="E129" i="29"/>
  <c r="R101" i="29"/>
  <c r="T100" i="29"/>
  <c r="P100" i="29"/>
  <c r="E62" i="29"/>
  <c r="Q18" i="29"/>
  <c r="U18" i="29"/>
  <c r="U22" i="29"/>
  <c r="C66" i="29"/>
  <c r="C62" i="29" s="1"/>
  <c r="A153" i="29"/>
  <c r="H121" i="29" s="1"/>
  <c r="Q33" i="29" s="1"/>
  <c r="L127" i="29"/>
  <c r="Z127" i="29"/>
  <c r="Q24" i="27"/>
  <c r="Q20" i="27"/>
  <c r="Q22" i="27"/>
  <c r="W19" i="27"/>
  <c r="AA19" i="27"/>
  <c r="T23" i="27"/>
  <c r="X23" i="27"/>
  <c r="AB23" i="27"/>
  <c r="U19" i="27"/>
  <c r="Y19" i="27"/>
  <c r="AC19" i="27"/>
  <c r="V23" i="27"/>
  <c r="Z23" i="27"/>
  <c r="Q28" i="27"/>
  <c r="Q18" i="27" s="1"/>
  <c r="E62" i="27"/>
  <c r="G139" i="27"/>
  <c r="H139" i="27" s="1"/>
  <c r="E130" i="27"/>
  <c r="E129" i="27"/>
  <c r="T101" i="27"/>
  <c r="P101" i="27"/>
  <c r="R100" i="27"/>
  <c r="R101" i="27"/>
  <c r="T100" i="27"/>
  <c r="P100" i="27"/>
  <c r="T19" i="27"/>
  <c r="V19" i="27"/>
  <c r="X19" i="27"/>
  <c r="Z19" i="27"/>
  <c r="U23" i="27"/>
  <c r="W23" i="27"/>
  <c r="Y23" i="27"/>
  <c r="AA23" i="27"/>
  <c r="AC23" i="27"/>
  <c r="H102" i="27"/>
  <c r="H104" i="27"/>
  <c r="J108" i="27" s="1"/>
  <c r="BD147" i="37" l="1"/>
  <c r="AZ147" i="37"/>
  <c r="AV147" i="37"/>
  <c r="AR147" i="37"/>
  <c r="AN147" i="37"/>
  <c r="AJ147" i="37"/>
  <c r="AF147" i="37"/>
  <c r="AB147" i="37"/>
  <c r="X147" i="37"/>
  <c r="T147" i="37"/>
  <c r="P147" i="37"/>
  <c r="L147" i="37"/>
  <c r="BC147" i="37"/>
  <c r="AY147" i="37"/>
  <c r="AU147" i="37"/>
  <c r="AQ147" i="37"/>
  <c r="AM147" i="37"/>
  <c r="AI147" i="37"/>
  <c r="AE147" i="37"/>
  <c r="AA147" i="37"/>
  <c r="W147" i="37"/>
  <c r="S147" i="37"/>
  <c r="O147" i="37"/>
  <c r="K147" i="37"/>
  <c r="BB147" i="37"/>
  <c r="AX147" i="37"/>
  <c r="AT147" i="37"/>
  <c r="AP147" i="37"/>
  <c r="AL147" i="37"/>
  <c r="AH147" i="37"/>
  <c r="AD147" i="37"/>
  <c r="Z147" i="37"/>
  <c r="V147" i="37"/>
  <c r="R147" i="37"/>
  <c r="N147" i="37"/>
  <c r="J147" i="37"/>
  <c r="AS147" i="37"/>
  <c r="AC147" i="37"/>
  <c r="M147" i="37"/>
  <c r="BE147" i="37"/>
  <c r="AO147" i="37"/>
  <c r="Y147" i="37"/>
  <c r="I147" i="37"/>
  <c r="BA147" i="37"/>
  <c r="U147" i="37"/>
  <c r="AW147" i="37"/>
  <c r="Q147" i="37"/>
  <c r="AK147" i="37"/>
  <c r="AG147" i="37"/>
  <c r="BE134" i="37"/>
  <c r="BA134" i="37"/>
  <c r="AW134" i="37"/>
  <c r="AS134" i="37"/>
  <c r="AO134" i="37"/>
  <c r="AK134" i="37"/>
  <c r="AG134" i="37"/>
  <c r="AC134" i="37"/>
  <c r="Y134" i="37"/>
  <c r="U134" i="37"/>
  <c r="Q134" i="37"/>
  <c r="M134" i="37"/>
  <c r="I134" i="37"/>
  <c r="BD134" i="37"/>
  <c r="AZ134" i="37"/>
  <c r="AV134" i="37"/>
  <c r="AR134" i="37"/>
  <c r="AN134" i="37"/>
  <c r="AJ134" i="37"/>
  <c r="AF134" i="37"/>
  <c r="AB134" i="37"/>
  <c r="X134" i="37"/>
  <c r="T134" i="37"/>
  <c r="P134" i="37"/>
  <c r="L134" i="37"/>
  <c r="BC134" i="37"/>
  <c r="AY134" i="37"/>
  <c r="AU134" i="37"/>
  <c r="AQ134" i="37"/>
  <c r="AM134" i="37"/>
  <c r="AI134" i="37"/>
  <c r="AE134" i="37"/>
  <c r="AA134" i="37"/>
  <c r="W134" i="37"/>
  <c r="S134" i="37"/>
  <c r="O134" i="37"/>
  <c r="K134" i="37"/>
  <c r="AX134" i="37"/>
  <c r="AH134" i="37"/>
  <c r="R134" i="37"/>
  <c r="AT134" i="37"/>
  <c r="AD134" i="37"/>
  <c r="N134" i="37"/>
  <c r="AP134" i="37"/>
  <c r="Z134" i="37"/>
  <c r="J134" i="37"/>
  <c r="BB134" i="37"/>
  <c r="AL134" i="37"/>
  <c r="V134" i="37"/>
  <c r="H148" i="36"/>
  <c r="H140" i="36"/>
  <c r="H145" i="36"/>
  <c r="F131" i="36"/>
  <c r="G131" i="36" s="1"/>
  <c r="F137" i="36"/>
  <c r="G137" i="36" s="1"/>
  <c r="H133" i="36"/>
  <c r="H132" i="36"/>
  <c r="H149" i="36"/>
  <c r="F129" i="36"/>
  <c r="G129" i="36" s="1"/>
  <c r="H136" i="36"/>
  <c r="H146" i="36"/>
  <c r="F136" i="36"/>
  <c r="G136" i="36" s="1"/>
  <c r="F130" i="36"/>
  <c r="G130" i="36" s="1"/>
  <c r="F135" i="36"/>
  <c r="G135" i="36" s="1"/>
  <c r="H135" i="36"/>
  <c r="F138" i="36"/>
  <c r="G138" i="36" s="1"/>
  <c r="H131" i="36"/>
  <c r="H137" i="36"/>
  <c r="H144" i="36"/>
  <c r="H141" i="36"/>
  <c r="H134" i="36"/>
  <c r="F133" i="36"/>
  <c r="G133" i="36" s="1"/>
  <c r="H130" i="36"/>
  <c r="H138" i="36"/>
  <c r="H142" i="36"/>
  <c r="F132" i="36"/>
  <c r="G132" i="36" s="1"/>
  <c r="H143" i="36"/>
  <c r="H147" i="36"/>
  <c r="F134" i="36"/>
  <c r="G134" i="36" s="1"/>
  <c r="H129" i="36"/>
  <c r="BF139" i="37"/>
  <c r="BE133" i="37"/>
  <c r="N133" i="37"/>
  <c r="AT133" i="37"/>
  <c r="O133" i="37"/>
  <c r="AU133" i="37"/>
  <c r="AF133" i="37"/>
  <c r="AV133" i="37"/>
  <c r="BF144" i="37"/>
  <c r="BB135" i="37"/>
  <c r="AX135" i="37"/>
  <c r="BD135" i="37"/>
  <c r="AY135" i="37"/>
  <c r="AT135" i="37"/>
  <c r="AP135" i="37"/>
  <c r="AL135" i="37"/>
  <c r="AH135" i="37"/>
  <c r="AD135" i="37"/>
  <c r="Z135" i="37"/>
  <c r="V135" i="37"/>
  <c r="R135" i="37"/>
  <c r="N135" i="37"/>
  <c r="J135" i="37"/>
  <c r="BC135" i="37"/>
  <c r="AW135" i="37"/>
  <c r="AS135" i="37"/>
  <c r="AO135" i="37"/>
  <c r="AK135" i="37"/>
  <c r="AG135" i="37"/>
  <c r="AC135" i="37"/>
  <c r="Y135" i="37"/>
  <c r="U135" i="37"/>
  <c r="Q135" i="37"/>
  <c r="M135" i="37"/>
  <c r="I135" i="37"/>
  <c r="BA135" i="37"/>
  <c r="AV135" i="37"/>
  <c r="AR135" i="37"/>
  <c r="AN135" i="37"/>
  <c r="AJ135" i="37"/>
  <c r="AF135" i="37"/>
  <c r="AB135" i="37"/>
  <c r="X135" i="37"/>
  <c r="T135" i="37"/>
  <c r="P135" i="37"/>
  <c r="L135" i="37"/>
  <c r="AZ135" i="37"/>
  <c r="AI135" i="37"/>
  <c r="S135" i="37"/>
  <c r="AU135" i="37"/>
  <c r="AE135" i="37"/>
  <c r="O135" i="37"/>
  <c r="AQ135" i="37"/>
  <c r="AA135" i="37"/>
  <c r="K135" i="37"/>
  <c r="W135" i="37"/>
  <c r="BE135" i="37"/>
  <c r="AM135" i="37"/>
  <c r="AB127" i="37"/>
  <c r="N127" i="37"/>
  <c r="O141" i="37"/>
  <c r="P141" i="37"/>
  <c r="AV141" i="37"/>
  <c r="AA141" i="37"/>
  <c r="L141" i="37"/>
  <c r="AR141" i="37"/>
  <c r="Q141" i="37"/>
  <c r="AG141" i="37"/>
  <c r="AW141" i="37"/>
  <c r="N141" i="37"/>
  <c r="AD141" i="37"/>
  <c r="AT141" i="37"/>
  <c r="BF140" i="37"/>
  <c r="BC146" i="37"/>
  <c r="AY146" i="37"/>
  <c r="AU146" i="37"/>
  <c r="AQ146" i="37"/>
  <c r="AM146" i="37"/>
  <c r="AI146" i="37"/>
  <c r="AE146" i="37"/>
  <c r="AA146" i="37"/>
  <c r="W146" i="37"/>
  <c r="S146" i="37"/>
  <c r="O146" i="37"/>
  <c r="K146" i="37"/>
  <c r="BB146" i="37"/>
  <c r="AX146" i="37"/>
  <c r="AT146" i="37"/>
  <c r="AP146" i="37"/>
  <c r="AL146" i="37"/>
  <c r="AH146" i="37"/>
  <c r="AD146" i="37"/>
  <c r="Z146" i="37"/>
  <c r="V146" i="37"/>
  <c r="R146" i="37"/>
  <c r="N146" i="37"/>
  <c r="J146" i="37"/>
  <c r="BE146" i="37"/>
  <c r="BA146" i="37"/>
  <c r="AW146" i="37"/>
  <c r="AS146" i="37"/>
  <c r="AO146" i="37"/>
  <c r="AK146" i="37"/>
  <c r="AG146" i="37"/>
  <c r="AC146" i="37"/>
  <c r="Y146" i="37"/>
  <c r="U146" i="37"/>
  <c r="Q146" i="37"/>
  <c r="M146" i="37"/>
  <c r="I146" i="37"/>
  <c r="BD146" i="37"/>
  <c r="AN146" i="37"/>
  <c r="X146" i="37"/>
  <c r="AZ146" i="37"/>
  <c r="AJ146" i="37"/>
  <c r="T146" i="37"/>
  <c r="AV146" i="37"/>
  <c r="P146" i="37"/>
  <c r="AR146" i="37"/>
  <c r="L146" i="37"/>
  <c r="AF146" i="37"/>
  <c r="AB146" i="37"/>
  <c r="C62" i="37"/>
  <c r="D62" i="37"/>
  <c r="I133" i="37"/>
  <c r="M133" i="37"/>
  <c r="AG133" i="37"/>
  <c r="R133" i="37"/>
  <c r="AH133" i="37"/>
  <c r="AX133" i="37"/>
  <c r="S133" i="37"/>
  <c r="AI133" i="37"/>
  <c r="AY133" i="37"/>
  <c r="T133" i="37"/>
  <c r="AJ133" i="37"/>
  <c r="AZ133" i="37"/>
  <c r="X130" i="37"/>
  <c r="L130" i="37"/>
  <c r="AV130" i="37"/>
  <c r="T130" i="37"/>
  <c r="I130" i="37"/>
  <c r="Y130" i="37"/>
  <c r="AO130" i="37"/>
  <c r="BE130" i="37"/>
  <c r="V130" i="37"/>
  <c r="AL130" i="37"/>
  <c r="BB130" i="37"/>
  <c r="W130" i="37"/>
  <c r="AM130" i="37"/>
  <c r="H62" i="36"/>
  <c r="G64" i="36"/>
  <c r="G63" i="36"/>
  <c r="BE148" i="37"/>
  <c r="BA148" i="37"/>
  <c r="AW148" i="37"/>
  <c r="AS148" i="37"/>
  <c r="AO148" i="37"/>
  <c r="AK148" i="37"/>
  <c r="AG148" i="37"/>
  <c r="AC148" i="37"/>
  <c r="Y148" i="37"/>
  <c r="U148" i="37"/>
  <c r="Q148" i="37"/>
  <c r="M148" i="37"/>
  <c r="I148" i="37"/>
  <c r="BD148" i="37"/>
  <c r="AZ148" i="37"/>
  <c r="AV148" i="37"/>
  <c r="AR148" i="37"/>
  <c r="AN148" i="37"/>
  <c r="AJ148" i="37"/>
  <c r="AF148" i="37"/>
  <c r="AB148" i="37"/>
  <c r="X148" i="37"/>
  <c r="T148" i="37"/>
  <c r="P148" i="37"/>
  <c r="L148" i="37"/>
  <c r="BC148" i="37"/>
  <c r="AY148" i="37"/>
  <c r="AU148" i="37"/>
  <c r="AQ148" i="37"/>
  <c r="AM148" i="37"/>
  <c r="AI148" i="37"/>
  <c r="AE148" i="37"/>
  <c r="AA148" i="37"/>
  <c r="W148" i="37"/>
  <c r="S148" i="37"/>
  <c r="O148" i="37"/>
  <c r="K148" i="37"/>
  <c r="AT148" i="37"/>
  <c r="AD148" i="37"/>
  <c r="N148" i="37"/>
  <c r="AP148" i="37"/>
  <c r="Z148" i="37"/>
  <c r="J148" i="37"/>
  <c r="AX148" i="37"/>
  <c r="R148" i="37"/>
  <c r="AL148" i="37"/>
  <c r="AH148" i="37"/>
  <c r="BB148" i="37"/>
  <c r="V148" i="37"/>
  <c r="BE138" i="37"/>
  <c r="BA138" i="37"/>
  <c r="AW138" i="37"/>
  <c r="AS138" i="37"/>
  <c r="AO138" i="37"/>
  <c r="AK138" i="37"/>
  <c r="AG138" i="37"/>
  <c r="AC138" i="37"/>
  <c r="Y138" i="37"/>
  <c r="U138" i="37"/>
  <c r="Q138" i="37"/>
  <c r="M138" i="37"/>
  <c r="I138" i="37"/>
  <c r="BD138" i="37"/>
  <c r="AZ138" i="37"/>
  <c r="AV138" i="37"/>
  <c r="AR138" i="37"/>
  <c r="AN138" i="37"/>
  <c r="AJ138" i="37"/>
  <c r="AF138" i="37"/>
  <c r="AB138" i="37"/>
  <c r="X138" i="37"/>
  <c r="T138" i="37"/>
  <c r="P138" i="37"/>
  <c r="L138" i="37"/>
  <c r="BC138" i="37"/>
  <c r="AY138" i="37"/>
  <c r="AU138" i="37"/>
  <c r="AQ138" i="37"/>
  <c r="AM138" i="37"/>
  <c r="AI138" i="37"/>
  <c r="AE138" i="37"/>
  <c r="AA138" i="37"/>
  <c r="W138" i="37"/>
  <c r="S138" i="37"/>
  <c r="O138" i="37"/>
  <c r="K138" i="37"/>
  <c r="BB138" i="37"/>
  <c r="AL138" i="37"/>
  <c r="V138" i="37"/>
  <c r="AX138" i="37"/>
  <c r="AH138" i="37"/>
  <c r="R138" i="37"/>
  <c r="AT138" i="37"/>
  <c r="AD138" i="37"/>
  <c r="N138" i="37"/>
  <c r="AP138" i="37"/>
  <c r="Z138" i="37"/>
  <c r="J138" i="37"/>
  <c r="AU141" i="37"/>
  <c r="X141" i="37"/>
  <c r="BD141" i="37"/>
  <c r="AI141" i="37"/>
  <c r="T141" i="37"/>
  <c r="AZ141" i="37"/>
  <c r="U141" i="37"/>
  <c r="AK141" i="37"/>
  <c r="BA141" i="37"/>
  <c r="R141" i="37"/>
  <c r="AH141" i="37"/>
  <c r="BF149" i="37"/>
  <c r="N127" i="36"/>
  <c r="AB127" i="36"/>
  <c r="F148" i="36"/>
  <c r="G148" i="36" s="1"/>
  <c r="F149" i="36"/>
  <c r="G149" i="36" s="1"/>
  <c r="F141" i="36"/>
  <c r="G141" i="36" s="1"/>
  <c r="F147" i="36"/>
  <c r="G147" i="36" s="1"/>
  <c r="F146" i="36"/>
  <c r="G146" i="36" s="1"/>
  <c r="F143" i="36"/>
  <c r="G143" i="36" s="1"/>
  <c r="F144" i="36"/>
  <c r="G144" i="36" s="1"/>
  <c r="F145" i="36"/>
  <c r="G145" i="36" s="1"/>
  <c r="F142" i="36"/>
  <c r="G142" i="36" s="1"/>
  <c r="F140" i="36"/>
  <c r="G140" i="36" s="1"/>
  <c r="BC142" i="37"/>
  <c r="AY142" i="37"/>
  <c r="AU142" i="37"/>
  <c r="AQ142" i="37"/>
  <c r="AM142" i="37"/>
  <c r="AI142" i="37"/>
  <c r="AE142" i="37"/>
  <c r="AA142" i="37"/>
  <c r="W142" i="37"/>
  <c r="S142" i="37"/>
  <c r="O142" i="37"/>
  <c r="K142" i="37"/>
  <c r="BB142" i="37"/>
  <c r="AX142" i="37"/>
  <c r="AT142" i="37"/>
  <c r="AP142" i="37"/>
  <c r="AL142" i="37"/>
  <c r="AH142" i="37"/>
  <c r="AD142" i="37"/>
  <c r="Z142" i="37"/>
  <c r="V142" i="37"/>
  <c r="R142" i="37"/>
  <c r="N142" i="37"/>
  <c r="J142" i="37"/>
  <c r="BA142" i="37"/>
  <c r="AS142" i="37"/>
  <c r="AK142" i="37"/>
  <c r="AC142" i="37"/>
  <c r="U142" i="37"/>
  <c r="M142" i="37"/>
  <c r="AZ142" i="37"/>
  <c r="AR142" i="37"/>
  <c r="AJ142" i="37"/>
  <c r="AB142" i="37"/>
  <c r="T142" i="37"/>
  <c r="L142" i="37"/>
  <c r="BE142" i="37"/>
  <c r="AW142" i="37"/>
  <c r="AO142" i="37"/>
  <c r="AG142" i="37"/>
  <c r="Y142" i="37"/>
  <c r="Q142" i="37"/>
  <c r="I142" i="37"/>
  <c r="AV142" i="37"/>
  <c r="P142" i="37"/>
  <c r="AN142" i="37"/>
  <c r="AF142" i="37"/>
  <c r="BD142" i="37"/>
  <c r="X142" i="37"/>
  <c r="U133" i="37"/>
  <c r="Q133" i="37"/>
  <c r="AD133" i="37"/>
  <c r="AE133" i="37"/>
  <c r="P133" i="37"/>
  <c r="BF137" i="37"/>
  <c r="F63" i="37"/>
  <c r="F64" i="37"/>
  <c r="G62" i="37"/>
  <c r="BF129" i="37"/>
  <c r="BC131" i="37"/>
  <c r="AY131" i="37"/>
  <c r="AU131" i="37"/>
  <c r="AQ131" i="37"/>
  <c r="AM131" i="37"/>
  <c r="AI131" i="37"/>
  <c r="AE131" i="37"/>
  <c r="AA131" i="37"/>
  <c r="W131" i="37"/>
  <c r="S131" i="37"/>
  <c r="O131" i="37"/>
  <c r="K131" i="37"/>
  <c r="BB131" i="37"/>
  <c r="AX131" i="37"/>
  <c r="AT131" i="37"/>
  <c r="AP131" i="37"/>
  <c r="AL131" i="37"/>
  <c r="AH131" i="37"/>
  <c r="AD131" i="37"/>
  <c r="Z131" i="37"/>
  <c r="V131" i="37"/>
  <c r="R131" i="37"/>
  <c r="N131" i="37"/>
  <c r="J131" i="37"/>
  <c r="BE131" i="37"/>
  <c r="BA131" i="37"/>
  <c r="AW131" i="37"/>
  <c r="AS131" i="37"/>
  <c r="AO131" i="37"/>
  <c r="AK131" i="37"/>
  <c r="AG131" i="37"/>
  <c r="AC131" i="37"/>
  <c r="Y131" i="37"/>
  <c r="U131" i="37"/>
  <c r="Q131" i="37"/>
  <c r="M131" i="37"/>
  <c r="I131" i="37"/>
  <c r="BD131" i="37"/>
  <c r="AN131" i="37"/>
  <c r="X131" i="37"/>
  <c r="AZ131" i="37"/>
  <c r="AJ131" i="37"/>
  <c r="T131" i="37"/>
  <c r="AV131" i="37"/>
  <c r="AF131" i="37"/>
  <c r="P131" i="37"/>
  <c r="AR131" i="37"/>
  <c r="AB131" i="37"/>
  <c r="L131" i="37"/>
  <c r="BA133" i="37"/>
  <c r="Y133" i="37"/>
  <c r="AC133" i="37"/>
  <c r="AW133" i="37"/>
  <c r="V133" i="37"/>
  <c r="AL133" i="37"/>
  <c r="BB133" i="37"/>
  <c r="W133" i="37"/>
  <c r="AM133" i="37"/>
  <c r="BC133" i="37"/>
  <c r="X133" i="37"/>
  <c r="AN133" i="37"/>
  <c r="BD133" i="37"/>
  <c r="AN130" i="37"/>
  <c r="AB130" i="37"/>
  <c r="AJ130" i="37"/>
  <c r="M130" i="37"/>
  <c r="AC130" i="37"/>
  <c r="AS130" i="37"/>
  <c r="J130" i="37"/>
  <c r="Z130" i="37"/>
  <c r="AP130" i="37"/>
  <c r="K130" i="37"/>
  <c r="AA130" i="37"/>
  <c r="AQ130" i="37"/>
  <c r="BB145" i="37"/>
  <c r="AX145" i="37"/>
  <c r="AT145" i="37"/>
  <c r="AP145" i="37"/>
  <c r="AL145" i="37"/>
  <c r="AH145" i="37"/>
  <c r="AD145" i="37"/>
  <c r="Z145" i="37"/>
  <c r="V145" i="37"/>
  <c r="R145" i="37"/>
  <c r="N145" i="37"/>
  <c r="J145" i="37"/>
  <c r="BE145" i="37"/>
  <c r="BA145" i="37"/>
  <c r="AW145" i="37"/>
  <c r="AS145" i="37"/>
  <c r="AO145" i="37"/>
  <c r="AK145" i="37"/>
  <c r="AG145" i="37"/>
  <c r="AC145" i="37"/>
  <c r="Y145" i="37"/>
  <c r="U145" i="37"/>
  <c r="Q145" i="37"/>
  <c r="M145" i="37"/>
  <c r="I145" i="37"/>
  <c r="BD145" i="37"/>
  <c r="AZ145" i="37"/>
  <c r="AV145" i="37"/>
  <c r="AR145" i="37"/>
  <c r="AN145" i="37"/>
  <c r="AJ145" i="37"/>
  <c r="AF145" i="37"/>
  <c r="AB145" i="37"/>
  <c r="X145" i="37"/>
  <c r="T145" i="37"/>
  <c r="P145" i="37"/>
  <c r="L145" i="37"/>
  <c r="AY145" i="37"/>
  <c r="AI145" i="37"/>
  <c r="S145" i="37"/>
  <c r="AU145" i="37"/>
  <c r="AE145" i="37"/>
  <c r="O145" i="37"/>
  <c r="BC145" i="37"/>
  <c r="W145" i="37"/>
  <c r="AQ145" i="37"/>
  <c r="K145" i="37"/>
  <c r="AM145" i="37"/>
  <c r="AA145" i="37"/>
  <c r="BC136" i="37"/>
  <c r="AY136" i="37"/>
  <c r="AU136" i="37"/>
  <c r="AQ136" i="37"/>
  <c r="AM136" i="37"/>
  <c r="AI136" i="37"/>
  <c r="AE136" i="37"/>
  <c r="AA136" i="37"/>
  <c r="W136" i="37"/>
  <c r="S136" i="37"/>
  <c r="O136" i="37"/>
  <c r="K136" i="37"/>
  <c r="BB136" i="37"/>
  <c r="AX136" i="37"/>
  <c r="AT136" i="37"/>
  <c r="AP136" i="37"/>
  <c r="AL136" i="37"/>
  <c r="AH136" i="37"/>
  <c r="AD136" i="37"/>
  <c r="AZ136" i="37"/>
  <c r="AR136" i="37"/>
  <c r="AJ136" i="37"/>
  <c r="AB136" i="37"/>
  <c r="V136" i="37"/>
  <c r="Q136" i="37"/>
  <c r="L136" i="37"/>
  <c r="BE136" i="37"/>
  <c r="AW136" i="37"/>
  <c r="AO136" i="37"/>
  <c r="AG136" i="37"/>
  <c r="Z136" i="37"/>
  <c r="U136" i="37"/>
  <c r="P136" i="37"/>
  <c r="J136" i="37"/>
  <c r="BD136" i="37"/>
  <c r="AV136" i="37"/>
  <c r="AN136" i="37"/>
  <c r="AF136" i="37"/>
  <c r="Y136" i="37"/>
  <c r="T136" i="37"/>
  <c r="N136" i="37"/>
  <c r="I136" i="37"/>
  <c r="AC136" i="37"/>
  <c r="BA136" i="37"/>
  <c r="X136" i="37"/>
  <c r="AS136" i="37"/>
  <c r="R136" i="37"/>
  <c r="AK136" i="37"/>
  <c r="M136" i="37"/>
  <c r="AE141" i="37"/>
  <c r="W141" i="37"/>
  <c r="AF141" i="37"/>
  <c r="K141" i="37"/>
  <c r="AQ141" i="37"/>
  <c r="AB141" i="37"/>
  <c r="I141" i="37"/>
  <c r="BF141" i="37" s="1"/>
  <c r="Y141" i="37"/>
  <c r="AO141" i="37"/>
  <c r="BE141" i="37"/>
  <c r="V141" i="37"/>
  <c r="AL141" i="37"/>
  <c r="BB141" i="37"/>
  <c r="BF132" i="37"/>
  <c r="BE148" i="35"/>
  <c r="BA148" i="35"/>
  <c r="AW148" i="35"/>
  <c r="AS148" i="35"/>
  <c r="AO148" i="35"/>
  <c r="AK148" i="35"/>
  <c r="AG148" i="35"/>
  <c r="AC148" i="35"/>
  <c r="Y148" i="35"/>
  <c r="U148" i="35"/>
  <c r="Q148" i="35"/>
  <c r="M148" i="35"/>
  <c r="I148" i="35"/>
  <c r="BD148" i="35"/>
  <c r="AZ148" i="35"/>
  <c r="AV148" i="35"/>
  <c r="AR148" i="35"/>
  <c r="AN148" i="35"/>
  <c r="AJ148" i="35"/>
  <c r="AF148" i="35"/>
  <c r="AB148" i="35"/>
  <c r="X148" i="35"/>
  <c r="T148" i="35"/>
  <c r="P148" i="35"/>
  <c r="L148" i="35"/>
  <c r="BC148" i="35"/>
  <c r="AY148" i="35"/>
  <c r="AU148" i="35"/>
  <c r="AQ148" i="35"/>
  <c r="AM148" i="35"/>
  <c r="AI148" i="35"/>
  <c r="AE148" i="35"/>
  <c r="AA148" i="35"/>
  <c r="W148" i="35"/>
  <c r="S148" i="35"/>
  <c r="O148" i="35"/>
  <c r="K148" i="35"/>
  <c r="AP148" i="35"/>
  <c r="Z148" i="35"/>
  <c r="J148" i="35"/>
  <c r="BB148" i="35"/>
  <c r="AL148" i="35"/>
  <c r="V148" i="35"/>
  <c r="AD148" i="35"/>
  <c r="AX148" i="35"/>
  <c r="R148" i="35"/>
  <c r="AH148" i="35"/>
  <c r="N148" i="35"/>
  <c r="AT148" i="35"/>
  <c r="BA145" i="34"/>
  <c r="AW145" i="34"/>
  <c r="AK145" i="34"/>
  <c r="AG145" i="34"/>
  <c r="U145" i="34"/>
  <c r="Q145" i="34"/>
  <c r="AU145" i="34"/>
  <c r="AP145" i="34"/>
  <c r="Z145" i="34"/>
  <c r="T145" i="34"/>
  <c r="BD145" i="34"/>
  <c r="AY145" i="34"/>
  <c r="AI145" i="34"/>
  <c r="AD145" i="34"/>
  <c r="N145" i="34"/>
  <c r="I145" i="34"/>
  <c r="AR145" i="34"/>
  <c r="AM145" i="34"/>
  <c r="W145" i="34"/>
  <c r="R145" i="34"/>
  <c r="V145" i="34"/>
  <c r="AL145" i="34"/>
  <c r="AF145" i="34"/>
  <c r="K145" i="34"/>
  <c r="C63" i="34"/>
  <c r="C64" i="34"/>
  <c r="AC127" i="35"/>
  <c r="O127" i="35"/>
  <c r="AD127" i="35" s="1"/>
  <c r="G62" i="35"/>
  <c r="F64" i="35"/>
  <c r="F63" i="35"/>
  <c r="H144" i="33"/>
  <c r="H142" i="33"/>
  <c r="F132" i="33"/>
  <c r="G132" i="33" s="1"/>
  <c r="H145" i="33"/>
  <c r="F134" i="33"/>
  <c r="G134" i="33" s="1"/>
  <c r="H129" i="33"/>
  <c r="H147" i="33"/>
  <c r="H133" i="33"/>
  <c r="H148" i="33"/>
  <c r="H149" i="33"/>
  <c r="F136" i="33"/>
  <c r="G136" i="33" s="1"/>
  <c r="F130" i="33"/>
  <c r="G130" i="33" s="1"/>
  <c r="H135" i="33"/>
  <c r="H131" i="33"/>
  <c r="H140" i="33"/>
  <c r="H134" i="33"/>
  <c r="F129" i="33"/>
  <c r="G129" i="33" s="1"/>
  <c r="F133" i="33"/>
  <c r="G133" i="33" s="1"/>
  <c r="H136" i="33"/>
  <c r="H130" i="33"/>
  <c r="F135" i="33"/>
  <c r="G135" i="33" s="1"/>
  <c r="H146" i="33"/>
  <c r="H138" i="33"/>
  <c r="F131" i="33"/>
  <c r="G131" i="33" s="1"/>
  <c r="F137" i="33"/>
  <c r="G137" i="33" s="1"/>
  <c r="H132" i="33"/>
  <c r="H143" i="33"/>
  <c r="F138" i="33"/>
  <c r="G138" i="33" s="1"/>
  <c r="H141" i="33"/>
  <c r="H137" i="33"/>
  <c r="BD135" i="34"/>
  <c r="AZ135" i="34"/>
  <c r="AV135" i="34"/>
  <c r="AR135" i="34"/>
  <c r="AN135" i="34"/>
  <c r="AJ135" i="34"/>
  <c r="AF135" i="34"/>
  <c r="AB135" i="34"/>
  <c r="X135" i="34"/>
  <c r="T135" i="34"/>
  <c r="P135" i="34"/>
  <c r="L135" i="34"/>
  <c r="BC135" i="34"/>
  <c r="AY135" i="34"/>
  <c r="AU135" i="34"/>
  <c r="AQ135" i="34"/>
  <c r="AM135" i="34"/>
  <c r="AI135" i="34"/>
  <c r="AE135" i="34"/>
  <c r="AA135" i="34"/>
  <c r="W135" i="34"/>
  <c r="S135" i="34"/>
  <c r="O135" i="34"/>
  <c r="K135" i="34"/>
  <c r="BB135" i="34"/>
  <c r="AX135" i="34"/>
  <c r="AT135" i="34"/>
  <c r="AP135" i="34"/>
  <c r="AL135" i="34"/>
  <c r="AH135" i="34"/>
  <c r="AD135" i="34"/>
  <c r="Z135" i="34"/>
  <c r="V135" i="34"/>
  <c r="R135" i="34"/>
  <c r="N135" i="34"/>
  <c r="J135" i="34"/>
  <c r="BE135" i="34"/>
  <c r="AO135" i="34"/>
  <c r="Y135" i="34"/>
  <c r="I135" i="34"/>
  <c r="BA135" i="34"/>
  <c r="AK135" i="34"/>
  <c r="U135" i="34"/>
  <c r="AW135" i="34"/>
  <c r="AG135" i="34"/>
  <c r="Q135" i="34"/>
  <c r="AS135" i="34"/>
  <c r="AC135" i="34"/>
  <c r="M135" i="34"/>
  <c r="BC134" i="34"/>
  <c r="AY134" i="34"/>
  <c r="AU134" i="34"/>
  <c r="AQ134" i="34"/>
  <c r="AM134" i="34"/>
  <c r="AI134" i="34"/>
  <c r="AE134" i="34"/>
  <c r="AA134" i="34"/>
  <c r="W134" i="34"/>
  <c r="S134" i="34"/>
  <c r="O134" i="34"/>
  <c r="K134" i="34"/>
  <c r="BB134" i="34"/>
  <c r="AX134" i="34"/>
  <c r="AT134" i="34"/>
  <c r="AP134" i="34"/>
  <c r="AL134" i="34"/>
  <c r="AH134" i="34"/>
  <c r="AD134" i="34"/>
  <c r="Z134" i="34"/>
  <c r="V134" i="34"/>
  <c r="R134" i="34"/>
  <c r="N134" i="34"/>
  <c r="J134" i="34"/>
  <c r="BE134" i="34"/>
  <c r="BA134" i="34"/>
  <c r="AW134" i="34"/>
  <c r="AS134" i="34"/>
  <c r="AO134" i="34"/>
  <c r="AK134" i="34"/>
  <c r="AG134" i="34"/>
  <c r="AC134" i="34"/>
  <c r="Y134" i="34"/>
  <c r="U134" i="34"/>
  <c r="Q134" i="34"/>
  <c r="M134" i="34"/>
  <c r="I134" i="34"/>
  <c r="AZ134" i="34"/>
  <c r="AJ134" i="34"/>
  <c r="T134" i="34"/>
  <c r="AV134" i="34"/>
  <c r="AF134" i="34"/>
  <c r="P134" i="34"/>
  <c r="AR134" i="34"/>
  <c r="AB134" i="34"/>
  <c r="L134" i="34"/>
  <c r="X134" i="34"/>
  <c r="BD134" i="34"/>
  <c r="AN134" i="34"/>
  <c r="BE136" i="34"/>
  <c r="BA136" i="34"/>
  <c r="AW136" i="34"/>
  <c r="AS136" i="34"/>
  <c r="AO136" i="34"/>
  <c r="AK136" i="34"/>
  <c r="AG136" i="34"/>
  <c r="AC136" i="34"/>
  <c r="Y136" i="34"/>
  <c r="U136" i="34"/>
  <c r="Q136" i="34"/>
  <c r="M136" i="34"/>
  <c r="I136" i="34"/>
  <c r="BD136" i="34"/>
  <c r="AZ136" i="34"/>
  <c r="AV136" i="34"/>
  <c r="AR136" i="34"/>
  <c r="AN136" i="34"/>
  <c r="AJ136" i="34"/>
  <c r="AF136" i="34"/>
  <c r="AB136" i="34"/>
  <c r="X136" i="34"/>
  <c r="T136" i="34"/>
  <c r="P136" i="34"/>
  <c r="L136" i="34"/>
  <c r="BC136" i="34"/>
  <c r="AY136" i="34"/>
  <c r="AU136" i="34"/>
  <c r="AQ136" i="34"/>
  <c r="AM136" i="34"/>
  <c r="AI136" i="34"/>
  <c r="AE136" i="34"/>
  <c r="AA136" i="34"/>
  <c r="W136" i="34"/>
  <c r="S136" i="34"/>
  <c r="O136" i="34"/>
  <c r="K136" i="34"/>
  <c r="AP136" i="34"/>
  <c r="Z136" i="34"/>
  <c r="J136" i="34"/>
  <c r="BB136" i="34"/>
  <c r="AL136" i="34"/>
  <c r="V136" i="34"/>
  <c r="AX136" i="34"/>
  <c r="AH136" i="34"/>
  <c r="R136" i="34"/>
  <c r="AT136" i="34"/>
  <c r="AD136" i="34"/>
  <c r="N136" i="34"/>
  <c r="BC147" i="34"/>
  <c r="AY147" i="34"/>
  <c r="AU147" i="34"/>
  <c r="AQ147" i="34"/>
  <c r="AM147" i="34"/>
  <c r="AI147" i="34"/>
  <c r="AE147" i="34"/>
  <c r="AA147" i="34"/>
  <c r="W147" i="34"/>
  <c r="S147" i="34"/>
  <c r="O147" i="34"/>
  <c r="K147" i="34"/>
  <c r="BB147" i="34"/>
  <c r="AW147" i="34"/>
  <c r="AR147" i="34"/>
  <c r="AL147" i="34"/>
  <c r="AG147" i="34"/>
  <c r="AB147" i="34"/>
  <c r="V147" i="34"/>
  <c r="Q147" i="34"/>
  <c r="L147" i="34"/>
  <c r="BA147" i="34"/>
  <c r="AV147" i="34"/>
  <c r="AP147" i="34"/>
  <c r="AK147" i="34"/>
  <c r="AF147" i="34"/>
  <c r="Z147" i="34"/>
  <c r="U147" i="34"/>
  <c r="P147" i="34"/>
  <c r="J147" i="34"/>
  <c r="BE147" i="34"/>
  <c r="AZ147" i="34"/>
  <c r="AT147" i="34"/>
  <c r="AO147" i="34"/>
  <c r="AJ147" i="34"/>
  <c r="AD147" i="34"/>
  <c r="Y147" i="34"/>
  <c r="T147" i="34"/>
  <c r="N147" i="34"/>
  <c r="I147" i="34"/>
  <c r="AS147" i="34"/>
  <c r="X147" i="34"/>
  <c r="AN147" i="34"/>
  <c r="R147" i="34"/>
  <c r="BD147" i="34"/>
  <c r="AH147" i="34"/>
  <c r="M147" i="34"/>
  <c r="AX147" i="34"/>
  <c r="AC147" i="34"/>
  <c r="BE131" i="35"/>
  <c r="BA131" i="35"/>
  <c r="AW131" i="35"/>
  <c r="AS131" i="35"/>
  <c r="AO131" i="35"/>
  <c r="AK131" i="35"/>
  <c r="AG131" i="35"/>
  <c r="AC131" i="35"/>
  <c r="Y131" i="35"/>
  <c r="U131" i="35"/>
  <c r="Q131" i="35"/>
  <c r="M131" i="35"/>
  <c r="I131" i="35"/>
  <c r="BD131" i="35"/>
  <c r="AZ131" i="35"/>
  <c r="AV131" i="35"/>
  <c r="AR131" i="35"/>
  <c r="AN131" i="35"/>
  <c r="AJ131" i="35"/>
  <c r="AF131" i="35"/>
  <c r="AB131" i="35"/>
  <c r="X131" i="35"/>
  <c r="T131" i="35"/>
  <c r="P131" i="35"/>
  <c r="L131" i="35"/>
  <c r="BC131" i="35"/>
  <c r="AU131" i="35"/>
  <c r="AM131" i="35"/>
  <c r="AE131" i="35"/>
  <c r="W131" i="35"/>
  <c r="O131" i="35"/>
  <c r="BB131" i="35"/>
  <c r="AT131" i="35"/>
  <c r="AL131" i="35"/>
  <c r="AD131" i="35"/>
  <c r="V131" i="35"/>
  <c r="N131" i="35"/>
  <c r="AY131" i="35"/>
  <c r="AQ131" i="35"/>
  <c r="AI131" i="35"/>
  <c r="AA131" i="35"/>
  <c r="S131" i="35"/>
  <c r="K131" i="35"/>
  <c r="AX131" i="35"/>
  <c r="R131" i="35"/>
  <c r="AP131" i="35"/>
  <c r="J131" i="35"/>
  <c r="AH131" i="35"/>
  <c r="Z131" i="35"/>
  <c r="BD147" i="35"/>
  <c r="AZ147" i="35"/>
  <c r="AV147" i="35"/>
  <c r="AR147" i="35"/>
  <c r="AN147" i="35"/>
  <c r="AJ147" i="35"/>
  <c r="AF147" i="35"/>
  <c r="AB147" i="35"/>
  <c r="X147" i="35"/>
  <c r="T147" i="35"/>
  <c r="P147" i="35"/>
  <c r="L147" i="35"/>
  <c r="BC147" i="35"/>
  <c r="AY147" i="35"/>
  <c r="AU147" i="35"/>
  <c r="AQ147" i="35"/>
  <c r="AM147" i="35"/>
  <c r="AI147" i="35"/>
  <c r="AE147" i="35"/>
  <c r="AA147" i="35"/>
  <c r="W147" i="35"/>
  <c r="S147" i="35"/>
  <c r="O147" i="35"/>
  <c r="K147" i="35"/>
  <c r="BB147" i="35"/>
  <c r="AX147" i="35"/>
  <c r="AT147" i="35"/>
  <c r="AP147" i="35"/>
  <c r="AL147" i="35"/>
  <c r="AH147" i="35"/>
  <c r="AD147" i="35"/>
  <c r="Z147" i="35"/>
  <c r="V147" i="35"/>
  <c r="R147" i="35"/>
  <c r="N147" i="35"/>
  <c r="J147" i="35"/>
  <c r="BE147" i="35"/>
  <c r="AO147" i="35"/>
  <c r="Y147" i="35"/>
  <c r="I147" i="35"/>
  <c r="BA147" i="35"/>
  <c r="AK147" i="35"/>
  <c r="U147" i="35"/>
  <c r="AC147" i="35"/>
  <c r="AW147" i="35"/>
  <c r="Q147" i="35"/>
  <c r="AS147" i="35"/>
  <c r="AG147" i="35"/>
  <c r="M147" i="35"/>
  <c r="F148" i="35"/>
  <c r="G148" i="35" s="1"/>
  <c r="F147" i="35"/>
  <c r="G147" i="35" s="1"/>
  <c r="BD148" i="34"/>
  <c r="AZ148" i="34"/>
  <c r="AV148" i="34"/>
  <c r="AR148" i="34"/>
  <c r="AN148" i="34"/>
  <c r="AJ148" i="34"/>
  <c r="AF148" i="34"/>
  <c r="AB148" i="34"/>
  <c r="X148" i="34"/>
  <c r="T148" i="34"/>
  <c r="P148" i="34"/>
  <c r="L148" i="34"/>
  <c r="BE148" i="34"/>
  <c r="AY148" i="34"/>
  <c r="AT148" i="34"/>
  <c r="AO148" i="34"/>
  <c r="AI148" i="34"/>
  <c r="AD148" i="34"/>
  <c r="Y148" i="34"/>
  <c r="S148" i="34"/>
  <c r="N148" i="34"/>
  <c r="I148" i="34"/>
  <c r="BC148" i="34"/>
  <c r="AX148" i="34"/>
  <c r="AS148" i="34"/>
  <c r="AM148" i="34"/>
  <c r="AH148" i="34"/>
  <c r="AC148" i="34"/>
  <c r="W148" i="34"/>
  <c r="R148" i="34"/>
  <c r="M148" i="34"/>
  <c r="BB148" i="34"/>
  <c r="AW148" i="34"/>
  <c r="AQ148" i="34"/>
  <c r="AL148" i="34"/>
  <c r="AG148" i="34"/>
  <c r="AA148" i="34"/>
  <c r="V148" i="34"/>
  <c r="Q148" i="34"/>
  <c r="K148" i="34"/>
  <c r="AU148" i="34"/>
  <c r="Z148" i="34"/>
  <c r="AP148" i="34"/>
  <c r="U148" i="34"/>
  <c r="AK148" i="34"/>
  <c r="O148" i="34"/>
  <c r="BA148" i="34"/>
  <c r="AE148" i="34"/>
  <c r="J148" i="34"/>
  <c r="AW131" i="34"/>
  <c r="AG131" i="34"/>
  <c r="Q131" i="34"/>
  <c r="AZ131" i="34"/>
  <c r="AJ131" i="34"/>
  <c r="T131" i="34"/>
  <c r="AY131" i="34"/>
  <c r="AI131" i="34"/>
  <c r="S131" i="34"/>
  <c r="AD131" i="34"/>
  <c r="J131" i="34"/>
  <c r="R131" i="34"/>
  <c r="BE137" i="34"/>
  <c r="BA137" i="34"/>
  <c r="AY137" i="34"/>
  <c r="AT137" i="34"/>
  <c r="AH137" i="34"/>
  <c r="AD137" i="34"/>
  <c r="R137" i="34"/>
  <c r="N137" i="34"/>
  <c r="AX137" i="34"/>
  <c r="AS137" i="34"/>
  <c r="AG137" i="34"/>
  <c r="AC137" i="34"/>
  <c r="Q137" i="34"/>
  <c r="M137" i="34"/>
  <c r="AV137" i="34"/>
  <c r="AR137" i="34"/>
  <c r="AF137" i="34"/>
  <c r="AB137" i="34"/>
  <c r="P137" i="34"/>
  <c r="L137" i="34"/>
  <c r="K137" i="34"/>
  <c r="AM137" i="34"/>
  <c r="AI137" i="34"/>
  <c r="S137" i="34"/>
  <c r="AU137" i="34"/>
  <c r="BB141" i="34"/>
  <c r="AX141" i="34"/>
  <c r="AT141" i="34"/>
  <c r="AP141" i="34"/>
  <c r="AL141" i="34"/>
  <c r="AH141" i="34"/>
  <c r="AD141" i="34"/>
  <c r="Z141" i="34"/>
  <c r="V141" i="34"/>
  <c r="R141" i="34"/>
  <c r="N141" i="34"/>
  <c r="J141" i="34"/>
  <c r="BE141" i="34"/>
  <c r="BA141" i="34"/>
  <c r="AW141" i="34"/>
  <c r="AS141" i="34"/>
  <c r="AO141" i="34"/>
  <c r="AK141" i="34"/>
  <c r="AG141" i="34"/>
  <c r="AC141" i="34"/>
  <c r="Y141" i="34"/>
  <c r="U141" i="34"/>
  <c r="Q141" i="34"/>
  <c r="M141" i="34"/>
  <c r="I141" i="34"/>
  <c r="BD141" i="34"/>
  <c r="AZ141" i="34"/>
  <c r="AV141" i="34"/>
  <c r="AR141" i="34"/>
  <c r="AN141" i="34"/>
  <c r="AJ141" i="34"/>
  <c r="AF141" i="34"/>
  <c r="AB141" i="34"/>
  <c r="X141" i="34"/>
  <c r="T141" i="34"/>
  <c r="P141" i="34"/>
  <c r="L141" i="34"/>
  <c r="BC141" i="34"/>
  <c r="AM141" i="34"/>
  <c r="W141" i="34"/>
  <c r="AY141" i="34"/>
  <c r="AI141" i="34"/>
  <c r="S141" i="34"/>
  <c r="AU141" i="34"/>
  <c r="AE141" i="34"/>
  <c r="O141" i="34"/>
  <c r="AQ141" i="34"/>
  <c r="AA141" i="34"/>
  <c r="K141" i="34"/>
  <c r="AY135" i="35"/>
  <c r="AU135" i="35"/>
  <c r="AQ135" i="35"/>
  <c r="AX135" i="35"/>
  <c r="AS135" i="35"/>
  <c r="AN135" i="35"/>
  <c r="AF135" i="35"/>
  <c r="AB135" i="35"/>
  <c r="X135" i="35"/>
  <c r="P135" i="35"/>
  <c r="L135" i="35"/>
  <c r="BB135" i="35"/>
  <c r="AR135" i="35"/>
  <c r="AM135" i="35"/>
  <c r="AI135" i="35"/>
  <c r="AA135" i="35"/>
  <c r="W135" i="35"/>
  <c r="S135" i="35"/>
  <c r="K135" i="35"/>
  <c r="BE135" i="35"/>
  <c r="AT135" i="35"/>
  <c r="AC135" i="35"/>
  <c r="U135" i="35"/>
  <c r="M135" i="35"/>
  <c r="AP135" i="35"/>
  <c r="AH135" i="35"/>
  <c r="Z135" i="35"/>
  <c r="J135" i="35"/>
  <c r="AZ135" i="35"/>
  <c r="AO135" i="35"/>
  <c r="Y135" i="35"/>
  <c r="Q135" i="35"/>
  <c r="I135" i="35"/>
  <c r="N135" i="35"/>
  <c r="AL135" i="35"/>
  <c r="AD135" i="35"/>
  <c r="F144" i="35"/>
  <c r="G144" i="35" s="1"/>
  <c r="AT140" i="35"/>
  <c r="AP140" i="35"/>
  <c r="AD140" i="35"/>
  <c r="Z140" i="35"/>
  <c r="N140" i="35"/>
  <c r="J140" i="35"/>
  <c r="AW140" i="35"/>
  <c r="AS140" i="35"/>
  <c r="AG140" i="35"/>
  <c r="AC140" i="35"/>
  <c r="Q140" i="35"/>
  <c r="M140" i="35"/>
  <c r="AQ140" i="35"/>
  <c r="AI140" i="35"/>
  <c r="K140" i="35"/>
  <c r="BD140" i="35"/>
  <c r="AF140" i="35"/>
  <c r="X140" i="35"/>
  <c r="AE140" i="35"/>
  <c r="O140" i="35"/>
  <c r="L140" i="35"/>
  <c r="AZ140" i="35"/>
  <c r="AJ140" i="35"/>
  <c r="BC140" i="35"/>
  <c r="F140" i="35"/>
  <c r="G140" i="35" s="1"/>
  <c r="F145" i="35"/>
  <c r="G145" i="35" s="1"/>
  <c r="O127" i="33"/>
  <c r="AD127" i="33" s="1"/>
  <c r="AC127" i="33"/>
  <c r="N127" i="34"/>
  <c r="AB127" i="34"/>
  <c r="F129" i="34"/>
  <c r="G129" i="34" s="1"/>
  <c r="H138" i="34"/>
  <c r="H137" i="34"/>
  <c r="H131" i="34"/>
  <c r="H142" i="34"/>
  <c r="BE140" i="34"/>
  <c r="BA140" i="34"/>
  <c r="AW140" i="34"/>
  <c r="AS140" i="34"/>
  <c r="AO140" i="34"/>
  <c r="AK140" i="34"/>
  <c r="AG140" i="34"/>
  <c r="AC140" i="34"/>
  <c r="Y140" i="34"/>
  <c r="U140" i="34"/>
  <c r="Q140" i="34"/>
  <c r="M140" i="34"/>
  <c r="I140" i="34"/>
  <c r="BD140" i="34"/>
  <c r="AZ140" i="34"/>
  <c r="AV140" i="34"/>
  <c r="AR140" i="34"/>
  <c r="AN140" i="34"/>
  <c r="AJ140" i="34"/>
  <c r="AF140" i="34"/>
  <c r="AB140" i="34"/>
  <c r="X140" i="34"/>
  <c r="T140" i="34"/>
  <c r="P140" i="34"/>
  <c r="L140" i="34"/>
  <c r="BC140" i="34"/>
  <c r="AY140" i="34"/>
  <c r="AU140" i="34"/>
  <c r="AQ140" i="34"/>
  <c r="AM140" i="34"/>
  <c r="AI140" i="34"/>
  <c r="AE140" i="34"/>
  <c r="AA140" i="34"/>
  <c r="W140" i="34"/>
  <c r="S140" i="34"/>
  <c r="O140" i="34"/>
  <c r="K140" i="34"/>
  <c r="BB140" i="34"/>
  <c r="AL140" i="34"/>
  <c r="V140" i="34"/>
  <c r="AX140" i="34"/>
  <c r="AH140" i="34"/>
  <c r="R140" i="34"/>
  <c r="AT140" i="34"/>
  <c r="AD140" i="34"/>
  <c r="N140" i="34"/>
  <c r="J140" i="34"/>
  <c r="AP140" i="34"/>
  <c r="Z140" i="34"/>
  <c r="H145" i="34"/>
  <c r="F142" i="34"/>
  <c r="G142" i="34" s="1"/>
  <c r="H143" i="34"/>
  <c r="D62" i="34"/>
  <c r="H138" i="35"/>
  <c r="F130" i="35"/>
  <c r="G130" i="35" s="1"/>
  <c r="H132" i="35"/>
  <c r="AW132" i="35" s="1"/>
  <c r="H135" i="35"/>
  <c r="H140" i="35"/>
  <c r="F141" i="35"/>
  <c r="G141" i="35" s="1"/>
  <c r="H142" i="35"/>
  <c r="H144" i="35"/>
  <c r="H62" i="33"/>
  <c r="G64" i="33"/>
  <c r="G63" i="33"/>
  <c r="AB127" i="32"/>
  <c r="N127" i="32"/>
  <c r="BE130" i="34"/>
  <c r="BA130" i="34"/>
  <c r="AW130" i="34"/>
  <c r="AS130" i="34"/>
  <c r="AO130" i="34"/>
  <c r="AK130" i="34"/>
  <c r="AG130" i="34"/>
  <c r="AC130" i="34"/>
  <c r="Y130" i="34"/>
  <c r="U130" i="34"/>
  <c r="Q130" i="34"/>
  <c r="M130" i="34"/>
  <c r="I130" i="34"/>
  <c r="BE129" i="34"/>
  <c r="BA129" i="34"/>
  <c r="AW129" i="34"/>
  <c r="AS129" i="34"/>
  <c r="AO129" i="34"/>
  <c r="AK129" i="34"/>
  <c r="AG129" i="34"/>
  <c r="AC129" i="34"/>
  <c r="Y129" i="34"/>
  <c r="U129" i="34"/>
  <c r="Q129" i="34"/>
  <c r="M129" i="34"/>
  <c r="I129" i="34"/>
  <c r="BD130" i="34"/>
  <c r="AZ130" i="34"/>
  <c r="AV130" i="34"/>
  <c r="AR130" i="34"/>
  <c r="AN130" i="34"/>
  <c r="AJ130" i="34"/>
  <c r="AF130" i="34"/>
  <c r="AB130" i="34"/>
  <c r="X130" i="34"/>
  <c r="T130" i="34"/>
  <c r="P130" i="34"/>
  <c r="L130" i="34"/>
  <c r="BD129" i="34"/>
  <c r="AZ129" i="34"/>
  <c r="AV129" i="34"/>
  <c r="AR129" i="34"/>
  <c r="AN129" i="34"/>
  <c r="AJ129" i="34"/>
  <c r="AF129" i="34"/>
  <c r="AB129" i="34"/>
  <c r="X129" i="34"/>
  <c r="T129" i="34"/>
  <c r="P129" i="34"/>
  <c r="L129" i="34"/>
  <c r="BC130" i="34"/>
  <c r="AY130" i="34"/>
  <c r="AU130" i="34"/>
  <c r="AQ130" i="34"/>
  <c r="AM130" i="34"/>
  <c r="AI130" i="34"/>
  <c r="AE130" i="34"/>
  <c r="AA130" i="34"/>
  <c r="W130" i="34"/>
  <c r="S130" i="34"/>
  <c r="O130" i="34"/>
  <c r="K130" i="34"/>
  <c r="BC129" i="34"/>
  <c r="AY129" i="34"/>
  <c r="AU129" i="34"/>
  <c r="AQ129" i="34"/>
  <c r="AM129" i="34"/>
  <c r="AI129" i="34"/>
  <c r="AE129" i="34"/>
  <c r="AA129" i="34"/>
  <c r="W129" i="34"/>
  <c r="S129" i="34"/>
  <c r="O129" i="34"/>
  <c r="K129" i="34"/>
  <c r="AT130" i="34"/>
  <c r="AD130" i="34"/>
  <c r="N130" i="34"/>
  <c r="AT129" i="34"/>
  <c r="AD129" i="34"/>
  <c r="N129" i="34"/>
  <c r="AP130" i="34"/>
  <c r="Z130" i="34"/>
  <c r="J130" i="34"/>
  <c r="AP129" i="34"/>
  <c r="Z129" i="34"/>
  <c r="J129" i="34"/>
  <c r="BB130" i="34"/>
  <c r="AL130" i="34"/>
  <c r="V130" i="34"/>
  <c r="BB129" i="34"/>
  <c r="AL129" i="34"/>
  <c r="V129" i="34"/>
  <c r="AH130" i="34"/>
  <c r="AX129" i="34"/>
  <c r="R130" i="34"/>
  <c r="AH129" i="34"/>
  <c r="R129" i="34"/>
  <c r="AX130" i="34"/>
  <c r="BE149" i="34"/>
  <c r="BA149" i="34"/>
  <c r="AW149" i="34"/>
  <c r="AS149" i="34"/>
  <c r="AO149" i="34"/>
  <c r="AK149" i="34"/>
  <c r="AG149" i="34"/>
  <c r="AC149" i="34"/>
  <c r="Y149" i="34"/>
  <c r="U149" i="34"/>
  <c r="Q149" i="34"/>
  <c r="M149" i="34"/>
  <c r="I149" i="34"/>
  <c r="BB149" i="34"/>
  <c r="AV149" i="34"/>
  <c r="AQ149" i="34"/>
  <c r="AL149" i="34"/>
  <c r="AF149" i="34"/>
  <c r="AA149" i="34"/>
  <c r="V149" i="34"/>
  <c r="P149" i="34"/>
  <c r="K149" i="34"/>
  <c r="AZ149" i="34"/>
  <c r="AU149" i="34"/>
  <c r="AP149" i="34"/>
  <c r="AJ149" i="34"/>
  <c r="AE149" i="34"/>
  <c r="Z149" i="34"/>
  <c r="T149" i="34"/>
  <c r="O149" i="34"/>
  <c r="J149" i="34"/>
  <c r="BD149" i="34"/>
  <c r="AY149" i="34"/>
  <c r="AT149" i="34"/>
  <c r="AN149" i="34"/>
  <c r="AI149" i="34"/>
  <c r="AD149" i="34"/>
  <c r="X149" i="34"/>
  <c r="S149" i="34"/>
  <c r="N149" i="34"/>
  <c r="AR149" i="34"/>
  <c r="W149" i="34"/>
  <c r="AM149" i="34"/>
  <c r="R149" i="34"/>
  <c r="BC149" i="34"/>
  <c r="AH149" i="34"/>
  <c r="L149" i="34"/>
  <c r="AB149" i="34"/>
  <c r="AX149" i="34"/>
  <c r="E64" i="34"/>
  <c r="F62" i="34"/>
  <c r="E63" i="34"/>
  <c r="AX138" i="35"/>
  <c r="AT138" i="35"/>
  <c r="AP138" i="35"/>
  <c r="AH138" i="35"/>
  <c r="AD138" i="35"/>
  <c r="Z138" i="35"/>
  <c r="R138" i="35"/>
  <c r="N138" i="35"/>
  <c r="J138" i="35"/>
  <c r="BA138" i="35"/>
  <c r="AW138" i="35"/>
  <c r="AS138" i="35"/>
  <c r="AK138" i="35"/>
  <c r="AG138" i="35"/>
  <c r="AC138" i="35"/>
  <c r="AQ138" i="35"/>
  <c r="AI138" i="35"/>
  <c r="AA138" i="35"/>
  <c r="P138" i="35"/>
  <c r="K138" i="35"/>
  <c r="BD138" i="35"/>
  <c r="AN138" i="35"/>
  <c r="AF138" i="35"/>
  <c r="Y138" i="35"/>
  <c r="O138" i="35"/>
  <c r="I138" i="35"/>
  <c r="AR138" i="35"/>
  <c r="Q138" i="35"/>
  <c r="BC138" i="35"/>
  <c r="AM138" i="35"/>
  <c r="M138" i="35"/>
  <c r="AZ138" i="35"/>
  <c r="AJ138" i="35"/>
  <c r="L138" i="35"/>
  <c r="AE138" i="35"/>
  <c r="S138" i="35"/>
  <c r="BE137" i="35"/>
  <c r="BA137" i="35"/>
  <c r="AW137" i="35"/>
  <c r="AS137" i="35"/>
  <c r="AO137" i="35"/>
  <c r="AK137" i="35"/>
  <c r="AG137" i="35"/>
  <c r="AC137" i="35"/>
  <c r="Y137" i="35"/>
  <c r="U137" i="35"/>
  <c r="Q137" i="35"/>
  <c r="M137" i="35"/>
  <c r="I137" i="35"/>
  <c r="BC137" i="35"/>
  <c r="AX137" i="35"/>
  <c r="AR137" i="35"/>
  <c r="AM137" i="35"/>
  <c r="AH137" i="35"/>
  <c r="AB137" i="35"/>
  <c r="W137" i="35"/>
  <c r="R137" i="35"/>
  <c r="L137" i="35"/>
  <c r="BB137" i="35"/>
  <c r="AV137" i="35"/>
  <c r="AQ137" i="35"/>
  <c r="AL137" i="35"/>
  <c r="AF137" i="35"/>
  <c r="AA137" i="35"/>
  <c r="V137" i="35"/>
  <c r="P137" i="35"/>
  <c r="K137" i="35"/>
  <c r="BD137" i="35"/>
  <c r="AT137" i="35"/>
  <c r="AI137" i="35"/>
  <c r="X137" i="35"/>
  <c r="N137" i="35"/>
  <c r="AZ137" i="35"/>
  <c r="AP137" i="35"/>
  <c r="AE137" i="35"/>
  <c r="T137" i="35"/>
  <c r="J137" i="35"/>
  <c r="AY137" i="35"/>
  <c r="AN137" i="35"/>
  <c r="AD137" i="35"/>
  <c r="S137" i="35"/>
  <c r="Z137" i="35"/>
  <c r="O137" i="35"/>
  <c r="AU137" i="35"/>
  <c r="AJ137" i="35"/>
  <c r="BB149" i="35"/>
  <c r="AX149" i="35"/>
  <c r="AT149" i="35"/>
  <c r="AP149" i="35"/>
  <c r="AL149" i="35"/>
  <c r="AH149" i="35"/>
  <c r="AD149" i="35"/>
  <c r="Z149" i="35"/>
  <c r="V149" i="35"/>
  <c r="R149" i="35"/>
  <c r="N149" i="35"/>
  <c r="J149" i="35"/>
  <c r="BE149" i="35"/>
  <c r="BA149" i="35"/>
  <c r="AW149" i="35"/>
  <c r="AS149" i="35"/>
  <c r="AO149" i="35"/>
  <c r="AK149" i="35"/>
  <c r="AG149" i="35"/>
  <c r="AC149" i="35"/>
  <c r="Y149" i="35"/>
  <c r="U149" i="35"/>
  <c r="Q149" i="35"/>
  <c r="M149" i="35"/>
  <c r="I149" i="35"/>
  <c r="BD149" i="35"/>
  <c r="AZ149" i="35"/>
  <c r="AV149" i="35"/>
  <c r="AR149" i="35"/>
  <c r="AN149" i="35"/>
  <c r="AJ149" i="35"/>
  <c r="AF149" i="35"/>
  <c r="AB149" i="35"/>
  <c r="X149" i="35"/>
  <c r="T149" i="35"/>
  <c r="P149" i="35"/>
  <c r="L149" i="35"/>
  <c r="AU149" i="35"/>
  <c r="AQ149" i="35"/>
  <c r="AA149" i="35"/>
  <c r="K149" i="35"/>
  <c r="BC149" i="35"/>
  <c r="AM149" i="35"/>
  <c r="W149" i="35"/>
  <c r="AE149" i="35"/>
  <c r="S149" i="35"/>
  <c r="O149" i="35"/>
  <c r="AY149" i="35"/>
  <c r="AI149" i="35"/>
  <c r="C62" i="35"/>
  <c r="D62" i="35"/>
  <c r="H149" i="32"/>
  <c r="H141" i="32"/>
  <c r="F132" i="32"/>
  <c r="G132" i="32" s="1"/>
  <c r="H146" i="32"/>
  <c r="F137" i="32"/>
  <c r="G137" i="32" s="1"/>
  <c r="H132" i="32"/>
  <c r="F135" i="32"/>
  <c r="G135" i="32" s="1"/>
  <c r="H144" i="32"/>
  <c r="H129" i="32"/>
  <c r="F136" i="32"/>
  <c r="G136" i="32" s="1"/>
  <c r="F130" i="32"/>
  <c r="G130" i="32" s="1"/>
  <c r="H142" i="32"/>
  <c r="F133" i="32"/>
  <c r="G133" i="32" s="1"/>
  <c r="H136" i="32"/>
  <c r="H130" i="32"/>
  <c r="H138" i="32"/>
  <c r="F131" i="32"/>
  <c r="G131" i="32" s="1"/>
  <c r="H135" i="32"/>
  <c r="H147" i="32"/>
  <c r="F138" i="32"/>
  <c r="G138" i="32" s="1"/>
  <c r="H131" i="32"/>
  <c r="F129" i="32"/>
  <c r="G129" i="32" s="1"/>
  <c r="H137" i="32"/>
  <c r="H148" i="32"/>
  <c r="H145" i="32"/>
  <c r="H134" i="32"/>
  <c r="H143" i="32"/>
  <c r="F134" i="32"/>
  <c r="G134" i="32" s="1"/>
  <c r="H140" i="32"/>
  <c r="H133" i="32"/>
  <c r="C64" i="33"/>
  <c r="C63" i="33"/>
  <c r="H62" i="32"/>
  <c r="G64" i="32"/>
  <c r="G63" i="32"/>
  <c r="F130" i="34"/>
  <c r="G130" i="34" s="1"/>
  <c r="H132" i="34"/>
  <c r="F133" i="34"/>
  <c r="G133" i="34" s="1"/>
  <c r="BC134" i="35"/>
  <c r="AY134" i="35"/>
  <c r="AU134" i="35"/>
  <c r="AQ134" i="35"/>
  <c r="AM134" i="35"/>
  <c r="AI134" i="35"/>
  <c r="AE134" i="35"/>
  <c r="AA134" i="35"/>
  <c r="W134" i="35"/>
  <c r="S134" i="35"/>
  <c r="O134" i="35"/>
  <c r="K134" i="35"/>
  <c r="BB134" i="35"/>
  <c r="AX134" i="35"/>
  <c r="AT134" i="35"/>
  <c r="AP134" i="35"/>
  <c r="AL134" i="35"/>
  <c r="AH134" i="35"/>
  <c r="AD134" i="35"/>
  <c r="Z134" i="35"/>
  <c r="V134" i="35"/>
  <c r="R134" i="35"/>
  <c r="N134" i="35"/>
  <c r="J134" i="35"/>
  <c r="BA134" i="35"/>
  <c r="AS134" i="35"/>
  <c r="AK134" i="35"/>
  <c r="AC134" i="35"/>
  <c r="U134" i="35"/>
  <c r="M134" i="35"/>
  <c r="AZ134" i="35"/>
  <c r="AR134" i="35"/>
  <c r="AJ134" i="35"/>
  <c r="AB134" i="35"/>
  <c r="T134" i="35"/>
  <c r="L134" i="35"/>
  <c r="BE134" i="35"/>
  <c r="AW134" i="35"/>
  <c r="AO134" i="35"/>
  <c r="AG134" i="35"/>
  <c r="Y134" i="35"/>
  <c r="Q134" i="35"/>
  <c r="I134" i="35"/>
  <c r="BD134" i="35"/>
  <c r="X134" i="35"/>
  <c r="AV134" i="35"/>
  <c r="P134" i="35"/>
  <c r="AN134" i="35"/>
  <c r="AF134" i="35"/>
  <c r="BE130" i="35"/>
  <c r="BA130" i="35"/>
  <c r="AW130" i="35"/>
  <c r="AS130" i="35"/>
  <c r="AO130" i="35"/>
  <c r="AK130" i="35"/>
  <c r="AG130" i="35"/>
  <c r="AC130" i="35"/>
  <c r="Y130" i="35"/>
  <c r="U130" i="35"/>
  <c r="Q130" i="35"/>
  <c r="M130" i="35"/>
  <c r="I130" i="35"/>
  <c r="BE129" i="35"/>
  <c r="BA129" i="35"/>
  <c r="AW129" i="35"/>
  <c r="AS129" i="35"/>
  <c r="AO129" i="35"/>
  <c r="AK129" i="35"/>
  <c r="AG129" i="35"/>
  <c r="AC129" i="35"/>
  <c r="Y129" i="35"/>
  <c r="U129" i="35"/>
  <c r="Q129" i="35"/>
  <c r="M129" i="35"/>
  <c r="I129" i="35"/>
  <c r="BD130" i="35"/>
  <c r="AZ130" i="35"/>
  <c r="AV130" i="35"/>
  <c r="AR130" i="35"/>
  <c r="AN130" i="35"/>
  <c r="AJ130" i="35"/>
  <c r="AF130" i="35"/>
  <c r="AB130" i="35"/>
  <c r="X130" i="35"/>
  <c r="T130" i="35"/>
  <c r="P130" i="35"/>
  <c r="L130" i="35"/>
  <c r="BD129" i="35"/>
  <c r="AZ129" i="35"/>
  <c r="AV129" i="35"/>
  <c r="AR129" i="35"/>
  <c r="AN129" i="35"/>
  <c r="AJ129" i="35"/>
  <c r="AF129" i="35"/>
  <c r="AB129" i="35"/>
  <c r="X129" i="35"/>
  <c r="T129" i="35"/>
  <c r="P129" i="35"/>
  <c r="L129" i="35"/>
  <c r="AX130" i="35"/>
  <c r="AP130" i="35"/>
  <c r="AH130" i="35"/>
  <c r="Z130" i="35"/>
  <c r="R130" i="35"/>
  <c r="J130" i="35"/>
  <c r="AY129" i="35"/>
  <c r="AQ129" i="35"/>
  <c r="AI129" i="35"/>
  <c r="AA129" i="35"/>
  <c r="S129" i="35"/>
  <c r="K129" i="35"/>
  <c r="BC130" i="35"/>
  <c r="AU130" i="35"/>
  <c r="AM130" i="35"/>
  <c r="AE130" i="35"/>
  <c r="W130" i="35"/>
  <c r="O130" i="35"/>
  <c r="AX129" i="35"/>
  <c r="AP129" i="35"/>
  <c r="AH129" i="35"/>
  <c r="Z129" i="35"/>
  <c r="R129" i="35"/>
  <c r="J129" i="35"/>
  <c r="BB130" i="35"/>
  <c r="AT130" i="35"/>
  <c r="AL130" i="35"/>
  <c r="AD130" i="35"/>
  <c r="V130" i="35"/>
  <c r="N130" i="35"/>
  <c r="BC129" i="35"/>
  <c r="AU129" i="35"/>
  <c r="AM129" i="35"/>
  <c r="AE129" i="35"/>
  <c r="W129" i="35"/>
  <c r="O129" i="35"/>
  <c r="AY130" i="35"/>
  <c r="S130" i="35"/>
  <c r="BB129" i="35"/>
  <c r="V129" i="35"/>
  <c r="AQ130" i="35"/>
  <c r="K130" i="35"/>
  <c r="AT129" i="35"/>
  <c r="N129" i="35"/>
  <c r="AI130" i="35"/>
  <c r="AL129" i="35"/>
  <c r="AA130" i="35"/>
  <c r="AD129" i="35"/>
  <c r="F142" i="35"/>
  <c r="G142" i="35" s="1"/>
  <c r="F143" i="35"/>
  <c r="G143" i="35" s="1"/>
  <c r="BE144" i="35"/>
  <c r="BD144" i="35"/>
  <c r="AZ144" i="35"/>
  <c r="AV144" i="35"/>
  <c r="AR144" i="35"/>
  <c r="AN144" i="35"/>
  <c r="AJ144" i="35"/>
  <c r="AF144" i="35"/>
  <c r="AB144" i="35"/>
  <c r="X144" i="35"/>
  <c r="T144" i="35"/>
  <c r="P144" i="35"/>
  <c r="L144" i="35"/>
  <c r="BC144" i="35"/>
  <c r="AY144" i="35"/>
  <c r="AU144" i="35"/>
  <c r="AQ144" i="35"/>
  <c r="AM144" i="35"/>
  <c r="AI144" i="35"/>
  <c r="AE144" i="35"/>
  <c r="AA144" i="35"/>
  <c r="W144" i="35"/>
  <c r="S144" i="35"/>
  <c r="O144" i="35"/>
  <c r="K144" i="35"/>
  <c r="AX144" i="35"/>
  <c r="AP144" i="35"/>
  <c r="AH144" i="35"/>
  <c r="Z144" i="35"/>
  <c r="R144" i="35"/>
  <c r="J144" i="35"/>
  <c r="AW144" i="35"/>
  <c r="AO144" i="35"/>
  <c r="AG144" i="35"/>
  <c r="Y144" i="35"/>
  <c r="Q144" i="35"/>
  <c r="I144" i="35"/>
  <c r="BA144" i="35"/>
  <c r="AK144" i="35"/>
  <c r="U144" i="35"/>
  <c r="AT144" i="35"/>
  <c r="AD144" i="35"/>
  <c r="N144" i="35"/>
  <c r="AC144" i="35"/>
  <c r="BB144" i="35"/>
  <c r="V144" i="35"/>
  <c r="AS144" i="35"/>
  <c r="AL144" i="35"/>
  <c r="M144" i="35"/>
  <c r="BC146" i="35"/>
  <c r="AY146" i="35"/>
  <c r="AU146" i="35"/>
  <c r="AQ146" i="35"/>
  <c r="AM146" i="35"/>
  <c r="AI146" i="35"/>
  <c r="AE146" i="35"/>
  <c r="AA146" i="35"/>
  <c r="W146" i="35"/>
  <c r="S146" i="35"/>
  <c r="O146" i="35"/>
  <c r="K146" i="35"/>
  <c r="BB146" i="35"/>
  <c r="AX146" i="35"/>
  <c r="AT146" i="35"/>
  <c r="AP146" i="35"/>
  <c r="AL146" i="35"/>
  <c r="AH146" i="35"/>
  <c r="AD146" i="35"/>
  <c r="Z146" i="35"/>
  <c r="V146" i="35"/>
  <c r="R146" i="35"/>
  <c r="N146" i="35"/>
  <c r="J146" i="35"/>
  <c r="BE146" i="35"/>
  <c r="BA146" i="35"/>
  <c r="AW146" i="35"/>
  <c r="AS146" i="35"/>
  <c r="AO146" i="35"/>
  <c r="AK146" i="35"/>
  <c r="AG146" i="35"/>
  <c r="AC146" i="35"/>
  <c r="Y146" i="35"/>
  <c r="U146" i="35"/>
  <c r="Q146" i="35"/>
  <c r="M146" i="35"/>
  <c r="I146" i="35"/>
  <c r="AZ146" i="35"/>
  <c r="AJ146" i="35"/>
  <c r="T146" i="35"/>
  <c r="AV146" i="35"/>
  <c r="AF146" i="35"/>
  <c r="P146" i="35"/>
  <c r="AB146" i="35"/>
  <c r="BD146" i="35"/>
  <c r="X146" i="35"/>
  <c r="AR146" i="35"/>
  <c r="AN146" i="35"/>
  <c r="L146" i="35"/>
  <c r="F146" i="35"/>
  <c r="G146" i="35" s="1"/>
  <c r="AR147" i="31"/>
  <c r="AB147" i="31"/>
  <c r="L147" i="31"/>
  <c r="AP147" i="31"/>
  <c r="Z147" i="31"/>
  <c r="J147" i="31"/>
  <c r="AG147" i="31"/>
  <c r="BC147" i="31"/>
  <c r="W147" i="31"/>
  <c r="AK147" i="31"/>
  <c r="AY147" i="31"/>
  <c r="AI147" i="31"/>
  <c r="BB149" i="31"/>
  <c r="AX149" i="31"/>
  <c r="AT149" i="31"/>
  <c r="AP149" i="31"/>
  <c r="AL149" i="31"/>
  <c r="AH149" i="31"/>
  <c r="AD149" i="31"/>
  <c r="Z149" i="31"/>
  <c r="V149" i="31"/>
  <c r="R149" i="31"/>
  <c r="N149" i="31"/>
  <c r="J149" i="31"/>
  <c r="BD149" i="31"/>
  <c r="AZ149" i="31"/>
  <c r="AV149" i="31"/>
  <c r="AR149" i="31"/>
  <c r="AN149" i="31"/>
  <c r="AJ149" i="31"/>
  <c r="AF149" i="31"/>
  <c r="AB149" i="31"/>
  <c r="X149" i="31"/>
  <c r="T149" i="31"/>
  <c r="P149" i="31"/>
  <c r="L149" i="31"/>
  <c r="BC149" i="31"/>
  <c r="AU149" i="31"/>
  <c r="AM149" i="31"/>
  <c r="AE149" i="31"/>
  <c r="W149" i="31"/>
  <c r="O149" i="31"/>
  <c r="BA149" i="31"/>
  <c r="AS149" i="31"/>
  <c r="AK149" i="31"/>
  <c r="AC149" i="31"/>
  <c r="U149" i="31"/>
  <c r="M149" i="31"/>
  <c r="AY149" i="31"/>
  <c r="AQ149" i="31"/>
  <c r="AI149" i="31"/>
  <c r="AA149" i="31"/>
  <c r="S149" i="31"/>
  <c r="K149" i="31"/>
  <c r="AO149" i="31"/>
  <c r="I149" i="31"/>
  <c r="AG149" i="31"/>
  <c r="BE149" i="31"/>
  <c r="Y149" i="31"/>
  <c r="AW149" i="31"/>
  <c r="Q149" i="31"/>
  <c r="D64" i="31"/>
  <c r="D63" i="31"/>
  <c r="H135" i="30"/>
  <c r="H132" i="30"/>
  <c r="F129" i="30"/>
  <c r="G129" i="30" s="1"/>
  <c r="F131" i="30"/>
  <c r="G131" i="30" s="1"/>
  <c r="H140" i="30"/>
  <c r="H138" i="30"/>
  <c r="H145" i="30"/>
  <c r="H143" i="30"/>
  <c r="F134" i="30"/>
  <c r="G134" i="30" s="1"/>
  <c r="H149" i="30"/>
  <c r="H146" i="30"/>
  <c r="H142" i="30"/>
  <c r="F133" i="30"/>
  <c r="G133" i="30" s="1"/>
  <c r="F138" i="30"/>
  <c r="G138" i="30" s="1"/>
  <c r="H131" i="30"/>
  <c r="H147" i="30"/>
  <c r="H137" i="30"/>
  <c r="H133" i="30"/>
  <c r="F136" i="30"/>
  <c r="G136" i="30" s="1"/>
  <c r="H148" i="30"/>
  <c r="H129" i="30"/>
  <c r="H134" i="30"/>
  <c r="H136" i="30"/>
  <c r="H130" i="30"/>
  <c r="F135" i="30"/>
  <c r="G135" i="30" s="1"/>
  <c r="H144" i="30"/>
  <c r="F132" i="30"/>
  <c r="G132" i="30" s="1"/>
  <c r="F130" i="30"/>
  <c r="G130" i="30" s="1"/>
  <c r="F137" i="30"/>
  <c r="G137" i="30" s="1"/>
  <c r="H141" i="30"/>
  <c r="F137" i="31"/>
  <c r="G137" i="31" s="1"/>
  <c r="H129" i="31"/>
  <c r="F130" i="31"/>
  <c r="G130" i="31" s="1"/>
  <c r="F136" i="31"/>
  <c r="G136" i="31" s="1"/>
  <c r="F135" i="31"/>
  <c r="G135" i="31" s="1"/>
  <c r="H130" i="31"/>
  <c r="H136" i="31"/>
  <c r="H144" i="31"/>
  <c r="F148" i="31"/>
  <c r="G148" i="31" s="1"/>
  <c r="H145" i="31"/>
  <c r="H147" i="31"/>
  <c r="AZ147" i="31" s="1"/>
  <c r="G63" i="30"/>
  <c r="G64" i="30"/>
  <c r="H62" i="30"/>
  <c r="C63" i="31"/>
  <c r="C64" i="31"/>
  <c r="AY135" i="31"/>
  <c r="AI135" i="31"/>
  <c r="S135" i="31"/>
  <c r="AX135" i="31"/>
  <c r="AH135" i="31"/>
  <c r="R135" i="31"/>
  <c r="BA135" i="31"/>
  <c r="AK135" i="31"/>
  <c r="U135" i="31"/>
  <c r="AR135" i="31"/>
  <c r="AN135" i="31"/>
  <c r="T135" i="31"/>
  <c r="BB134" i="31"/>
  <c r="AX134" i="31"/>
  <c r="AT134" i="31"/>
  <c r="AP134" i="31"/>
  <c r="AL134" i="31"/>
  <c r="AH134" i="31"/>
  <c r="AD134" i="31"/>
  <c r="Z134" i="31"/>
  <c r="V134" i="31"/>
  <c r="R134" i="31"/>
  <c r="N134" i="31"/>
  <c r="J134" i="31"/>
  <c r="BE134" i="31"/>
  <c r="BA134" i="31"/>
  <c r="AW134" i="31"/>
  <c r="AS134" i="31"/>
  <c r="AO134" i="31"/>
  <c r="AK134" i="31"/>
  <c r="AG134" i="31"/>
  <c r="AC134" i="31"/>
  <c r="Y134" i="31"/>
  <c r="U134" i="31"/>
  <c r="Q134" i="31"/>
  <c r="M134" i="31"/>
  <c r="I134" i="31"/>
  <c r="BD134" i="31"/>
  <c r="AZ134" i="31"/>
  <c r="AV134" i="31"/>
  <c r="AR134" i="31"/>
  <c r="AN134" i="31"/>
  <c r="AJ134" i="31"/>
  <c r="AF134" i="31"/>
  <c r="AB134" i="31"/>
  <c r="X134" i="31"/>
  <c r="T134" i="31"/>
  <c r="P134" i="31"/>
  <c r="L134" i="31"/>
  <c r="BC134" i="31"/>
  <c r="AM134" i="31"/>
  <c r="W134" i="31"/>
  <c r="AY134" i="31"/>
  <c r="AI134" i="31"/>
  <c r="S134" i="31"/>
  <c r="AU134" i="31"/>
  <c r="AE134" i="31"/>
  <c r="O134" i="31"/>
  <c r="AQ134" i="31"/>
  <c r="K134" i="31"/>
  <c r="AA134" i="31"/>
  <c r="BE144" i="31"/>
  <c r="BA144" i="31"/>
  <c r="AW144" i="31"/>
  <c r="AS144" i="31"/>
  <c r="AO144" i="31"/>
  <c r="AK144" i="31"/>
  <c r="AG144" i="31"/>
  <c r="AC144" i="31"/>
  <c r="Y144" i="31"/>
  <c r="U144" i="31"/>
  <c r="Q144" i="31"/>
  <c r="M144" i="31"/>
  <c r="I144" i="31"/>
  <c r="BC144" i="31"/>
  <c r="AY144" i="31"/>
  <c r="AU144" i="31"/>
  <c r="AQ144" i="31"/>
  <c r="AM144" i="31"/>
  <c r="AI144" i="31"/>
  <c r="AE144" i="31"/>
  <c r="AA144" i="31"/>
  <c r="W144" i="31"/>
  <c r="S144" i="31"/>
  <c r="O144" i="31"/>
  <c r="K144" i="31"/>
  <c r="AZ144" i="31"/>
  <c r="AR144" i="31"/>
  <c r="AJ144" i="31"/>
  <c r="AB144" i="31"/>
  <c r="T144" i="31"/>
  <c r="L144" i="31"/>
  <c r="AX144" i="31"/>
  <c r="AP144" i="31"/>
  <c r="AH144" i="31"/>
  <c r="Z144" i="31"/>
  <c r="R144" i="31"/>
  <c r="J144" i="31"/>
  <c r="BD144" i="31"/>
  <c r="AV144" i="31"/>
  <c r="AN144" i="31"/>
  <c r="AF144" i="31"/>
  <c r="X144" i="31"/>
  <c r="P144" i="31"/>
  <c r="BB144" i="31"/>
  <c r="V144" i="31"/>
  <c r="AT144" i="31"/>
  <c r="N144" i="31"/>
  <c r="AL144" i="31"/>
  <c r="AD144" i="31"/>
  <c r="F62" i="31"/>
  <c r="E64" i="31"/>
  <c r="E63" i="31"/>
  <c r="F129" i="31"/>
  <c r="G129" i="31" s="1"/>
  <c r="H135" i="31"/>
  <c r="BC135" i="31" s="1"/>
  <c r="F131" i="31"/>
  <c r="G131" i="31" s="1"/>
  <c r="H138" i="31"/>
  <c r="H137" i="31"/>
  <c r="H131" i="31"/>
  <c r="F138" i="31"/>
  <c r="G138" i="31" s="1"/>
  <c r="F146" i="31"/>
  <c r="G146" i="31" s="1"/>
  <c r="H141" i="31"/>
  <c r="F147" i="31"/>
  <c r="G147" i="31" s="1"/>
  <c r="F149" i="31"/>
  <c r="G149" i="31" s="1"/>
  <c r="M127" i="31"/>
  <c r="AA127" i="31"/>
  <c r="BD141" i="31"/>
  <c r="AZ141" i="31"/>
  <c r="AV141" i="31"/>
  <c r="AR141" i="31"/>
  <c r="AN141" i="31"/>
  <c r="AJ141" i="31"/>
  <c r="AF141" i="31"/>
  <c r="AB141" i="31"/>
  <c r="X141" i="31"/>
  <c r="T141" i="31"/>
  <c r="P141" i="31"/>
  <c r="L141" i="31"/>
  <c r="BC141" i="31"/>
  <c r="AY141" i="31"/>
  <c r="AU141" i="31"/>
  <c r="AQ141" i="31"/>
  <c r="AM141" i="31"/>
  <c r="AI141" i="31"/>
  <c r="AE141" i="31"/>
  <c r="AA141" i="31"/>
  <c r="W141" i="31"/>
  <c r="S141" i="31"/>
  <c r="O141" i="31"/>
  <c r="K141" i="31"/>
  <c r="BB141" i="31"/>
  <c r="AX141" i="31"/>
  <c r="AT141" i="31"/>
  <c r="AP141" i="31"/>
  <c r="AL141" i="31"/>
  <c r="AH141" i="31"/>
  <c r="AD141" i="31"/>
  <c r="Z141" i="31"/>
  <c r="V141" i="31"/>
  <c r="R141" i="31"/>
  <c r="N141" i="31"/>
  <c r="J141" i="31"/>
  <c r="AW141" i="31"/>
  <c r="AG141" i="31"/>
  <c r="Q141" i="31"/>
  <c r="AS141" i="31"/>
  <c r="AC141" i="31"/>
  <c r="M141" i="31"/>
  <c r="BE141" i="31"/>
  <c r="AO141" i="31"/>
  <c r="Y141" i="31"/>
  <c r="I141" i="31"/>
  <c r="BA141" i="31"/>
  <c r="AK141" i="31"/>
  <c r="U141" i="31"/>
  <c r="N127" i="30"/>
  <c r="AB127" i="30"/>
  <c r="F132" i="31"/>
  <c r="G132" i="31" s="1"/>
  <c r="F144" i="31"/>
  <c r="G144" i="31" s="1"/>
  <c r="BC140" i="31"/>
  <c r="AY140" i="31"/>
  <c r="AU140" i="31"/>
  <c r="AQ140" i="31"/>
  <c r="AM140" i="31"/>
  <c r="AI140" i="31"/>
  <c r="AE140" i="31"/>
  <c r="AA140" i="31"/>
  <c r="BB140" i="31"/>
  <c r="AX140" i="31"/>
  <c r="AT140" i="31"/>
  <c r="AP140" i="31"/>
  <c r="AL140" i="31"/>
  <c r="AH140" i="31"/>
  <c r="AD140" i="31"/>
  <c r="BE140" i="31"/>
  <c r="BA140" i="31"/>
  <c r="AW140" i="31"/>
  <c r="AS140" i="31"/>
  <c r="AO140" i="31"/>
  <c r="AK140" i="31"/>
  <c r="AR140" i="31"/>
  <c r="AF140" i="31"/>
  <c r="Y140" i="31"/>
  <c r="U140" i="31"/>
  <c r="Q140" i="31"/>
  <c r="M140" i="31"/>
  <c r="I140" i="31"/>
  <c r="BD140" i="31"/>
  <c r="AN140" i="31"/>
  <c r="AC140" i="31"/>
  <c r="X140" i="31"/>
  <c r="T140" i="31"/>
  <c r="P140" i="31"/>
  <c r="L140" i="31"/>
  <c r="AZ140" i="31"/>
  <c r="AJ140" i="31"/>
  <c r="AB140" i="31"/>
  <c r="W140" i="31"/>
  <c r="S140" i="31"/>
  <c r="O140" i="31"/>
  <c r="K140" i="31"/>
  <c r="Z140" i="31"/>
  <c r="J140" i="31"/>
  <c r="V140" i="31"/>
  <c r="AV140" i="31"/>
  <c r="R140" i="31"/>
  <c r="N140" i="31"/>
  <c r="AG140" i="31"/>
  <c r="H132" i="31"/>
  <c r="F141" i="31"/>
  <c r="G141" i="31" s="1"/>
  <c r="H142" i="31"/>
  <c r="C66" i="27"/>
  <c r="D62" i="27" s="1"/>
  <c r="L127" i="27"/>
  <c r="Z127" i="27"/>
  <c r="D62" i="29"/>
  <c r="D64" i="29" s="1"/>
  <c r="C64" i="29"/>
  <c r="C63" i="29"/>
  <c r="P112" i="29"/>
  <c r="P110" i="29"/>
  <c r="P108" i="29"/>
  <c r="P106" i="29"/>
  <c r="P107" i="29"/>
  <c r="P105" i="29"/>
  <c r="P111" i="29"/>
  <c r="P109" i="29"/>
  <c r="P104" i="29"/>
  <c r="P103" i="29"/>
  <c r="R112" i="29"/>
  <c r="R110" i="29"/>
  <c r="R108" i="29"/>
  <c r="R106" i="29"/>
  <c r="R107" i="29"/>
  <c r="R105" i="29"/>
  <c r="R111" i="29"/>
  <c r="R109" i="29"/>
  <c r="R104" i="29"/>
  <c r="R103" i="29"/>
  <c r="BD130" i="29"/>
  <c r="BB130" i="29"/>
  <c r="AZ130" i="29"/>
  <c r="AX130" i="29"/>
  <c r="AV130" i="29"/>
  <c r="AT130" i="29"/>
  <c r="AR130" i="29"/>
  <c r="AP130" i="29"/>
  <c r="AN130" i="29"/>
  <c r="AL130" i="29"/>
  <c r="AJ130" i="29"/>
  <c r="AH130" i="29"/>
  <c r="AF130" i="29"/>
  <c r="AD130" i="29"/>
  <c r="AB130" i="29"/>
  <c r="Z130" i="29"/>
  <c r="X130" i="29"/>
  <c r="V130" i="29"/>
  <c r="T130" i="29"/>
  <c r="R130" i="29"/>
  <c r="P130" i="29"/>
  <c r="N130" i="29"/>
  <c r="L130" i="29"/>
  <c r="J130" i="29"/>
  <c r="BD129" i="29"/>
  <c r="BB129" i="29"/>
  <c r="AZ129" i="29"/>
  <c r="AX129" i="29"/>
  <c r="AV129" i="29"/>
  <c r="AT129" i="29"/>
  <c r="AR129" i="29"/>
  <c r="AP129" i="29"/>
  <c r="AN129" i="29"/>
  <c r="AL129" i="29"/>
  <c r="AJ129" i="29"/>
  <c r="AH129" i="29"/>
  <c r="AF129" i="29"/>
  <c r="AD129" i="29"/>
  <c r="AB129" i="29"/>
  <c r="Z129" i="29"/>
  <c r="X129" i="29"/>
  <c r="V129" i="29"/>
  <c r="T129" i="29"/>
  <c r="R129" i="29"/>
  <c r="P129" i="29"/>
  <c r="N129" i="29"/>
  <c r="L129" i="29"/>
  <c r="J129" i="29"/>
  <c r="BE130" i="29"/>
  <c r="BA130" i="29"/>
  <c r="AW130" i="29"/>
  <c r="AS130" i="29"/>
  <c r="AO130" i="29"/>
  <c r="AK130" i="29"/>
  <c r="AG130" i="29"/>
  <c r="AC130" i="29"/>
  <c r="Y130" i="29"/>
  <c r="U130" i="29"/>
  <c r="Q130" i="29"/>
  <c r="M130" i="29"/>
  <c r="I130" i="29"/>
  <c r="BC129" i="29"/>
  <c r="AY129" i="29"/>
  <c r="AU129" i="29"/>
  <c r="AQ129" i="29"/>
  <c r="AM129" i="29"/>
  <c r="AI129" i="29"/>
  <c r="AE129" i="29"/>
  <c r="AA129" i="29"/>
  <c r="W129" i="29"/>
  <c r="S129" i="29"/>
  <c r="O129" i="29"/>
  <c r="K129" i="29"/>
  <c r="BC130" i="29"/>
  <c r="AY130" i="29"/>
  <c r="AU130" i="29"/>
  <c r="AQ130" i="29"/>
  <c r="AM130" i="29"/>
  <c r="AI130" i="29"/>
  <c r="AE130" i="29"/>
  <c r="AA130" i="29"/>
  <c r="W130" i="29"/>
  <c r="S130" i="29"/>
  <c r="O130" i="29"/>
  <c r="K130" i="29"/>
  <c r="BE129" i="29"/>
  <c r="BA129" i="29"/>
  <c r="AW129" i="29"/>
  <c r="AS129" i="29"/>
  <c r="AO129" i="29"/>
  <c r="AK129" i="29"/>
  <c r="AG129" i="29"/>
  <c r="AC129" i="29"/>
  <c r="Y129" i="29"/>
  <c r="U129" i="29"/>
  <c r="Q129" i="29"/>
  <c r="M129" i="29"/>
  <c r="I129" i="29"/>
  <c r="AA127" i="29"/>
  <c r="M127" i="29"/>
  <c r="E63" i="29"/>
  <c r="F62" i="29"/>
  <c r="T112" i="29"/>
  <c r="T110" i="29"/>
  <c r="T108" i="29"/>
  <c r="T106" i="29"/>
  <c r="T103" i="29"/>
  <c r="T107" i="29"/>
  <c r="T105" i="29"/>
  <c r="T111" i="29"/>
  <c r="T109" i="29"/>
  <c r="T104" i="29"/>
  <c r="BE136" i="29"/>
  <c r="BC136" i="29"/>
  <c r="BA136" i="29"/>
  <c r="AY136" i="29"/>
  <c r="AW136" i="29"/>
  <c r="AU136" i="29"/>
  <c r="AS136" i="29"/>
  <c r="AQ136" i="29"/>
  <c r="AO136" i="29"/>
  <c r="AM136" i="29"/>
  <c r="AK136" i="29"/>
  <c r="AI136" i="29"/>
  <c r="AG136" i="29"/>
  <c r="AE136" i="29"/>
  <c r="AC136" i="29"/>
  <c r="AA136" i="29"/>
  <c r="Y136" i="29"/>
  <c r="W136" i="29"/>
  <c r="U136" i="29"/>
  <c r="S136" i="29"/>
  <c r="Q136" i="29"/>
  <c r="O136" i="29"/>
  <c r="M136" i="29"/>
  <c r="K136" i="29"/>
  <c r="I136" i="29"/>
  <c r="BD136" i="29"/>
  <c r="BB136" i="29"/>
  <c r="AZ136" i="29"/>
  <c r="AX136" i="29"/>
  <c r="AV136" i="29"/>
  <c r="AT136" i="29"/>
  <c r="AR136" i="29"/>
  <c r="AP136" i="29"/>
  <c r="AN136" i="29"/>
  <c r="AL136" i="29"/>
  <c r="AJ136" i="29"/>
  <c r="AH136" i="29"/>
  <c r="AF136" i="29"/>
  <c r="AD136" i="29"/>
  <c r="AB136" i="29"/>
  <c r="Z136" i="29"/>
  <c r="X136" i="29"/>
  <c r="V136" i="29"/>
  <c r="T136" i="29"/>
  <c r="R136" i="29"/>
  <c r="P136" i="29"/>
  <c r="N136" i="29"/>
  <c r="L136" i="29"/>
  <c r="J136" i="29"/>
  <c r="BD134" i="29"/>
  <c r="BB134" i="29"/>
  <c r="AZ134" i="29"/>
  <c r="AX134" i="29"/>
  <c r="AV134" i="29"/>
  <c r="AT134" i="29"/>
  <c r="AR134" i="29"/>
  <c r="AP134" i="29"/>
  <c r="AN134" i="29"/>
  <c r="AL134" i="29"/>
  <c r="AJ134" i="29"/>
  <c r="AH134" i="29"/>
  <c r="AF134" i="29"/>
  <c r="AD134" i="29"/>
  <c r="AB134" i="29"/>
  <c r="Z134" i="29"/>
  <c r="X134" i="29"/>
  <c r="V134" i="29"/>
  <c r="T134" i="29"/>
  <c r="R134" i="29"/>
  <c r="P134" i="29"/>
  <c r="N134" i="29"/>
  <c r="L134" i="29"/>
  <c r="J134" i="29"/>
  <c r="BC134" i="29"/>
  <c r="AY134" i="29"/>
  <c r="AU134" i="29"/>
  <c r="AQ134" i="29"/>
  <c r="AM134" i="29"/>
  <c r="AI134" i="29"/>
  <c r="AE134" i="29"/>
  <c r="AA134" i="29"/>
  <c r="W134" i="29"/>
  <c r="S134" i="29"/>
  <c r="O134" i="29"/>
  <c r="K134" i="29"/>
  <c r="BE134" i="29"/>
  <c r="BA134" i="29"/>
  <c r="AW134" i="29"/>
  <c r="AS134" i="29"/>
  <c r="AO134" i="29"/>
  <c r="AK134" i="29"/>
  <c r="AG134" i="29"/>
  <c r="AC134" i="29"/>
  <c r="Y134" i="29"/>
  <c r="U134" i="29"/>
  <c r="Q134" i="29"/>
  <c r="M134" i="29"/>
  <c r="I134" i="29"/>
  <c r="BE140" i="29"/>
  <c r="BC140" i="29"/>
  <c r="BA140" i="29"/>
  <c r="AY140" i="29"/>
  <c r="AW140" i="29"/>
  <c r="AU140" i="29"/>
  <c r="AS140" i="29"/>
  <c r="AQ140" i="29"/>
  <c r="AO140" i="29"/>
  <c r="AM140" i="29"/>
  <c r="AK140" i="29"/>
  <c r="AI140" i="29"/>
  <c r="AG140" i="29"/>
  <c r="AE140" i="29"/>
  <c r="AC140" i="29"/>
  <c r="AA140" i="29"/>
  <c r="BB140" i="29"/>
  <c r="AX140" i="29"/>
  <c r="AT140" i="29"/>
  <c r="AP140" i="29"/>
  <c r="AL140" i="29"/>
  <c r="AH140" i="29"/>
  <c r="AD140" i="29"/>
  <c r="Z140" i="29"/>
  <c r="X140" i="29"/>
  <c r="V140" i="29"/>
  <c r="T140" i="29"/>
  <c r="R140" i="29"/>
  <c r="P140" i="29"/>
  <c r="N140" i="29"/>
  <c r="L140" i="29"/>
  <c r="J140" i="29"/>
  <c r="BD140" i="29"/>
  <c r="AZ140" i="29"/>
  <c r="AV140" i="29"/>
  <c r="AR140" i="29"/>
  <c r="AN140" i="29"/>
  <c r="AJ140" i="29"/>
  <c r="AF140" i="29"/>
  <c r="AB140" i="29"/>
  <c r="Y140" i="29"/>
  <c r="W140" i="29"/>
  <c r="U140" i="29"/>
  <c r="S140" i="29"/>
  <c r="Q140" i="29"/>
  <c r="O140" i="29"/>
  <c r="M140" i="29"/>
  <c r="K140" i="29"/>
  <c r="I140" i="29"/>
  <c r="BD141" i="29"/>
  <c r="BB141" i="29"/>
  <c r="AZ141" i="29"/>
  <c r="AX141" i="29"/>
  <c r="AV141" i="29"/>
  <c r="AT141" i="29"/>
  <c r="AR141" i="29"/>
  <c r="AP141" i="29"/>
  <c r="AN141" i="29"/>
  <c r="AL141" i="29"/>
  <c r="AJ141" i="29"/>
  <c r="AH141" i="29"/>
  <c r="AF141" i="29"/>
  <c r="AD141" i="29"/>
  <c r="AB141" i="29"/>
  <c r="Z141" i="29"/>
  <c r="X141" i="29"/>
  <c r="V141" i="29"/>
  <c r="T141" i="29"/>
  <c r="R141" i="29"/>
  <c r="P141" i="29"/>
  <c r="N141" i="29"/>
  <c r="L141" i="29"/>
  <c r="J141" i="29"/>
  <c r="BE141" i="29"/>
  <c r="BA141" i="29"/>
  <c r="AW141" i="29"/>
  <c r="AS141" i="29"/>
  <c r="AO141" i="29"/>
  <c r="AK141" i="29"/>
  <c r="AG141" i="29"/>
  <c r="AC141" i="29"/>
  <c r="Y141" i="29"/>
  <c r="U141" i="29"/>
  <c r="Q141" i="29"/>
  <c r="M141" i="29"/>
  <c r="I141" i="29"/>
  <c r="BC141" i="29"/>
  <c r="AY141" i="29"/>
  <c r="AU141" i="29"/>
  <c r="AQ141" i="29"/>
  <c r="AM141" i="29"/>
  <c r="AI141" i="29"/>
  <c r="AE141" i="29"/>
  <c r="AA141" i="29"/>
  <c r="W141" i="29"/>
  <c r="S141" i="29"/>
  <c r="O141" i="29"/>
  <c r="K141" i="29"/>
  <c r="BE142" i="29"/>
  <c r="BC142" i="29"/>
  <c r="BA142" i="29"/>
  <c r="AY142" i="29"/>
  <c r="AW142" i="29"/>
  <c r="AU142" i="29"/>
  <c r="AS142" i="29"/>
  <c r="AQ142" i="29"/>
  <c r="AO142" i="29"/>
  <c r="AM142" i="29"/>
  <c r="AK142" i="29"/>
  <c r="AI142" i="29"/>
  <c r="AG142" i="29"/>
  <c r="AE142" i="29"/>
  <c r="AC142" i="29"/>
  <c r="AA142" i="29"/>
  <c r="Y142" i="29"/>
  <c r="W142" i="29"/>
  <c r="U142" i="29"/>
  <c r="S142" i="29"/>
  <c r="Q142" i="29"/>
  <c r="O142" i="29"/>
  <c r="M142" i="29"/>
  <c r="K142" i="29"/>
  <c r="I142" i="29"/>
  <c r="BD142" i="29"/>
  <c r="AZ142" i="29"/>
  <c r="AV142" i="29"/>
  <c r="AR142" i="29"/>
  <c r="AN142" i="29"/>
  <c r="AJ142" i="29"/>
  <c r="AF142" i="29"/>
  <c r="AB142" i="29"/>
  <c r="X142" i="29"/>
  <c r="T142" i="29"/>
  <c r="P142" i="29"/>
  <c r="L142" i="29"/>
  <c r="BB142" i="29"/>
  <c r="AX142" i="29"/>
  <c r="AT142" i="29"/>
  <c r="AP142" i="29"/>
  <c r="AL142" i="29"/>
  <c r="AH142" i="29"/>
  <c r="AD142" i="29"/>
  <c r="Z142" i="29"/>
  <c r="V142" i="29"/>
  <c r="R142" i="29"/>
  <c r="N142" i="29"/>
  <c r="J142" i="29"/>
  <c r="BE144" i="29"/>
  <c r="BC144" i="29"/>
  <c r="BA144" i="29"/>
  <c r="AY144" i="29"/>
  <c r="AW144" i="29"/>
  <c r="AU144" i="29"/>
  <c r="AS144" i="29"/>
  <c r="AQ144" i="29"/>
  <c r="AO144" i="29"/>
  <c r="AM144" i="29"/>
  <c r="AK144" i="29"/>
  <c r="AI144" i="29"/>
  <c r="AG144" i="29"/>
  <c r="AE144" i="29"/>
  <c r="AC144" i="29"/>
  <c r="AA144" i="29"/>
  <c r="Y144" i="29"/>
  <c r="W144" i="29"/>
  <c r="U144" i="29"/>
  <c r="S144" i="29"/>
  <c r="Q144" i="29"/>
  <c r="O144" i="29"/>
  <c r="M144" i="29"/>
  <c r="K144" i="29"/>
  <c r="I144" i="29"/>
  <c r="BB144" i="29"/>
  <c r="AX144" i="29"/>
  <c r="AT144" i="29"/>
  <c r="AP144" i="29"/>
  <c r="AL144" i="29"/>
  <c r="AH144" i="29"/>
  <c r="AD144" i="29"/>
  <c r="Z144" i="29"/>
  <c r="V144" i="29"/>
  <c r="R144" i="29"/>
  <c r="N144" i="29"/>
  <c r="J144" i="29"/>
  <c r="BD144" i="29"/>
  <c r="AZ144" i="29"/>
  <c r="AV144" i="29"/>
  <c r="AR144" i="29"/>
  <c r="AN144" i="29"/>
  <c r="AJ144" i="29"/>
  <c r="AF144" i="29"/>
  <c r="AB144" i="29"/>
  <c r="X144" i="29"/>
  <c r="T144" i="29"/>
  <c r="P144" i="29"/>
  <c r="L144" i="29"/>
  <c r="BE146" i="29"/>
  <c r="BC146" i="29"/>
  <c r="BA146" i="29"/>
  <c r="AY146" i="29"/>
  <c r="AW146" i="29"/>
  <c r="AU146" i="29"/>
  <c r="AS146" i="29"/>
  <c r="AQ146" i="29"/>
  <c r="AO146" i="29"/>
  <c r="AM146" i="29"/>
  <c r="AK146" i="29"/>
  <c r="AI146" i="29"/>
  <c r="AG146" i="29"/>
  <c r="AE146" i="29"/>
  <c r="AC146" i="29"/>
  <c r="AA146" i="29"/>
  <c r="Y146" i="29"/>
  <c r="W146" i="29"/>
  <c r="U146" i="29"/>
  <c r="S146" i="29"/>
  <c r="Q146" i="29"/>
  <c r="O146" i="29"/>
  <c r="M146" i="29"/>
  <c r="K146" i="29"/>
  <c r="I146" i="29"/>
  <c r="BD146" i="29"/>
  <c r="AZ146" i="29"/>
  <c r="AV146" i="29"/>
  <c r="AR146" i="29"/>
  <c r="AN146" i="29"/>
  <c r="AJ146" i="29"/>
  <c r="AF146" i="29"/>
  <c r="AB146" i="29"/>
  <c r="X146" i="29"/>
  <c r="T146" i="29"/>
  <c r="P146" i="29"/>
  <c r="L146" i="29"/>
  <c r="BB146" i="29"/>
  <c r="AX146" i="29"/>
  <c r="AT146" i="29"/>
  <c r="AP146" i="29"/>
  <c r="AL146" i="29"/>
  <c r="AH146" i="29"/>
  <c r="AD146" i="29"/>
  <c r="Z146" i="29"/>
  <c r="V146" i="29"/>
  <c r="R146" i="29"/>
  <c r="N146" i="29"/>
  <c r="J146" i="29"/>
  <c r="BE148" i="29"/>
  <c r="BC148" i="29"/>
  <c r="BA148" i="29"/>
  <c r="AY148" i="29"/>
  <c r="AW148" i="29"/>
  <c r="AU148" i="29"/>
  <c r="AS148" i="29"/>
  <c r="AQ148" i="29"/>
  <c r="AO148" i="29"/>
  <c r="AM148" i="29"/>
  <c r="AK148" i="29"/>
  <c r="AI148" i="29"/>
  <c r="AG148" i="29"/>
  <c r="AE148" i="29"/>
  <c r="AC148" i="29"/>
  <c r="AA148" i="29"/>
  <c r="Y148" i="29"/>
  <c r="W148" i="29"/>
  <c r="U148" i="29"/>
  <c r="S148" i="29"/>
  <c r="Q148" i="29"/>
  <c r="O148" i="29"/>
  <c r="M148" i="29"/>
  <c r="K148" i="29"/>
  <c r="I148" i="29"/>
  <c r="BB148" i="29"/>
  <c r="AX148" i="29"/>
  <c r="AT148" i="29"/>
  <c r="AP148" i="29"/>
  <c r="AL148" i="29"/>
  <c r="AH148" i="29"/>
  <c r="AD148" i="29"/>
  <c r="Z148" i="29"/>
  <c r="V148" i="29"/>
  <c r="R148" i="29"/>
  <c r="N148" i="29"/>
  <c r="J148" i="29"/>
  <c r="BD148" i="29"/>
  <c r="AZ148" i="29"/>
  <c r="AV148" i="29"/>
  <c r="AR148" i="29"/>
  <c r="AN148" i="29"/>
  <c r="AJ148" i="29"/>
  <c r="AF148" i="29"/>
  <c r="AB148" i="29"/>
  <c r="X148" i="29"/>
  <c r="T148" i="29"/>
  <c r="P148" i="29"/>
  <c r="L148" i="29"/>
  <c r="F142" i="29"/>
  <c r="G142" i="29" s="1"/>
  <c r="F146" i="29"/>
  <c r="G146" i="29" s="1"/>
  <c r="F144" i="29"/>
  <c r="G144" i="29" s="1"/>
  <c r="F148" i="29"/>
  <c r="G148" i="29" s="1"/>
  <c r="BD131" i="29"/>
  <c r="BB131" i="29"/>
  <c r="AZ131" i="29"/>
  <c r="AX131" i="29"/>
  <c r="AV131" i="29"/>
  <c r="AT131" i="29"/>
  <c r="AR131" i="29"/>
  <c r="AP131" i="29"/>
  <c r="AN131" i="29"/>
  <c r="AL131" i="29"/>
  <c r="AJ131" i="29"/>
  <c r="AH131" i="29"/>
  <c r="AF131" i="29"/>
  <c r="AD131" i="29"/>
  <c r="AB131" i="29"/>
  <c r="Z131" i="29"/>
  <c r="X131" i="29"/>
  <c r="V131" i="29"/>
  <c r="T131" i="29"/>
  <c r="R131" i="29"/>
  <c r="P131" i="29"/>
  <c r="N131" i="29"/>
  <c r="L131" i="29"/>
  <c r="J131" i="29"/>
  <c r="BC131" i="29"/>
  <c r="AY131" i="29"/>
  <c r="AU131" i="29"/>
  <c r="AQ131" i="29"/>
  <c r="AM131" i="29"/>
  <c r="AI131" i="29"/>
  <c r="AE131" i="29"/>
  <c r="AA131" i="29"/>
  <c r="W131" i="29"/>
  <c r="S131" i="29"/>
  <c r="O131" i="29"/>
  <c r="K131" i="29"/>
  <c r="BE131" i="29"/>
  <c r="BA131" i="29"/>
  <c r="AW131" i="29"/>
  <c r="AS131" i="29"/>
  <c r="AO131" i="29"/>
  <c r="AK131" i="29"/>
  <c r="AG131" i="29"/>
  <c r="AC131" i="29"/>
  <c r="Y131" i="29"/>
  <c r="U131" i="29"/>
  <c r="Q131" i="29"/>
  <c r="M131" i="29"/>
  <c r="I131" i="29"/>
  <c r="BD132" i="29"/>
  <c r="BB132" i="29"/>
  <c r="AZ132" i="29"/>
  <c r="AX132" i="29"/>
  <c r="AV132" i="29"/>
  <c r="AT132" i="29"/>
  <c r="AR132" i="29"/>
  <c r="AP132" i="29"/>
  <c r="AN132" i="29"/>
  <c r="AL132" i="29"/>
  <c r="AJ132" i="29"/>
  <c r="AH132" i="29"/>
  <c r="AF132" i="29"/>
  <c r="AD132" i="29"/>
  <c r="AB132" i="29"/>
  <c r="Z132" i="29"/>
  <c r="X132" i="29"/>
  <c r="V132" i="29"/>
  <c r="T132" i="29"/>
  <c r="R132" i="29"/>
  <c r="P132" i="29"/>
  <c r="N132" i="29"/>
  <c r="L132" i="29"/>
  <c r="J132" i="29"/>
  <c r="BE132" i="29"/>
  <c r="BA132" i="29"/>
  <c r="AW132" i="29"/>
  <c r="AS132" i="29"/>
  <c r="AO132" i="29"/>
  <c r="AK132" i="29"/>
  <c r="AG132" i="29"/>
  <c r="AC132" i="29"/>
  <c r="Y132" i="29"/>
  <c r="U132" i="29"/>
  <c r="Q132" i="29"/>
  <c r="M132" i="29"/>
  <c r="I132" i="29"/>
  <c r="BC132" i="29"/>
  <c r="AY132" i="29"/>
  <c r="AU132" i="29"/>
  <c r="AQ132" i="29"/>
  <c r="AM132" i="29"/>
  <c r="AI132" i="29"/>
  <c r="AE132" i="29"/>
  <c r="AA132" i="29"/>
  <c r="W132" i="29"/>
  <c r="S132" i="29"/>
  <c r="O132" i="29"/>
  <c r="K132" i="29"/>
  <c r="BE133" i="29"/>
  <c r="BC133" i="29"/>
  <c r="BA133" i="29"/>
  <c r="AY133" i="29"/>
  <c r="AW133" i="29"/>
  <c r="AU133" i="29"/>
  <c r="AS133" i="29"/>
  <c r="AQ133" i="29"/>
  <c r="AO133" i="29"/>
  <c r="AM133" i="29"/>
  <c r="AK133" i="29"/>
  <c r="AI133" i="29"/>
  <c r="AG133" i="29"/>
  <c r="AE133" i="29"/>
  <c r="AC133" i="29"/>
  <c r="AA133" i="29"/>
  <c r="Y133" i="29"/>
  <c r="W133" i="29"/>
  <c r="U133" i="29"/>
  <c r="S133" i="29"/>
  <c r="Q133" i="29"/>
  <c r="O133" i="29"/>
  <c r="M133" i="29"/>
  <c r="K133" i="29"/>
  <c r="I133" i="29"/>
  <c r="BD133" i="29"/>
  <c r="AZ133" i="29"/>
  <c r="AV133" i="29"/>
  <c r="AR133" i="29"/>
  <c r="AN133" i="29"/>
  <c r="AJ133" i="29"/>
  <c r="AF133" i="29"/>
  <c r="AB133" i="29"/>
  <c r="X133" i="29"/>
  <c r="T133" i="29"/>
  <c r="P133" i="29"/>
  <c r="L133" i="29"/>
  <c r="BB133" i="29"/>
  <c r="AX133" i="29"/>
  <c r="AT133" i="29"/>
  <c r="AP133" i="29"/>
  <c r="AL133" i="29"/>
  <c r="AH133" i="29"/>
  <c r="AD133" i="29"/>
  <c r="Z133" i="29"/>
  <c r="V133" i="29"/>
  <c r="R133" i="29"/>
  <c r="N133" i="29"/>
  <c r="J133" i="29"/>
  <c r="BD135" i="29"/>
  <c r="BB135" i="29"/>
  <c r="AZ135" i="29"/>
  <c r="AX135" i="29"/>
  <c r="AV135" i="29"/>
  <c r="AT135" i="29"/>
  <c r="AR135" i="29"/>
  <c r="AP135" i="29"/>
  <c r="AN135" i="29"/>
  <c r="AL135" i="29"/>
  <c r="AJ135" i="29"/>
  <c r="AH135" i="29"/>
  <c r="BE135" i="29"/>
  <c r="BC135" i="29"/>
  <c r="BA135" i="29"/>
  <c r="AY135" i="29"/>
  <c r="AW135" i="29"/>
  <c r="AU135" i="29"/>
  <c r="AS135" i="29"/>
  <c r="AQ135" i="29"/>
  <c r="AO135" i="29"/>
  <c r="AM135" i="29"/>
  <c r="AK135" i="29"/>
  <c r="AI135" i="29"/>
  <c r="AG135" i="29"/>
  <c r="AE135" i="29"/>
  <c r="AC135" i="29"/>
  <c r="AA135" i="29"/>
  <c r="Y135" i="29"/>
  <c r="W135" i="29"/>
  <c r="U135" i="29"/>
  <c r="S135" i="29"/>
  <c r="Q135" i="29"/>
  <c r="O135" i="29"/>
  <c r="M135" i="29"/>
  <c r="K135" i="29"/>
  <c r="I135" i="29"/>
  <c r="AD135" i="29"/>
  <c r="Z135" i="29"/>
  <c r="V135" i="29"/>
  <c r="R135" i="29"/>
  <c r="N135" i="29"/>
  <c r="J135" i="29"/>
  <c r="AF135" i="29"/>
  <c r="AB135" i="29"/>
  <c r="X135" i="29"/>
  <c r="T135" i="29"/>
  <c r="P135" i="29"/>
  <c r="L135" i="29"/>
  <c r="BD137" i="29"/>
  <c r="BB137" i="29"/>
  <c r="AZ137" i="29"/>
  <c r="AX137" i="29"/>
  <c r="AV137" i="29"/>
  <c r="AT137" i="29"/>
  <c r="AR137" i="29"/>
  <c r="AP137" i="29"/>
  <c r="AN137" i="29"/>
  <c r="AL137" i="29"/>
  <c r="AJ137" i="29"/>
  <c r="AH137" i="29"/>
  <c r="AF137" i="29"/>
  <c r="AD137" i="29"/>
  <c r="AB137" i="29"/>
  <c r="Z137" i="29"/>
  <c r="X137" i="29"/>
  <c r="V137" i="29"/>
  <c r="T137" i="29"/>
  <c r="R137" i="29"/>
  <c r="P137" i="29"/>
  <c r="N137" i="29"/>
  <c r="L137" i="29"/>
  <c r="J137" i="29"/>
  <c r="BE137" i="29"/>
  <c r="BC137" i="29"/>
  <c r="BA137" i="29"/>
  <c r="AY137" i="29"/>
  <c r="AW137" i="29"/>
  <c r="AU137" i="29"/>
  <c r="AS137" i="29"/>
  <c r="AQ137" i="29"/>
  <c r="AO137" i="29"/>
  <c r="AM137" i="29"/>
  <c r="AK137" i="29"/>
  <c r="AI137" i="29"/>
  <c r="AG137" i="29"/>
  <c r="AE137" i="29"/>
  <c r="AC137" i="29"/>
  <c r="AA137" i="29"/>
  <c r="Y137" i="29"/>
  <c r="W137" i="29"/>
  <c r="U137" i="29"/>
  <c r="S137" i="29"/>
  <c r="Q137" i="29"/>
  <c r="O137" i="29"/>
  <c r="M137" i="29"/>
  <c r="K137" i="29"/>
  <c r="I137" i="29"/>
  <c r="BE139" i="29"/>
  <c r="BC139" i="29"/>
  <c r="BA139" i="29"/>
  <c r="AY139" i="29"/>
  <c r="AW139" i="29"/>
  <c r="AU139" i="29"/>
  <c r="AS139" i="29"/>
  <c r="AQ139" i="29"/>
  <c r="AO139" i="29"/>
  <c r="AM139" i="29"/>
  <c r="AK139" i="29"/>
  <c r="AI139" i="29"/>
  <c r="AG139" i="29"/>
  <c r="AE139" i="29"/>
  <c r="AC139" i="29"/>
  <c r="AA139" i="29"/>
  <c r="Y139" i="29"/>
  <c r="W139" i="29"/>
  <c r="U139" i="29"/>
  <c r="S139" i="29"/>
  <c r="Q139" i="29"/>
  <c r="O139" i="29"/>
  <c r="M139" i="29"/>
  <c r="K139" i="29"/>
  <c r="I139" i="29"/>
  <c r="BD139" i="29"/>
  <c r="BB139" i="29"/>
  <c r="AZ139" i="29"/>
  <c r="AX139" i="29"/>
  <c r="AV139" i="29"/>
  <c r="AT139" i="29"/>
  <c r="AR139" i="29"/>
  <c r="AP139" i="29"/>
  <c r="AN139" i="29"/>
  <c r="AL139" i="29"/>
  <c r="AJ139" i="29"/>
  <c r="AH139" i="29"/>
  <c r="AF139" i="29"/>
  <c r="AD139" i="29"/>
  <c r="AB139" i="29"/>
  <c r="Z139" i="29"/>
  <c r="X139" i="29"/>
  <c r="V139" i="29"/>
  <c r="T139" i="29"/>
  <c r="R139" i="29"/>
  <c r="P139" i="29"/>
  <c r="N139" i="29"/>
  <c r="L139" i="29"/>
  <c r="J139" i="29"/>
  <c r="BD145" i="29"/>
  <c r="BB145" i="29"/>
  <c r="AZ145" i="29"/>
  <c r="AX145" i="29"/>
  <c r="AV145" i="29"/>
  <c r="AT145" i="29"/>
  <c r="AR145" i="29"/>
  <c r="AP145" i="29"/>
  <c r="AN145" i="29"/>
  <c r="AL145" i="29"/>
  <c r="AJ145" i="29"/>
  <c r="AH145" i="29"/>
  <c r="AF145" i="29"/>
  <c r="AD145" i="29"/>
  <c r="AB145" i="29"/>
  <c r="Z145" i="29"/>
  <c r="X145" i="29"/>
  <c r="V145" i="29"/>
  <c r="T145" i="29"/>
  <c r="R145" i="29"/>
  <c r="P145" i="29"/>
  <c r="N145" i="29"/>
  <c r="L145" i="29"/>
  <c r="J145" i="29"/>
  <c r="BE145" i="29"/>
  <c r="BA145" i="29"/>
  <c r="AW145" i="29"/>
  <c r="AS145" i="29"/>
  <c r="AO145" i="29"/>
  <c r="AK145" i="29"/>
  <c r="AG145" i="29"/>
  <c r="AC145" i="29"/>
  <c r="Y145" i="29"/>
  <c r="U145" i="29"/>
  <c r="Q145" i="29"/>
  <c r="M145" i="29"/>
  <c r="I145" i="29"/>
  <c r="BC145" i="29"/>
  <c r="AY145" i="29"/>
  <c r="AU145" i="29"/>
  <c r="AQ145" i="29"/>
  <c r="AM145" i="29"/>
  <c r="AI145" i="29"/>
  <c r="AE145" i="29"/>
  <c r="AA145" i="29"/>
  <c r="W145" i="29"/>
  <c r="S145" i="29"/>
  <c r="O145" i="29"/>
  <c r="K145" i="29"/>
  <c r="BD149" i="29"/>
  <c r="BB149" i="29"/>
  <c r="AZ149" i="29"/>
  <c r="AX149" i="29"/>
  <c r="AV149" i="29"/>
  <c r="AT149" i="29"/>
  <c r="AR149" i="29"/>
  <c r="AP149" i="29"/>
  <c r="AN149" i="29"/>
  <c r="AL149" i="29"/>
  <c r="AJ149" i="29"/>
  <c r="AH149" i="29"/>
  <c r="AF149" i="29"/>
  <c r="AD149" i="29"/>
  <c r="AB149" i="29"/>
  <c r="Z149" i="29"/>
  <c r="X149" i="29"/>
  <c r="V149" i="29"/>
  <c r="T149" i="29"/>
  <c r="R149" i="29"/>
  <c r="P149" i="29"/>
  <c r="N149" i="29"/>
  <c r="L149" i="29"/>
  <c r="J149" i="29"/>
  <c r="BE149" i="29"/>
  <c r="BA149" i="29"/>
  <c r="AW149" i="29"/>
  <c r="AS149" i="29"/>
  <c r="AO149" i="29"/>
  <c r="AK149" i="29"/>
  <c r="AG149" i="29"/>
  <c r="AC149" i="29"/>
  <c r="Y149" i="29"/>
  <c r="U149" i="29"/>
  <c r="Q149" i="29"/>
  <c r="M149" i="29"/>
  <c r="I149" i="29"/>
  <c r="BC149" i="29"/>
  <c r="AY149" i="29"/>
  <c r="AU149" i="29"/>
  <c r="AQ149" i="29"/>
  <c r="AM149" i="29"/>
  <c r="AI149" i="29"/>
  <c r="AE149" i="29"/>
  <c r="AA149" i="29"/>
  <c r="W149" i="29"/>
  <c r="S149" i="29"/>
  <c r="O149" i="29"/>
  <c r="K149" i="29"/>
  <c r="BE138" i="29"/>
  <c r="BC138" i="29"/>
  <c r="BA138" i="29"/>
  <c r="AY138" i="29"/>
  <c r="AW138" i="29"/>
  <c r="AU138" i="29"/>
  <c r="AS138" i="29"/>
  <c r="AQ138" i="29"/>
  <c r="AO138" i="29"/>
  <c r="AM138" i="29"/>
  <c r="AK138" i="29"/>
  <c r="AI138" i="29"/>
  <c r="AG138" i="29"/>
  <c r="AE138" i="29"/>
  <c r="AC138" i="29"/>
  <c r="AA138" i="29"/>
  <c r="Y138" i="29"/>
  <c r="W138" i="29"/>
  <c r="U138" i="29"/>
  <c r="S138" i="29"/>
  <c r="Q138" i="29"/>
  <c r="O138" i="29"/>
  <c r="M138" i="29"/>
  <c r="K138" i="29"/>
  <c r="I138" i="29"/>
  <c r="BD138" i="29"/>
  <c r="BB138" i="29"/>
  <c r="AZ138" i="29"/>
  <c r="AX138" i="29"/>
  <c r="AV138" i="29"/>
  <c r="AT138" i="29"/>
  <c r="AR138" i="29"/>
  <c r="AP138" i="29"/>
  <c r="AN138" i="29"/>
  <c r="AL138" i="29"/>
  <c r="AJ138" i="29"/>
  <c r="AH138" i="29"/>
  <c r="AF138" i="29"/>
  <c r="AD138" i="29"/>
  <c r="AB138" i="29"/>
  <c r="Z138" i="29"/>
  <c r="X138" i="29"/>
  <c r="V138" i="29"/>
  <c r="T138" i="29"/>
  <c r="R138" i="29"/>
  <c r="P138" i="29"/>
  <c r="N138" i="29"/>
  <c r="L138" i="29"/>
  <c r="J138" i="29"/>
  <c r="BD143" i="29"/>
  <c r="BB143" i="29"/>
  <c r="AZ143" i="29"/>
  <c r="AX143" i="29"/>
  <c r="AV143" i="29"/>
  <c r="AT143" i="29"/>
  <c r="AR143" i="29"/>
  <c r="AP143" i="29"/>
  <c r="AN143" i="29"/>
  <c r="AL143" i="29"/>
  <c r="AJ143" i="29"/>
  <c r="AH143" i="29"/>
  <c r="AF143" i="29"/>
  <c r="AD143" i="29"/>
  <c r="AB143" i="29"/>
  <c r="Z143" i="29"/>
  <c r="X143" i="29"/>
  <c r="V143" i="29"/>
  <c r="T143" i="29"/>
  <c r="R143" i="29"/>
  <c r="P143" i="29"/>
  <c r="N143" i="29"/>
  <c r="L143" i="29"/>
  <c r="J143" i="29"/>
  <c r="BC143" i="29"/>
  <c r="AY143" i="29"/>
  <c r="AU143" i="29"/>
  <c r="AQ143" i="29"/>
  <c r="AM143" i="29"/>
  <c r="AI143" i="29"/>
  <c r="AE143" i="29"/>
  <c r="AA143" i="29"/>
  <c r="W143" i="29"/>
  <c r="S143" i="29"/>
  <c r="O143" i="29"/>
  <c r="K143" i="29"/>
  <c r="BE143" i="29"/>
  <c r="BA143" i="29"/>
  <c r="AW143" i="29"/>
  <c r="AS143" i="29"/>
  <c r="AO143" i="29"/>
  <c r="AK143" i="29"/>
  <c r="AG143" i="29"/>
  <c r="AC143" i="29"/>
  <c r="Y143" i="29"/>
  <c r="U143" i="29"/>
  <c r="Q143" i="29"/>
  <c r="M143" i="29"/>
  <c r="I143" i="29"/>
  <c r="BD147" i="29"/>
  <c r="BB147" i="29"/>
  <c r="AZ147" i="29"/>
  <c r="AX147" i="29"/>
  <c r="AV147" i="29"/>
  <c r="AT147" i="29"/>
  <c r="AR147" i="29"/>
  <c r="AP147" i="29"/>
  <c r="AN147" i="29"/>
  <c r="AL147" i="29"/>
  <c r="AJ147" i="29"/>
  <c r="AH147" i="29"/>
  <c r="AF147" i="29"/>
  <c r="AD147" i="29"/>
  <c r="AB147" i="29"/>
  <c r="Z147" i="29"/>
  <c r="X147" i="29"/>
  <c r="V147" i="29"/>
  <c r="T147" i="29"/>
  <c r="R147" i="29"/>
  <c r="P147" i="29"/>
  <c r="N147" i="29"/>
  <c r="L147" i="29"/>
  <c r="J147" i="29"/>
  <c r="BC147" i="29"/>
  <c r="AY147" i="29"/>
  <c r="AU147" i="29"/>
  <c r="AQ147" i="29"/>
  <c r="AM147" i="29"/>
  <c r="AI147" i="29"/>
  <c r="AE147" i="29"/>
  <c r="AA147" i="29"/>
  <c r="W147" i="29"/>
  <c r="S147" i="29"/>
  <c r="O147" i="29"/>
  <c r="K147" i="29"/>
  <c r="BE147" i="29"/>
  <c r="BA147" i="29"/>
  <c r="AW147" i="29"/>
  <c r="AS147" i="29"/>
  <c r="AO147" i="29"/>
  <c r="AK147" i="29"/>
  <c r="AG147" i="29"/>
  <c r="AC147" i="29"/>
  <c r="Y147" i="29"/>
  <c r="U147" i="29"/>
  <c r="Q147" i="29"/>
  <c r="M147" i="29"/>
  <c r="I147" i="29"/>
  <c r="F140" i="29"/>
  <c r="G140" i="29" s="1"/>
  <c r="F141" i="29"/>
  <c r="G141" i="29" s="1"/>
  <c r="F143" i="29"/>
  <c r="G143" i="29" s="1"/>
  <c r="F145" i="29"/>
  <c r="G145" i="29" s="1"/>
  <c r="F147" i="29"/>
  <c r="G147" i="29" s="1"/>
  <c r="E64" i="27"/>
  <c r="U22" i="27"/>
  <c r="C62" i="27"/>
  <c r="C64" i="27" s="1"/>
  <c r="E131" i="27"/>
  <c r="A112" i="27"/>
  <c r="A110" i="27"/>
  <c r="A108" i="27"/>
  <c r="A106" i="27"/>
  <c r="A105" i="27"/>
  <c r="A103" i="27"/>
  <c r="A111" i="27"/>
  <c r="I110" i="27"/>
  <c r="H109" i="27"/>
  <c r="A109" i="27"/>
  <c r="I108" i="27"/>
  <c r="H108" i="27" s="1"/>
  <c r="H107" i="27"/>
  <c r="A107" i="27"/>
  <c r="A104" i="27"/>
  <c r="T111" i="27"/>
  <c r="T109" i="27"/>
  <c r="T107" i="27"/>
  <c r="T105" i="27"/>
  <c r="T104" i="27"/>
  <c r="T112" i="27"/>
  <c r="T110" i="27"/>
  <c r="T108" i="27"/>
  <c r="T106" i="27"/>
  <c r="T103" i="27"/>
  <c r="R111" i="27"/>
  <c r="R109" i="27"/>
  <c r="R107" i="27"/>
  <c r="R105" i="27"/>
  <c r="R104" i="27"/>
  <c r="R112" i="27"/>
  <c r="R110" i="27"/>
  <c r="R108" i="27"/>
  <c r="R106" i="27"/>
  <c r="R103" i="27"/>
  <c r="F62" i="27"/>
  <c r="F64" i="27" s="1"/>
  <c r="B111" i="27"/>
  <c r="B109" i="27"/>
  <c r="B107" i="27"/>
  <c r="B104" i="27"/>
  <c r="B112" i="27"/>
  <c r="B110" i="27"/>
  <c r="B108" i="27"/>
  <c r="B106" i="27"/>
  <c r="B105" i="27"/>
  <c r="B103" i="27"/>
  <c r="P111" i="27"/>
  <c r="P109" i="27"/>
  <c r="P107" i="27"/>
  <c r="P105" i="27"/>
  <c r="P104" i="27"/>
  <c r="P112" i="27"/>
  <c r="P110" i="27"/>
  <c r="P108" i="27"/>
  <c r="P106" i="27"/>
  <c r="P103" i="27"/>
  <c r="U18" i="27"/>
  <c r="J110" i="27"/>
  <c r="E132" i="27"/>
  <c r="BF145" i="37" l="1"/>
  <c r="G64" i="37"/>
  <c r="H62" i="37"/>
  <c r="G63" i="37"/>
  <c r="O127" i="37"/>
  <c r="AD127" i="37" s="1"/>
  <c r="AC127" i="37"/>
  <c r="BD137" i="36"/>
  <c r="AZ137" i="36"/>
  <c r="AV137" i="36"/>
  <c r="AR137" i="36"/>
  <c r="AN137" i="36"/>
  <c r="AJ137" i="36"/>
  <c r="AF137" i="36"/>
  <c r="AB137" i="36"/>
  <c r="BC137" i="36"/>
  <c r="AY137" i="36"/>
  <c r="AU137" i="36"/>
  <c r="AQ137" i="36"/>
  <c r="AM137" i="36"/>
  <c r="AI137" i="36"/>
  <c r="AE137" i="36"/>
  <c r="AA137" i="36"/>
  <c r="BA137" i="36"/>
  <c r="AS137" i="36"/>
  <c r="AK137" i="36"/>
  <c r="AC137" i="36"/>
  <c r="W137" i="36"/>
  <c r="S137" i="36"/>
  <c r="O137" i="36"/>
  <c r="K137" i="36"/>
  <c r="AT137" i="36"/>
  <c r="X137" i="36"/>
  <c r="P137" i="36"/>
  <c r="AX137" i="36"/>
  <c r="AP137" i="36"/>
  <c r="AH137" i="36"/>
  <c r="Z137" i="36"/>
  <c r="V137" i="36"/>
  <c r="R137" i="36"/>
  <c r="N137" i="36"/>
  <c r="J137" i="36"/>
  <c r="AL137" i="36"/>
  <c r="L137" i="36"/>
  <c r="BE137" i="36"/>
  <c r="AW137" i="36"/>
  <c r="AO137" i="36"/>
  <c r="AG137" i="36"/>
  <c r="Y137" i="36"/>
  <c r="U137" i="36"/>
  <c r="Q137" i="36"/>
  <c r="M137" i="36"/>
  <c r="I137" i="36"/>
  <c r="BF137" i="36" s="1"/>
  <c r="BB137" i="36"/>
  <c r="AD137" i="36"/>
  <c r="T137" i="36"/>
  <c r="BE141" i="36"/>
  <c r="BA141" i="36"/>
  <c r="AW141" i="36"/>
  <c r="AS141" i="36"/>
  <c r="AO141" i="36"/>
  <c r="AK141" i="36"/>
  <c r="AG141" i="36"/>
  <c r="AC141" i="36"/>
  <c r="Y141" i="36"/>
  <c r="U141" i="36"/>
  <c r="Q141" i="36"/>
  <c r="M141" i="36"/>
  <c r="I141" i="36"/>
  <c r="BD141" i="36"/>
  <c r="AZ141" i="36"/>
  <c r="AV141" i="36"/>
  <c r="AR141" i="36"/>
  <c r="AN141" i="36"/>
  <c r="AJ141" i="36"/>
  <c r="AF141" i="36"/>
  <c r="AB141" i="36"/>
  <c r="X141" i="36"/>
  <c r="T141" i="36"/>
  <c r="P141" i="36"/>
  <c r="L141" i="36"/>
  <c r="BC141" i="36"/>
  <c r="AY141" i="36"/>
  <c r="AU141" i="36"/>
  <c r="AQ141" i="36"/>
  <c r="AM141" i="36"/>
  <c r="AI141" i="36"/>
  <c r="AE141" i="36"/>
  <c r="AA141" i="36"/>
  <c r="W141" i="36"/>
  <c r="S141" i="36"/>
  <c r="O141" i="36"/>
  <c r="K141" i="36"/>
  <c r="AT141" i="36"/>
  <c r="AD141" i="36"/>
  <c r="N141" i="36"/>
  <c r="AX141" i="36"/>
  <c r="AP141" i="36"/>
  <c r="Z141" i="36"/>
  <c r="J141" i="36"/>
  <c r="R141" i="36"/>
  <c r="BB141" i="36"/>
  <c r="AL141" i="36"/>
  <c r="V141" i="36"/>
  <c r="AH141" i="36"/>
  <c r="BD140" i="36"/>
  <c r="AN140" i="36"/>
  <c r="X140" i="36"/>
  <c r="BC140" i="36"/>
  <c r="AM140" i="36"/>
  <c r="W140" i="36"/>
  <c r="BB140" i="36"/>
  <c r="AL140" i="36"/>
  <c r="V140" i="36"/>
  <c r="I140" i="36"/>
  <c r="Y140" i="36"/>
  <c r="AK140" i="36"/>
  <c r="J140" i="36"/>
  <c r="P140" i="36"/>
  <c r="AC140" i="36"/>
  <c r="R140" i="36"/>
  <c r="AR140" i="36"/>
  <c r="AB140" i="36"/>
  <c r="L140" i="36"/>
  <c r="AQ140" i="36"/>
  <c r="AA140" i="36"/>
  <c r="K140" i="36"/>
  <c r="Z140" i="36"/>
  <c r="Q140" i="36"/>
  <c r="BA140" i="36"/>
  <c r="AZ140" i="36"/>
  <c r="AJ140" i="36"/>
  <c r="T140" i="36"/>
  <c r="AY140" i="36"/>
  <c r="AI140" i="36"/>
  <c r="S140" i="36"/>
  <c r="AX140" i="36"/>
  <c r="AH140" i="36"/>
  <c r="AS140" i="36"/>
  <c r="AG140" i="36"/>
  <c r="N140" i="36"/>
  <c r="U140" i="36"/>
  <c r="AV140" i="36"/>
  <c r="AF140" i="36"/>
  <c r="AU140" i="36"/>
  <c r="AE140" i="36"/>
  <c r="O140" i="36"/>
  <c r="AT140" i="36"/>
  <c r="AD140" i="36"/>
  <c r="BE140" i="36"/>
  <c r="M140" i="36"/>
  <c r="AP140" i="36"/>
  <c r="AO140" i="36"/>
  <c r="AW140" i="36"/>
  <c r="O127" i="36"/>
  <c r="AD127" i="36" s="1"/>
  <c r="AC127" i="36"/>
  <c r="BC149" i="36"/>
  <c r="AY149" i="36"/>
  <c r="AU149" i="36"/>
  <c r="AQ149" i="36"/>
  <c r="BE149" i="36"/>
  <c r="AZ149" i="36"/>
  <c r="AT149" i="36"/>
  <c r="AO149" i="36"/>
  <c r="AK149" i="36"/>
  <c r="AG149" i="36"/>
  <c r="AC149" i="36"/>
  <c r="Y149" i="36"/>
  <c r="U149" i="36"/>
  <c r="Q149" i="36"/>
  <c r="M149" i="36"/>
  <c r="I149" i="36"/>
  <c r="BD149" i="36"/>
  <c r="AX149" i="36"/>
  <c r="AS149" i="36"/>
  <c r="AN149" i="36"/>
  <c r="AJ149" i="36"/>
  <c r="AF149" i="36"/>
  <c r="AB149" i="36"/>
  <c r="X149" i="36"/>
  <c r="T149" i="36"/>
  <c r="P149" i="36"/>
  <c r="L149" i="36"/>
  <c r="BB149" i="36"/>
  <c r="AW149" i="36"/>
  <c r="AR149" i="36"/>
  <c r="AM149" i="36"/>
  <c r="AI149" i="36"/>
  <c r="AE149" i="36"/>
  <c r="AA149" i="36"/>
  <c r="W149" i="36"/>
  <c r="S149" i="36"/>
  <c r="O149" i="36"/>
  <c r="K149" i="36"/>
  <c r="AL149" i="36"/>
  <c r="V149" i="36"/>
  <c r="Z149" i="36"/>
  <c r="J149" i="36"/>
  <c r="BA149" i="36"/>
  <c r="AH149" i="36"/>
  <c r="R149" i="36"/>
  <c r="AV149" i="36"/>
  <c r="AD149" i="36"/>
  <c r="N149" i="36"/>
  <c r="AP149" i="36"/>
  <c r="BF136" i="37"/>
  <c r="BF131" i="37"/>
  <c r="BF138" i="37"/>
  <c r="I62" i="36"/>
  <c r="H63" i="36"/>
  <c r="H64" i="36"/>
  <c r="BF146" i="37"/>
  <c r="BD148" i="36"/>
  <c r="AZ148" i="36"/>
  <c r="AV148" i="36"/>
  <c r="AR148" i="36"/>
  <c r="AN148" i="36"/>
  <c r="AJ148" i="36"/>
  <c r="AF148" i="36"/>
  <c r="AB148" i="36"/>
  <c r="X148" i="36"/>
  <c r="T148" i="36"/>
  <c r="P148" i="36"/>
  <c r="L148" i="36"/>
  <c r="BC148" i="36"/>
  <c r="AY148" i="36"/>
  <c r="AU148" i="36"/>
  <c r="AQ148" i="36"/>
  <c r="AM148" i="36"/>
  <c r="AI148" i="36"/>
  <c r="AE148" i="36"/>
  <c r="AA148" i="36"/>
  <c r="W148" i="36"/>
  <c r="S148" i="36"/>
  <c r="O148" i="36"/>
  <c r="K148" i="36"/>
  <c r="BB148" i="36"/>
  <c r="AX148" i="36"/>
  <c r="AT148" i="36"/>
  <c r="AP148" i="36"/>
  <c r="AL148" i="36"/>
  <c r="AH148" i="36"/>
  <c r="AD148" i="36"/>
  <c r="Z148" i="36"/>
  <c r="V148" i="36"/>
  <c r="R148" i="36"/>
  <c r="N148" i="36"/>
  <c r="J148" i="36"/>
  <c r="BA148" i="36"/>
  <c r="AK148" i="36"/>
  <c r="U148" i="36"/>
  <c r="BE148" i="36"/>
  <c r="I148" i="36"/>
  <c r="BF148" i="36" s="1"/>
  <c r="AW148" i="36"/>
  <c r="AG148" i="36"/>
  <c r="Q148" i="36"/>
  <c r="Y148" i="36"/>
  <c r="AS148" i="36"/>
  <c r="AC148" i="36"/>
  <c r="M148" i="36"/>
  <c r="AO148" i="36"/>
  <c r="BC139" i="36"/>
  <c r="AY139" i="36"/>
  <c r="AU139" i="36"/>
  <c r="AQ139" i="36"/>
  <c r="AM139" i="36"/>
  <c r="AI139" i="36"/>
  <c r="AE139" i="36"/>
  <c r="AA139" i="36"/>
  <c r="W139" i="36"/>
  <c r="S139" i="36"/>
  <c r="O139" i="36"/>
  <c r="K139" i="36"/>
  <c r="BB139" i="36"/>
  <c r="AX139" i="36"/>
  <c r="AT139" i="36"/>
  <c r="AP139" i="36"/>
  <c r="AL139" i="36"/>
  <c r="AH139" i="36"/>
  <c r="AD139" i="36"/>
  <c r="Z139" i="36"/>
  <c r="V139" i="36"/>
  <c r="R139" i="36"/>
  <c r="N139" i="36"/>
  <c r="J139" i="36"/>
  <c r="BE139" i="36"/>
  <c r="AW139" i="36"/>
  <c r="AO139" i="36"/>
  <c r="AG139" i="36"/>
  <c r="Y139" i="36"/>
  <c r="Q139" i="36"/>
  <c r="I139" i="36"/>
  <c r="AR139" i="36"/>
  <c r="T139" i="36"/>
  <c r="BD139" i="36"/>
  <c r="AV139" i="36"/>
  <c r="AN139" i="36"/>
  <c r="AF139" i="36"/>
  <c r="X139" i="36"/>
  <c r="P139" i="36"/>
  <c r="AZ139" i="36"/>
  <c r="AB139" i="36"/>
  <c r="BA139" i="36"/>
  <c r="AS139" i="36"/>
  <c r="AK139" i="36"/>
  <c r="AC139" i="36"/>
  <c r="U139" i="36"/>
  <c r="M139" i="36"/>
  <c r="AJ139" i="36"/>
  <c r="L139" i="36"/>
  <c r="BB142" i="36"/>
  <c r="AX142" i="36"/>
  <c r="AT142" i="36"/>
  <c r="AP142" i="36"/>
  <c r="AL142" i="36"/>
  <c r="AH142" i="36"/>
  <c r="AD142" i="36"/>
  <c r="Z142" i="36"/>
  <c r="V142" i="36"/>
  <c r="R142" i="36"/>
  <c r="N142" i="36"/>
  <c r="J142" i="36"/>
  <c r="BE142" i="36"/>
  <c r="BA142" i="36"/>
  <c r="AW142" i="36"/>
  <c r="AS142" i="36"/>
  <c r="AO142" i="36"/>
  <c r="AK142" i="36"/>
  <c r="AG142" i="36"/>
  <c r="AC142" i="36"/>
  <c r="Y142" i="36"/>
  <c r="U142" i="36"/>
  <c r="Q142" i="36"/>
  <c r="M142" i="36"/>
  <c r="I142" i="36"/>
  <c r="BD142" i="36"/>
  <c r="AZ142" i="36"/>
  <c r="AV142" i="36"/>
  <c r="AR142" i="36"/>
  <c r="AN142" i="36"/>
  <c r="AJ142" i="36"/>
  <c r="AF142" i="36"/>
  <c r="AB142" i="36"/>
  <c r="X142" i="36"/>
  <c r="T142" i="36"/>
  <c r="P142" i="36"/>
  <c r="L142" i="36"/>
  <c r="AU142" i="36"/>
  <c r="AE142" i="36"/>
  <c r="O142" i="36"/>
  <c r="AY142" i="36"/>
  <c r="AQ142" i="36"/>
  <c r="AA142" i="36"/>
  <c r="K142" i="36"/>
  <c r="S142" i="36"/>
  <c r="BC142" i="36"/>
  <c r="AM142" i="36"/>
  <c r="W142" i="36"/>
  <c r="AI142" i="36"/>
  <c r="BF134" i="37"/>
  <c r="D63" i="37"/>
  <c r="D64" i="37"/>
  <c r="E64" i="37"/>
  <c r="BB130" i="36"/>
  <c r="AX130" i="36"/>
  <c r="AT130" i="36"/>
  <c r="AP130" i="36"/>
  <c r="AL130" i="36"/>
  <c r="AH130" i="36"/>
  <c r="AD130" i="36"/>
  <c r="Z130" i="36"/>
  <c r="V130" i="36"/>
  <c r="R130" i="36"/>
  <c r="N130" i="36"/>
  <c r="J130" i="36"/>
  <c r="BB129" i="36"/>
  <c r="AX129" i="36"/>
  <c r="AT129" i="36"/>
  <c r="AP129" i="36"/>
  <c r="AL129" i="36"/>
  <c r="AH129" i="36"/>
  <c r="AD129" i="36"/>
  <c r="Z129" i="36"/>
  <c r="V129" i="36"/>
  <c r="R129" i="36"/>
  <c r="N129" i="36"/>
  <c r="J129" i="36"/>
  <c r="AY130" i="36"/>
  <c r="AM130" i="36"/>
  <c r="AA130" i="36"/>
  <c r="K130" i="36"/>
  <c r="BC129" i="36"/>
  <c r="AU129" i="36"/>
  <c r="AI129" i="36"/>
  <c r="AA129" i="36"/>
  <c r="O129" i="36"/>
  <c r="BE130" i="36"/>
  <c r="BA130" i="36"/>
  <c r="AW130" i="36"/>
  <c r="AS130" i="36"/>
  <c r="AO130" i="36"/>
  <c r="AK130" i="36"/>
  <c r="AG130" i="36"/>
  <c r="AC130" i="36"/>
  <c r="Y130" i="36"/>
  <c r="U130" i="36"/>
  <c r="Q130" i="36"/>
  <c r="M130" i="36"/>
  <c r="I130" i="36"/>
  <c r="BE129" i="36"/>
  <c r="BA129" i="36"/>
  <c r="AW129" i="36"/>
  <c r="AS129" i="36"/>
  <c r="AO129" i="36"/>
  <c r="AK129" i="36"/>
  <c r="AG129" i="36"/>
  <c r="AC129" i="36"/>
  <c r="Y129" i="36"/>
  <c r="U129" i="36"/>
  <c r="Q129" i="36"/>
  <c r="M129" i="36"/>
  <c r="I129" i="36"/>
  <c r="BC130" i="36"/>
  <c r="AQ130" i="36"/>
  <c r="S130" i="36"/>
  <c r="AY129" i="36"/>
  <c r="AM129" i="36"/>
  <c r="W129" i="36"/>
  <c r="K129" i="36"/>
  <c r="BD130" i="36"/>
  <c r="AZ130" i="36"/>
  <c r="AV130" i="36"/>
  <c r="AR130" i="36"/>
  <c r="AN130" i="36"/>
  <c r="AJ130" i="36"/>
  <c r="AF130" i="36"/>
  <c r="AB130" i="36"/>
  <c r="X130" i="36"/>
  <c r="T130" i="36"/>
  <c r="P130" i="36"/>
  <c r="L130" i="36"/>
  <c r="BD129" i="36"/>
  <c r="AZ129" i="36"/>
  <c r="AV129" i="36"/>
  <c r="AR129" i="36"/>
  <c r="AN129" i="36"/>
  <c r="AJ129" i="36"/>
  <c r="AF129" i="36"/>
  <c r="AB129" i="36"/>
  <c r="X129" i="36"/>
  <c r="T129" i="36"/>
  <c r="P129" i="36"/>
  <c r="L129" i="36"/>
  <c r="AU130" i="36"/>
  <c r="AI130" i="36"/>
  <c r="AE130" i="36"/>
  <c r="W130" i="36"/>
  <c r="O130" i="36"/>
  <c r="AQ129" i="36"/>
  <c r="AE129" i="36"/>
  <c r="S129" i="36"/>
  <c r="BE138" i="36"/>
  <c r="BA138" i="36"/>
  <c r="AW138" i="36"/>
  <c r="AS138" i="36"/>
  <c r="AO138" i="36"/>
  <c r="AK138" i="36"/>
  <c r="AG138" i="36"/>
  <c r="AC138" i="36"/>
  <c r="Y138" i="36"/>
  <c r="U138" i="36"/>
  <c r="Q138" i="36"/>
  <c r="M138" i="36"/>
  <c r="I138" i="36"/>
  <c r="BD138" i="36"/>
  <c r="AZ138" i="36"/>
  <c r="AV138" i="36"/>
  <c r="AR138" i="36"/>
  <c r="AN138" i="36"/>
  <c r="AJ138" i="36"/>
  <c r="AF138" i="36"/>
  <c r="AB138" i="36"/>
  <c r="X138" i="36"/>
  <c r="T138" i="36"/>
  <c r="P138" i="36"/>
  <c r="L138" i="36"/>
  <c r="AX138" i="36"/>
  <c r="AP138" i="36"/>
  <c r="AH138" i="36"/>
  <c r="Z138" i="36"/>
  <c r="R138" i="36"/>
  <c r="J138" i="36"/>
  <c r="AY138" i="36"/>
  <c r="AA138" i="36"/>
  <c r="BC138" i="36"/>
  <c r="AU138" i="36"/>
  <c r="AM138" i="36"/>
  <c r="AE138" i="36"/>
  <c r="W138" i="36"/>
  <c r="O138" i="36"/>
  <c r="S138" i="36"/>
  <c r="BB138" i="36"/>
  <c r="AT138" i="36"/>
  <c r="AL138" i="36"/>
  <c r="AD138" i="36"/>
  <c r="V138" i="36"/>
  <c r="N138" i="36"/>
  <c r="AQ138" i="36"/>
  <c r="AI138" i="36"/>
  <c r="K138" i="36"/>
  <c r="BD134" i="36"/>
  <c r="AZ134" i="36"/>
  <c r="AV134" i="36"/>
  <c r="AR134" i="36"/>
  <c r="AN134" i="36"/>
  <c r="AJ134" i="36"/>
  <c r="AF134" i="36"/>
  <c r="AB134" i="36"/>
  <c r="X134" i="36"/>
  <c r="T134" i="36"/>
  <c r="P134" i="36"/>
  <c r="L134" i="36"/>
  <c r="BA134" i="36"/>
  <c r="AO134" i="36"/>
  <c r="Y134" i="36"/>
  <c r="M134" i="36"/>
  <c r="BC134" i="36"/>
  <c r="AY134" i="36"/>
  <c r="AU134" i="36"/>
  <c r="AQ134" i="36"/>
  <c r="AM134" i="36"/>
  <c r="AI134" i="36"/>
  <c r="AE134" i="36"/>
  <c r="AA134" i="36"/>
  <c r="W134" i="36"/>
  <c r="S134" i="36"/>
  <c r="O134" i="36"/>
  <c r="K134" i="36"/>
  <c r="BE134" i="36"/>
  <c r="AS134" i="36"/>
  <c r="AG134" i="36"/>
  <c r="U134" i="36"/>
  <c r="I134" i="36"/>
  <c r="BB134" i="36"/>
  <c r="AX134" i="36"/>
  <c r="AT134" i="36"/>
  <c r="AP134" i="36"/>
  <c r="AL134" i="36"/>
  <c r="AH134" i="36"/>
  <c r="AD134" i="36"/>
  <c r="Z134" i="36"/>
  <c r="V134" i="36"/>
  <c r="R134" i="36"/>
  <c r="N134" i="36"/>
  <c r="J134" i="36"/>
  <c r="AW134" i="36"/>
  <c r="AK134" i="36"/>
  <c r="AC134" i="36"/>
  <c r="Q134" i="36"/>
  <c r="C64" i="37"/>
  <c r="C63" i="37"/>
  <c r="BF135" i="37"/>
  <c r="BC143" i="36"/>
  <c r="AY143" i="36"/>
  <c r="AU143" i="36"/>
  <c r="AQ143" i="36"/>
  <c r="AM143" i="36"/>
  <c r="AI143" i="36"/>
  <c r="AE143" i="36"/>
  <c r="AA143" i="36"/>
  <c r="W143" i="36"/>
  <c r="S143" i="36"/>
  <c r="O143" i="36"/>
  <c r="K143" i="36"/>
  <c r="BB143" i="36"/>
  <c r="AX143" i="36"/>
  <c r="AT143" i="36"/>
  <c r="AP143" i="36"/>
  <c r="AL143" i="36"/>
  <c r="AH143" i="36"/>
  <c r="AD143" i="36"/>
  <c r="Z143" i="36"/>
  <c r="V143" i="36"/>
  <c r="R143" i="36"/>
  <c r="N143" i="36"/>
  <c r="J143" i="36"/>
  <c r="BE143" i="36"/>
  <c r="BA143" i="36"/>
  <c r="AW143" i="36"/>
  <c r="AS143" i="36"/>
  <c r="AO143" i="36"/>
  <c r="AK143" i="36"/>
  <c r="AG143" i="36"/>
  <c r="AC143" i="36"/>
  <c r="Y143" i="36"/>
  <c r="U143" i="36"/>
  <c r="Q143" i="36"/>
  <c r="M143" i="36"/>
  <c r="I143" i="36"/>
  <c r="AZ143" i="36"/>
  <c r="AJ143" i="36"/>
  <c r="T143" i="36"/>
  <c r="AN143" i="36"/>
  <c r="AV143" i="36"/>
  <c r="AF143" i="36"/>
  <c r="P143" i="36"/>
  <c r="AR143" i="36"/>
  <c r="AB143" i="36"/>
  <c r="L143" i="36"/>
  <c r="BD143" i="36"/>
  <c r="X143" i="36"/>
  <c r="BE135" i="36"/>
  <c r="BA135" i="36"/>
  <c r="AW135" i="36"/>
  <c r="AS135" i="36"/>
  <c r="AO135" i="36"/>
  <c r="AK135" i="36"/>
  <c r="AG135" i="36"/>
  <c r="AC135" i="36"/>
  <c r="Y135" i="36"/>
  <c r="U135" i="36"/>
  <c r="Q135" i="36"/>
  <c r="M135" i="36"/>
  <c r="I135" i="36"/>
  <c r="AH135" i="36"/>
  <c r="R135" i="36"/>
  <c r="BD135" i="36"/>
  <c r="AZ135" i="36"/>
  <c r="AV135" i="36"/>
  <c r="AR135" i="36"/>
  <c r="AN135" i="36"/>
  <c r="AJ135" i="36"/>
  <c r="AF135" i="36"/>
  <c r="AB135" i="36"/>
  <c r="X135" i="36"/>
  <c r="T135" i="36"/>
  <c r="P135" i="36"/>
  <c r="L135" i="36"/>
  <c r="BB135" i="36"/>
  <c r="AT135" i="36"/>
  <c r="AL135" i="36"/>
  <c r="Z135" i="36"/>
  <c r="N135" i="36"/>
  <c r="BC135" i="36"/>
  <c r="AY135" i="36"/>
  <c r="AU135" i="36"/>
  <c r="AQ135" i="36"/>
  <c r="AM135" i="36"/>
  <c r="AI135" i="36"/>
  <c r="AE135" i="36"/>
  <c r="AA135" i="36"/>
  <c r="W135" i="36"/>
  <c r="S135" i="36"/>
  <c r="O135" i="36"/>
  <c r="K135" i="36"/>
  <c r="AX135" i="36"/>
  <c r="AP135" i="36"/>
  <c r="AD135" i="36"/>
  <c r="V135" i="36"/>
  <c r="J135" i="36"/>
  <c r="BB132" i="36"/>
  <c r="AX132" i="36"/>
  <c r="AT132" i="36"/>
  <c r="AP132" i="36"/>
  <c r="AL132" i="36"/>
  <c r="AH132" i="36"/>
  <c r="AD132" i="36"/>
  <c r="Z132" i="36"/>
  <c r="V132" i="36"/>
  <c r="R132" i="36"/>
  <c r="N132" i="36"/>
  <c r="J132" i="36"/>
  <c r="AQ132" i="36"/>
  <c r="AE132" i="36"/>
  <c r="S132" i="36"/>
  <c r="BE132" i="36"/>
  <c r="BA132" i="36"/>
  <c r="AW132" i="36"/>
  <c r="AS132" i="36"/>
  <c r="AO132" i="36"/>
  <c r="AK132" i="36"/>
  <c r="AG132" i="36"/>
  <c r="AC132" i="36"/>
  <c r="Y132" i="36"/>
  <c r="U132" i="36"/>
  <c r="Q132" i="36"/>
  <c r="M132" i="36"/>
  <c r="I132" i="36"/>
  <c r="AY132" i="36"/>
  <c r="AM132" i="36"/>
  <c r="AA132" i="36"/>
  <c r="O132" i="36"/>
  <c r="BD132" i="36"/>
  <c r="AZ132" i="36"/>
  <c r="AV132" i="36"/>
  <c r="AR132" i="36"/>
  <c r="AN132" i="36"/>
  <c r="AJ132" i="36"/>
  <c r="AF132" i="36"/>
  <c r="AB132" i="36"/>
  <c r="X132" i="36"/>
  <c r="T132" i="36"/>
  <c r="P132" i="36"/>
  <c r="L132" i="36"/>
  <c r="BC132" i="36"/>
  <c r="AU132" i="36"/>
  <c r="AI132" i="36"/>
  <c r="W132" i="36"/>
  <c r="K132" i="36"/>
  <c r="BF147" i="37"/>
  <c r="BF142" i="37"/>
  <c r="BF148" i="37"/>
  <c r="BF130" i="37"/>
  <c r="BF133" i="37"/>
  <c r="BD144" i="36"/>
  <c r="AZ144" i="36"/>
  <c r="AV144" i="36"/>
  <c r="AR144" i="36"/>
  <c r="AN144" i="36"/>
  <c r="AJ144" i="36"/>
  <c r="AF144" i="36"/>
  <c r="AB144" i="36"/>
  <c r="X144" i="36"/>
  <c r="T144" i="36"/>
  <c r="P144" i="36"/>
  <c r="L144" i="36"/>
  <c r="BC144" i="36"/>
  <c r="AY144" i="36"/>
  <c r="AU144" i="36"/>
  <c r="AQ144" i="36"/>
  <c r="AM144" i="36"/>
  <c r="AI144" i="36"/>
  <c r="AE144" i="36"/>
  <c r="AA144" i="36"/>
  <c r="W144" i="36"/>
  <c r="S144" i="36"/>
  <c r="O144" i="36"/>
  <c r="K144" i="36"/>
  <c r="BB144" i="36"/>
  <c r="AX144" i="36"/>
  <c r="AT144" i="36"/>
  <c r="AP144" i="36"/>
  <c r="AL144" i="36"/>
  <c r="AH144" i="36"/>
  <c r="AD144" i="36"/>
  <c r="Z144" i="36"/>
  <c r="V144" i="36"/>
  <c r="R144" i="36"/>
  <c r="N144" i="36"/>
  <c r="J144" i="36"/>
  <c r="BE144" i="36"/>
  <c r="AO144" i="36"/>
  <c r="Y144" i="36"/>
  <c r="I144" i="36"/>
  <c r="AC144" i="36"/>
  <c r="BA144" i="36"/>
  <c r="AK144" i="36"/>
  <c r="U144" i="36"/>
  <c r="M144" i="36"/>
  <c r="AW144" i="36"/>
  <c r="AG144" i="36"/>
  <c r="Q144" i="36"/>
  <c r="AS144" i="36"/>
  <c r="BB131" i="36"/>
  <c r="AX131" i="36"/>
  <c r="AT131" i="36"/>
  <c r="AP131" i="36"/>
  <c r="AL131" i="36"/>
  <c r="AH131" i="36"/>
  <c r="AD131" i="36"/>
  <c r="Z131" i="36"/>
  <c r="V131" i="36"/>
  <c r="R131" i="36"/>
  <c r="N131" i="36"/>
  <c r="J131" i="36"/>
  <c r="BC131" i="36"/>
  <c r="AQ131" i="36"/>
  <c r="AA131" i="36"/>
  <c r="O131" i="36"/>
  <c r="BE131" i="36"/>
  <c r="BA131" i="36"/>
  <c r="AW131" i="36"/>
  <c r="AS131" i="36"/>
  <c r="AO131" i="36"/>
  <c r="AK131" i="36"/>
  <c r="AG131" i="36"/>
  <c r="AC131" i="36"/>
  <c r="Y131" i="36"/>
  <c r="U131" i="36"/>
  <c r="Q131" i="36"/>
  <c r="M131" i="36"/>
  <c r="I131" i="36"/>
  <c r="AU131" i="36"/>
  <c r="AI131" i="36"/>
  <c r="W131" i="36"/>
  <c r="K131" i="36"/>
  <c r="BD131" i="36"/>
  <c r="AZ131" i="36"/>
  <c r="AV131" i="36"/>
  <c r="AR131" i="36"/>
  <c r="AN131" i="36"/>
  <c r="AJ131" i="36"/>
  <c r="AF131" i="36"/>
  <c r="AB131" i="36"/>
  <c r="X131" i="36"/>
  <c r="T131" i="36"/>
  <c r="P131" i="36"/>
  <c r="L131" i="36"/>
  <c r="AY131" i="36"/>
  <c r="AM131" i="36"/>
  <c r="AE131" i="36"/>
  <c r="S131" i="36"/>
  <c r="BE145" i="36"/>
  <c r="BA145" i="36"/>
  <c r="AW145" i="36"/>
  <c r="AS145" i="36"/>
  <c r="AO145" i="36"/>
  <c r="AK145" i="36"/>
  <c r="AG145" i="36"/>
  <c r="AC145" i="36"/>
  <c r="Y145" i="36"/>
  <c r="U145" i="36"/>
  <c r="Q145" i="36"/>
  <c r="M145" i="36"/>
  <c r="I145" i="36"/>
  <c r="BD145" i="36"/>
  <c r="AZ145" i="36"/>
  <c r="AV145" i="36"/>
  <c r="AR145" i="36"/>
  <c r="AN145" i="36"/>
  <c r="AJ145" i="36"/>
  <c r="AF145" i="36"/>
  <c r="AB145" i="36"/>
  <c r="X145" i="36"/>
  <c r="T145" i="36"/>
  <c r="P145" i="36"/>
  <c r="L145" i="36"/>
  <c r="BC145" i="36"/>
  <c r="AY145" i="36"/>
  <c r="AU145" i="36"/>
  <c r="AQ145" i="36"/>
  <c r="AM145" i="36"/>
  <c r="AI145" i="36"/>
  <c r="AE145" i="36"/>
  <c r="AA145" i="36"/>
  <c r="W145" i="36"/>
  <c r="S145" i="36"/>
  <c r="O145" i="36"/>
  <c r="K145" i="36"/>
  <c r="AP145" i="36"/>
  <c r="Z145" i="36"/>
  <c r="J145" i="36"/>
  <c r="AD145" i="36"/>
  <c r="BB145" i="36"/>
  <c r="AL145" i="36"/>
  <c r="V145" i="36"/>
  <c r="N145" i="36"/>
  <c r="AX145" i="36"/>
  <c r="AH145" i="36"/>
  <c r="R145" i="36"/>
  <c r="AT145" i="36"/>
  <c r="BB136" i="36"/>
  <c r="AX136" i="36"/>
  <c r="AT136" i="36"/>
  <c r="AP136" i="36"/>
  <c r="AL136" i="36"/>
  <c r="AH136" i="36"/>
  <c r="AD136" i="36"/>
  <c r="Z136" i="36"/>
  <c r="V136" i="36"/>
  <c r="R136" i="36"/>
  <c r="N136" i="36"/>
  <c r="J136" i="36"/>
  <c r="AQ136" i="36"/>
  <c r="AI136" i="36"/>
  <c r="W136" i="36"/>
  <c r="K136" i="36"/>
  <c r="BE136" i="36"/>
  <c r="BA136" i="36"/>
  <c r="AW136" i="36"/>
  <c r="AS136" i="36"/>
  <c r="AO136" i="36"/>
  <c r="AK136" i="36"/>
  <c r="AG136" i="36"/>
  <c r="AC136" i="36"/>
  <c r="Y136" i="36"/>
  <c r="U136" i="36"/>
  <c r="Q136" i="36"/>
  <c r="M136" i="36"/>
  <c r="I136" i="36"/>
  <c r="BC136" i="36"/>
  <c r="AU136" i="36"/>
  <c r="AE136" i="36"/>
  <c r="O136" i="36"/>
  <c r="BD136" i="36"/>
  <c r="AZ136" i="36"/>
  <c r="AV136" i="36"/>
  <c r="AR136" i="36"/>
  <c r="AN136" i="36"/>
  <c r="AJ136" i="36"/>
  <c r="AF136" i="36"/>
  <c r="AB136" i="36"/>
  <c r="X136" i="36"/>
  <c r="T136" i="36"/>
  <c r="P136" i="36"/>
  <c r="L136" i="36"/>
  <c r="AY136" i="36"/>
  <c r="AM136" i="36"/>
  <c r="AA136" i="36"/>
  <c r="S136" i="36"/>
  <c r="BC147" i="36"/>
  <c r="AY147" i="36"/>
  <c r="AU147" i="36"/>
  <c r="AQ147" i="36"/>
  <c r="AM147" i="36"/>
  <c r="AI147" i="36"/>
  <c r="AE147" i="36"/>
  <c r="AA147" i="36"/>
  <c r="W147" i="36"/>
  <c r="S147" i="36"/>
  <c r="O147" i="36"/>
  <c r="K147" i="36"/>
  <c r="BB147" i="36"/>
  <c r="AX147" i="36"/>
  <c r="AT147" i="36"/>
  <c r="AP147" i="36"/>
  <c r="AL147" i="36"/>
  <c r="AH147" i="36"/>
  <c r="AD147" i="36"/>
  <c r="Z147" i="36"/>
  <c r="V147" i="36"/>
  <c r="R147" i="36"/>
  <c r="N147" i="36"/>
  <c r="J147" i="36"/>
  <c r="BE147" i="36"/>
  <c r="BA147" i="36"/>
  <c r="AW147" i="36"/>
  <c r="AS147" i="36"/>
  <c r="AO147" i="36"/>
  <c r="AK147" i="36"/>
  <c r="AG147" i="36"/>
  <c r="AC147" i="36"/>
  <c r="Y147" i="36"/>
  <c r="U147" i="36"/>
  <c r="Q147" i="36"/>
  <c r="M147" i="36"/>
  <c r="I147" i="36"/>
  <c r="AV147" i="36"/>
  <c r="AF147" i="36"/>
  <c r="P147" i="36"/>
  <c r="AR147" i="36"/>
  <c r="AB147" i="36"/>
  <c r="L147" i="36"/>
  <c r="AJ147" i="36"/>
  <c r="BD147" i="36"/>
  <c r="AN147" i="36"/>
  <c r="X147" i="36"/>
  <c r="AZ147" i="36"/>
  <c r="T147" i="36"/>
  <c r="BC133" i="36"/>
  <c r="AY133" i="36"/>
  <c r="AU133" i="36"/>
  <c r="AQ133" i="36"/>
  <c r="AM133" i="36"/>
  <c r="AI133" i="36"/>
  <c r="AE133" i="36"/>
  <c r="AA133" i="36"/>
  <c r="W133" i="36"/>
  <c r="S133" i="36"/>
  <c r="O133" i="36"/>
  <c r="K133" i="36"/>
  <c r="BD133" i="36"/>
  <c r="AR133" i="36"/>
  <c r="AF133" i="36"/>
  <c r="X133" i="36"/>
  <c r="P133" i="36"/>
  <c r="BB133" i="36"/>
  <c r="AX133" i="36"/>
  <c r="AT133" i="36"/>
  <c r="AP133" i="36"/>
  <c r="AL133" i="36"/>
  <c r="AH133" i="36"/>
  <c r="AD133" i="36"/>
  <c r="Z133" i="36"/>
  <c r="V133" i="36"/>
  <c r="R133" i="36"/>
  <c r="N133" i="36"/>
  <c r="J133" i="36"/>
  <c r="AZ133" i="36"/>
  <c r="AN133" i="36"/>
  <c r="T133" i="36"/>
  <c r="BE133" i="36"/>
  <c r="BA133" i="36"/>
  <c r="AW133" i="36"/>
  <c r="AS133" i="36"/>
  <c r="AO133" i="36"/>
  <c r="AK133" i="36"/>
  <c r="AG133" i="36"/>
  <c r="AC133" i="36"/>
  <c r="Y133" i="36"/>
  <c r="U133" i="36"/>
  <c r="Q133" i="36"/>
  <c r="M133" i="36"/>
  <c r="I133" i="36"/>
  <c r="AV133" i="36"/>
  <c r="AJ133" i="36"/>
  <c r="AB133" i="36"/>
  <c r="L133" i="36"/>
  <c r="BB146" i="36"/>
  <c r="AX146" i="36"/>
  <c r="AT146" i="36"/>
  <c r="AP146" i="36"/>
  <c r="AL146" i="36"/>
  <c r="AH146" i="36"/>
  <c r="AD146" i="36"/>
  <c r="Z146" i="36"/>
  <c r="V146" i="36"/>
  <c r="R146" i="36"/>
  <c r="N146" i="36"/>
  <c r="J146" i="36"/>
  <c r="BE146" i="36"/>
  <c r="BA146" i="36"/>
  <c r="AW146" i="36"/>
  <c r="AS146" i="36"/>
  <c r="AO146" i="36"/>
  <c r="AK146" i="36"/>
  <c r="AG146" i="36"/>
  <c r="AC146" i="36"/>
  <c r="Y146" i="36"/>
  <c r="U146" i="36"/>
  <c r="Q146" i="36"/>
  <c r="M146" i="36"/>
  <c r="I146" i="36"/>
  <c r="BD146" i="36"/>
  <c r="AZ146" i="36"/>
  <c r="AV146" i="36"/>
  <c r="AR146" i="36"/>
  <c r="AN146" i="36"/>
  <c r="AJ146" i="36"/>
  <c r="AF146" i="36"/>
  <c r="AB146" i="36"/>
  <c r="X146" i="36"/>
  <c r="T146" i="36"/>
  <c r="P146" i="36"/>
  <c r="L146" i="36"/>
  <c r="AQ146" i="36"/>
  <c r="AA146" i="36"/>
  <c r="K146" i="36"/>
  <c r="AU146" i="36"/>
  <c r="BC146" i="36"/>
  <c r="AM146" i="36"/>
  <c r="W146" i="36"/>
  <c r="O146" i="36"/>
  <c r="AY146" i="36"/>
  <c r="AI146" i="36"/>
  <c r="S146" i="36"/>
  <c r="AE146" i="36"/>
  <c r="BC144" i="32"/>
  <c r="AY144" i="32"/>
  <c r="AU144" i="32"/>
  <c r="AQ144" i="32"/>
  <c r="AM144" i="32"/>
  <c r="AI144" i="32"/>
  <c r="AE144" i="32"/>
  <c r="AA144" i="32"/>
  <c r="W144" i="32"/>
  <c r="S144" i="32"/>
  <c r="O144" i="32"/>
  <c r="K144" i="32"/>
  <c r="BB144" i="32"/>
  <c r="AX144" i="32"/>
  <c r="AT144" i="32"/>
  <c r="AP144" i="32"/>
  <c r="AL144" i="32"/>
  <c r="AH144" i="32"/>
  <c r="AD144" i="32"/>
  <c r="Z144" i="32"/>
  <c r="V144" i="32"/>
  <c r="R144" i="32"/>
  <c r="N144" i="32"/>
  <c r="J144" i="32"/>
  <c r="BE144" i="32"/>
  <c r="BA144" i="32"/>
  <c r="AW144" i="32"/>
  <c r="AS144" i="32"/>
  <c r="AO144" i="32"/>
  <c r="AK144" i="32"/>
  <c r="AG144" i="32"/>
  <c r="AC144" i="32"/>
  <c r="Y144" i="32"/>
  <c r="U144" i="32"/>
  <c r="Q144" i="32"/>
  <c r="M144" i="32"/>
  <c r="I144" i="32"/>
  <c r="AZ144" i="32"/>
  <c r="AJ144" i="32"/>
  <c r="T144" i="32"/>
  <c r="BD144" i="32"/>
  <c r="AV144" i="32"/>
  <c r="AF144" i="32"/>
  <c r="P144" i="32"/>
  <c r="X144" i="32"/>
  <c r="AR144" i="32"/>
  <c r="AB144" i="32"/>
  <c r="L144" i="32"/>
  <c r="AN144" i="32"/>
  <c r="BC148" i="32"/>
  <c r="AY148" i="32"/>
  <c r="AU148" i="32"/>
  <c r="AQ148" i="32"/>
  <c r="AM148" i="32"/>
  <c r="AI148" i="32"/>
  <c r="AE148" i="32"/>
  <c r="AA148" i="32"/>
  <c r="W148" i="32"/>
  <c r="S148" i="32"/>
  <c r="O148" i="32"/>
  <c r="K148" i="32"/>
  <c r="BB148" i="32"/>
  <c r="AX148" i="32"/>
  <c r="AT148" i="32"/>
  <c r="AP148" i="32"/>
  <c r="AL148" i="32"/>
  <c r="AH148" i="32"/>
  <c r="AD148" i="32"/>
  <c r="Z148" i="32"/>
  <c r="V148" i="32"/>
  <c r="R148" i="32"/>
  <c r="N148" i="32"/>
  <c r="J148" i="32"/>
  <c r="BE148" i="32"/>
  <c r="BA148" i="32"/>
  <c r="AW148" i="32"/>
  <c r="AS148" i="32"/>
  <c r="AO148" i="32"/>
  <c r="AK148" i="32"/>
  <c r="AG148" i="32"/>
  <c r="AC148" i="32"/>
  <c r="Y148" i="32"/>
  <c r="U148" i="32"/>
  <c r="Q148" i="32"/>
  <c r="M148" i="32"/>
  <c r="I148" i="32"/>
  <c r="AV148" i="32"/>
  <c r="AF148" i="32"/>
  <c r="P148" i="32"/>
  <c r="AZ148" i="32"/>
  <c r="T148" i="32"/>
  <c r="AR148" i="32"/>
  <c r="AB148" i="32"/>
  <c r="L148" i="32"/>
  <c r="AJ148" i="32"/>
  <c r="BD148" i="32"/>
  <c r="AN148" i="32"/>
  <c r="X148" i="32"/>
  <c r="BB131" i="32"/>
  <c r="AX131" i="32"/>
  <c r="AT131" i="32"/>
  <c r="AP131" i="32"/>
  <c r="AL131" i="32"/>
  <c r="AH131" i="32"/>
  <c r="AD131" i="32"/>
  <c r="Z131" i="32"/>
  <c r="V131" i="32"/>
  <c r="R131" i="32"/>
  <c r="N131" i="32"/>
  <c r="J131" i="32"/>
  <c r="BE131" i="32"/>
  <c r="BA131" i="32"/>
  <c r="AW131" i="32"/>
  <c r="AS131" i="32"/>
  <c r="AO131" i="32"/>
  <c r="AK131" i="32"/>
  <c r="AG131" i="32"/>
  <c r="AC131" i="32"/>
  <c r="Y131" i="32"/>
  <c r="U131" i="32"/>
  <c r="Q131" i="32"/>
  <c r="M131" i="32"/>
  <c r="I131" i="32"/>
  <c r="BD131" i="32"/>
  <c r="AZ131" i="32"/>
  <c r="AV131" i="32"/>
  <c r="AR131" i="32"/>
  <c r="AN131" i="32"/>
  <c r="AJ131" i="32"/>
  <c r="AF131" i="32"/>
  <c r="AB131" i="32"/>
  <c r="X131" i="32"/>
  <c r="T131" i="32"/>
  <c r="P131" i="32"/>
  <c r="L131" i="32"/>
  <c r="BC131" i="32"/>
  <c r="AM131" i="32"/>
  <c r="W131" i="32"/>
  <c r="K131" i="32"/>
  <c r="AY131" i="32"/>
  <c r="AI131" i="32"/>
  <c r="S131" i="32"/>
  <c r="AQ131" i="32"/>
  <c r="AA131" i="32"/>
  <c r="AU131" i="32"/>
  <c r="AE131" i="32"/>
  <c r="O131" i="32"/>
  <c r="BB143" i="35"/>
  <c r="AX143" i="35"/>
  <c r="AT143" i="35"/>
  <c r="AP143" i="35"/>
  <c r="AL143" i="35"/>
  <c r="BA143" i="35"/>
  <c r="AV143" i="35"/>
  <c r="AQ143" i="35"/>
  <c r="AK143" i="35"/>
  <c r="AG143" i="35"/>
  <c r="AC143" i="35"/>
  <c r="Y143" i="35"/>
  <c r="U143" i="35"/>
  <c r="Q143" i="35"/>
  <c r="M143" i="35"/>
  <c r="I143" i="35"/>
  <c r="BE143" i="35"/>
  <c r="AZ143" i="35"/>
  <c r="AU143" i="35"/>
  <c r="AO143" i="35"/>
  <c r="AJ143" i="35"/>
  <c r="AF143" i="35"/>
  <c r="AB143" i="35"/>
  <c r="X143" i="35"/>
  <c r="T143" i="35"/>
  <c r="P143" i="35"/>
  <c r="L143" i="35"/>
  <c r="AY143" i="35"/>
  <c r="AN143" i="35"/>
  <c r="AE143" i="35"/>
  <c r="W143" i="35"/>
  <c r="O143" i="35"/>
  <c r="AW143" i="35"/>
  <c r="AM143" i="35"/>
  <c r="AD143" i="35"/>
  <c r="V143" i="35"/>
  <c r="N143" i="35"/>
  <c r="AS143" i="35"/>
  <c r="AA143" i="35"/>
  <c r="K143" i="35"/>
  <c r="AR143" i="35"/>
  <c r="Z143" i="35"/>
  <c r="J143" i="35"/>
  <c r="AI143" i="35"/>
  <c r="AH143" i="35"/>
  <c r="BD143" i="35"/>
  <c r="S143" i="35"/>
  <c r="BC143" i="35"/>
  <c r="R143" i="35"/>
  <c r="BE144" i="34"/>
  <c r="BA144" i="34"/>
  <c r="AW144" i="34"/>
  <c r="AS144" i="34"/>
  <c r="AO144" i="34"/>
  <c r="AK144" i="34"/>
  <c r="AG144" i="34"/>
  <c r="AC144" i="34"/>
  <c r="Y144" i="34"/>
  <c r="U144" i="34"/>
  <c r="Q144" i="34"/>
  <c r="M144" i="34"/>
  <c r="I144" i="34"/>
  <c r="BD144" i="34"/>
  <c r="AZ144" i="34"/>
  <c r="AV144" i="34"/>
  <c r="AR144" i="34"/>
  <c r="AN144" i="34"/>
  <c r="AJ144" i="34"/>
  <c r="AF144" i="34"/>
  <c r="AB144" i="34"/>
  <c r="X144" i="34"/>
  <c r="T144" i="34"/>
  <c r="P144" i="34"/>
  <c r="L144" i="34"/>
  <c r="BC144" i="34"/>
  <c r="AY144" i="34"/>
  <c r="AU144" i="34"/>
  <c r="AQ144" i="34"/>
  <c r="AM144" i="34"/>
  <c r="AI144" i="34"/>
  <c r="AE144" i="34"/>
  <c r="AA144" i="34"/>
  <c r="W144" i="34"/>
  <c r="S144" i="34"/>
  <c r="O144" i="34"/>
  <c r="K144" i="34"/>
  <c r="AX144" i="34"/>
  <c r="AH144" i="34"/>
  <c r="R144" i="34"/>
  <c r="AT144" i="34"/>
  <c r="AD144" i="34"/>
  <c r="N144" i="34"/>
  <c r="AP144" i="34"/>
  <c r="Z144" i="34"/>
  <c r="J144" i="34"/>
  <c r="BB144" i="34"/>
  <c r="AL144" i="34"/>
  <c r="V144" i="34"/>
  <c r="BD143" i="34"/>
  <c r="AZ143" i="34"/>
  <c r="AV143" i="34"/>
  <c r="AR143" i="34"/>
  <c r="AN143" i="34"/>
  <c r="AJ143" i="34"/>
  <c r="AF143" i="34"/>
  <c r="AB143" i="34"/>
  <c r="X143" i="34"/>
  <c r="T143" i="34"/>
  <c r="P143" i="34"/>
  <c r="L143" i="34"/>
  <c r="BC143" i="34"/>
  <c r="AY143" i="34"/>
  <c r="AU143" i="34"/>
  <c r="AQ143" i="34"/>
  <c r="AM143" i="34"/>
  <c r="AI143" i="34"/>
  <c r="AE143" i="34"/>
  <c r="AA143" i="34"/>
  <c r="W143" i="34"/>
  <c r="S143" i="34"/>
  <c r="O143" i="34"/>
  <c r="K143" i="34"/>
  <c r="BB143" i="34"/>
  <c r="AX143" i="34"/>
  <c r="AT143" i="34"/>
  <c r="AP143" i="34"/>
  <c r="AL143" i="34"/>
  <c r="AH143" i="34"/>
  <c r="AD143" i="34"/>
  <c r="Z143" i="34"/>
  <c r="V143" i="34"/>
  <c r="R143" i="34"/>
  <c r="N143" i="34"/>
  <c r="J143" i="34"/>
  <c r="AW143" i="34"/>
  <c r="AG143" i="34"/>
  <c r="Q143" i="34"/>
  <c r="AS143" i="34"/>
  <c r="AC143" i="34"/>
  <c r="M143" i="34"/>
  <c r="BE143" i="34"/>
  <c r="AO143" i="34"/>
  <c r="Y143" i="34"/>
  <c r="I143" i="34"/>
  <c r="U143" i="34"/>
  <c r="BA143" i="34"/>
  <c r="AK143" i="34"/>
  <c r="AE132" i="35"/>
  <c r="K132" i="35"/>
  <c r="AD132" i="35"/>
  <c r="L132" i="35"/>
  <c r="AR132" i="35"/>
  <c r="Y132" i="35"/>
  <c r="BE132" i="35"/>
  <c r="AK142" i="35"/>
  <c r="AG142" i="35"/>
  <c r="J142" i="35"/>
  <c r="S142" i="35"/>
  <c r="AY142" i="35"/>
  <c r="AJ142" i="35"/>
  <c r="BF141" i="34"/>
  <c r="AN142" i="34"/>
  <c r="U142" i="34"/>
  <c r="AK142" i="34"/>
  <c r="R142" i="34"/>
  <c r="AH142" i="34"/>
  <c r="S142" i="34"/>
  <c r="AY142" i="34"/>
  <c r="BD144" i="33"/>
  <c r="AZ144" i="33"/>
  <c r="AV144" i="33"/>
  <c r="AR144" i="33"/>
  <c r="AN144" i="33"/>
  <c r="AJ144" i="33"/>
  <c r="AF144" i="33"/>
  <c r="AB144" i="33"/>
  <c r="X144" i="33"/>
  <c r="T144" i="33"/>
  <c r="P144" i="33"/>
  <c r="L144" i="33"/>
  <c r="BE144" i="33"/>
  <c r="AY144" i="33"/>
  <c r="AT144" i="33"/>
  <c r="AO144" i="33"/>
  <c r="AI144" i="33"/>
  <c r="AD144" i="33"/>
  <c r="Y144" i="33"/>
  <c r="S144" i="33"/>
  <c r="N144" i="33"/>
  <c r="I144" i="33"/>
  <c r="BC144" i="33"/>
  <c r="AX144" i="33"/>
  <c r="AS144" i="33"/>
  <c r="AM144" i="33"/>
  <c r="AH144" i="33"/>
  <c r="AC144" i="33"/>
  <c r="W144" i="33"/>
  <c r="R144" i="33"/>
  <c r="M144" i="33"/>
  <c r="BB144" i="33"/>
  <c r="AW144" i="33"/>
  <c r="AQ144" i="33"/>
  <c r="AL144" i="33"/>
  <c r="AG144" i="33"/>
  <c r="AA144" i="33"/>
  <c r="V144" i="33"/>
  <c r="Q144" i="33"/>
  <c r="K144" i="33"/>
  <c r="AK144" i="33"/>
  <c r="O144" i="33"/>
  <c r="BA144" i="33"/>
  <c r="AE144" i="33"/>
  <c r="J144" i="33"/>
  <c r="AU144" i="33"/>
  <c r="Z144" i="33"/>
  <c r="U144" i="33"/>
  <c r="AP144" i="33"/>
  <c r="BC137" i="33"/>
  <c r="AY137" i="33"/>
  <c r="AU137" i="33"/>
  <c r="AQ137" i="33"/>
  <c r="AM137" i="33"/>
  <c r="AI137" i="33"/>
  <c r="AE137" i="33"/>
  <c r="AA137" i="33"/>
  <c r="W137" i="33"/>
  <c r="S137" i="33"/>
  <c r="O137" i="33"/>
  <c r="K137" i="33"/>
  <c r="BB137" i="33"/>
  <c r="AX137" i="33"/>
  <c r="AT137" i="33"/>
  <c r="AP137" i="33"/>
  <c r="AL137" i="33"/>
  <c r="AH137" i="33"/>
  <c r="AD137" i="33"/>
  <c r="Z137" i="33"/>
  <c r="V137" i="33"/>
  <c r="R137" i="33"/>
  <c r="N137" i="33"/>
  <c r="J137" i="33"/>
  <c r="BE137" i="33"/>
  <c r="BA137" i="33"/>
  <c r="AW137" i="33"/>
  <c r="AS137" i="33"/>
  <c r="AO137" i="33"/>
  <c r="AK137" i="33"/>
  <c r="AG137" i="33"/>
  <c r="AC137" i="33"/>
  <c r="Y137" i="33"/>
  <c r="U137" i="33"/>
  <c r="Q137" i="33"/>
  <c r="M137" i="33"/>
  <c r="I137" i="33"/>
  <c r="AR137" i="33"/>
  <c r="AB137" i="33"/>
  <c r="L137" i="33"/>
  <c r="BD137" i="33"/>
  <c r="AN137" i="33"/>
  <c r="X137" i="33"/>
  <c r="AZ137" i="33"/>
  <c r="AJ137" i="33"/>
  <c r="T137" i="33"/>
  <c r="P137" i="33"/>
  <c r="AF137" i="33"/>
  <c r="AV137" i="33"/>
  <c r="BE141" i="33"/>
  <c r="BA141" i="33"/>
  <c r="AW141" i="33"/>
  <c r="AS141" i="33"/>
  <c r="AO141" i="33"/>
  <c r="AK141" i="33"/>
  <c r="AG141" i="33"/>
  <c r="AC141" i="33"/>
  <c r="Y141" i="33"/>
  <c r="U141" i="33"/>
  <c r="Q141" i="33"/>
  <c r="M141" i="33"/>
  <c r="I141" i="33"/>
  <c r="AZ141" i="33"/>
  <c r="AU141" i="33"/>
  <c r="AP141" i="33"/>
  <c r="AJ141" i="33"/>
  <c r="AE141" i="33"/>
  <c r="Z141" i="33"/>
  <c r="T141" i="33"/>
  <c r="O141" i="33"/>
  <c r="J141" i="33"/>
  <c r="BD141" i="33"/>
  <c r="AY141" i="33"/>
  <c r="AT141" i="33"/>
  <c r="AN141" i="33"/>
  <c r="AI141" i="33"/>
  <c r="AD141" i="33"/>
  <c r="X141" i="33"/>
  <c r="S141" i="33"/>
  <c r="N141" i="33"/>
  <c r="BC141" i="33"/>
  <c r="AX141" i="33"/>
  <c r="AR141" i="33"/>
  <c r="AM141" i="33"/>
  <c r="AH141" i="33"/>
  <c r="AB141" i="33"/>
  <c r="W141" i="33"/>
  <c r="R141" i="33"/>
  <c r="L141" i="33"/>
  <c r="BB141" i="33"/>
  <c r="AF141" i="33"/>
  <c r="K141" i="33"/>
  <c r="AV141" i="33"/>
  <c r="AA141" i="33"/>
  <c r="AQ141" i="33"/>
  <c r="V141" i="33"/>
  <c r="P141" i="33"/>
  <c r="AL141" i="33"/>
  <c r="AB140" i="33"/>
  <c r="AU140" i="33"/>
  <c r="AE140" i="33"/>
  <c r="O140" i="33"/>
  <c r="AT140" i="33"/>
  <c r="AD140" i="33"/>
  <c r="N140" i="33"/>
  <c r="AS140" i="33"/>
  <c r="AC140" i="33"/>
  <c r="M140" i="33"/>
  <c r="X140" i="33"/>
  <c r="AV140" i="33"/>
  <c r="W140" i="33"/>
  <c r="BA140" i="33"/>
  <c r="BE140" i="33"/>
  <c r="P140" i="33"/>
  <c r="AY140" i="33"/>
  <c r="AI140" i="33"/>
  <c r="S140" i="33"/>
  <c r="AX140" i="33"/>
  <c r="AH140" i="33"/>
  <c r="R140" i="33"/>
  <c r="AW140" i="33"/>
  <c r="AG140" i="33"/>
  <c r="Q140" i="33"/>
  <c r="AN140" i="33"/>
  <c r="T140" i="33"/>
  <c r="AR140" i="33"/>
  <c r="BD140" i="33"/>
  <c r="AQ140" i="33"/>
  <c r="AA140" i="33"/>
  <c r="K140" i="33"/>
  <c r="AP140" i="33"/>
  <c r="Z140" i="33"/>
  <c r="J140" i="33"/>
  <c r="AO140" i="33"/>
  <c r="Y140" i="33"/>
  <c r="I140" i="33"/>
  <c r="AZ140" i="33"/>
  <c r="AF140" i="33"/>
  <c r="L140" i="33"/>
  <c r="BC140" i="33"/>
  <c r="AM140" i="33"/>
  <c r="BB140" i="33"/>
  <c r="AL140" i="33"/>
  <c r="V140" i="33"/>
  <c r="AK140" i="33"/>
  <c r="U140" i="33"/>
  <c r="AJ140" i="33"/>
  <c r="BD148" i="33"/>
  <c r="AZ148" i="33"/>
  <c r="AV148" i="33"/>
  <c r="AR148" i="33"/>
  <c r="AN148" i="33"/>
  <c r="AJ148" i="33"/>
  <c r="AF148" i="33"/>
  <c r="AB148" i="33"/>
  <c r="X148" i="33"/>
  <c r="T148" i="33"/>
  <c r="P148" i="33"/>
  <c r="L148" i="33"/>
  <c r="BC148" i="33"/>
  <c r="AY148" i="33"/>
  <c r="AU148" i="33"/>
  <c r="AQ148" i="33"/>
  <c r="AM148" i="33"/>
  <c r="AI148" i="33"/>
  <c r="AE148" i="33"/>
  <c r="AA148" i="33"/>
  <c r="W148" i="33"/>
  <c r="S148" i="33"/>
  <c r="O148" i="33"/>
  <c r="K148" i="33"/>
  <c r="BB148" i="33"/>
  <c r="AX148" i="33"/>
  <c r="AT148" i="33"/>
  <c r="AP148" i="33"/>
  <c r="AL148" i="33"/>
  <c r="AH148" i="33"/>
  <c r="AD148" i="33"/>
  <c r="Z148" i="33"/>
  <c r="V148" i="33"/>
  <c r="R148" i="33"/>
  <c r="N148" i="33"/>
  <c r="J148" i="33"/>
  <c r="BE148" i="33"/>
  <c r="AO148" i="33"/>
  <c r="Y148" i="33"/>
  <c r="I148" i="33"/>
  <c r="BF148" i="33" s="1"/>
  <c r="BA148" i="33"/>
  <c r="AK148" i="33"/>
  <c r="U148" i="33"/>
  <c r="AW148" i="33"/>
  <c r="AG148" i="33"/>
  <c r="Q148" i="33"/>
  <c r="AS148" i="33"/>
  <c r="AC148" i="33"/>
  <c r="M148" i="33"/>
  <c r="BB136" i="32"/>
  <c r="AX136" i="32"/>
  <c r="AT136" i="32"/>
  <c r="AP136" i="32"/>
  <c r="AL136" i="32"/>
  <c r="AH136" i="32"/>
  <c r="AD136" i="32"/>
  <c r="Z136" i="32"/>
  <c r="V136" i="32"/>
  <c r="R136" i="32"/>
  <c r="N136" i="32"/>
  <c r="J136" i="32"/>
  <c r="BE136" i="32"/>
  <c r="BA136" i="32"/>
  <c r="AW136" i="32"/>
  <c r="AS136" i="32"/>
  <c r="AO136" i="32"/>
  <c r="AK136" i="32"/>
  <c r="AG136" i="32"/>
  <c r="AC136" i="32"/>
  <c r="Y136" i="32"/>
  <c r="U136" i="32"/>
  <c r="Q136" i="32"/>
  <c r="M136" i="32"/>
  <c r="I136" i="32"/>
  <c r="BD136" i="32"/>
  <c r="AZ136" i="32"/>
  <c r="AV136" i="32"/>
  <c r="AR136" i="32"/>
  <c r="AN136" i="32"/>
  <c r="AJ136" i="32"/>
  <c r="AF136" i="32"/>
  <c r="AB136" i="32"/>
  <c r="X136" i="32"/>
  <c r="T136" i="32"/>
  <c r="P136" i="32"/>
  <c r="L136" i="32"/>
  <c r="BC136" i="32"/>
  <c r="AM136" i="32"/>
  <c r="W136" i="32"/>
  <c r="AY136" i="32"/>
  <c r="AI136" i="32"/>
  <c r="S136" i="32"/>
  <c r="AQ136" i="32"/>
  <c r="K136" i="32"/>
  <c r="AU136" i="32"/>
  <c r="AE136" i="32"/>
  <c r="O136" i="32"/>
  <c r="AA136" i="32"/>
  <c r="BC137" i="32"/>
  <c r="AY137" i="32"/>
  <c r="AU137" i="32"/>
  <c r="AQ137" i="32"/>
  <c r="AM137" i="32"/>
  <c r="AI137" i="32"/>
  <c r="AE137" i="32"/>
  <c r="AA137" i="32"/>
  <c r="W137" i="32"/>
  <c r="S137" i="32"/>
  <c r="O137" i="32"/>
  <c r="K137" i="32"/>
  <c r="BB137" i="32"/>
  <c r="AX137" i="32"/>
  <c r="AT137" i="32"/>
  <c r="AP137" i="32"/>
  <c r="AL137" i="32"/>
  <c r="AH137" i="32"/>
  <c r="AD137" i="32"/>
  <c r="Z137" i="32"/>
  <c r="V137" i="32"/>
  <c r="R137" i="32"/>
  <c r="N137" i="32"/>
  <c r="J137" i="32"/>
  <c r="BE137" i="32"/>
  <c r="BA137" i="32"/>
  <c r="AW137" i="32"/>
  <c r="AS137" i="32"/>
  <c r="AO137" i="32"/>
  <c r="AK137" i="32"/>
  <c r="AG137" i="32"/>
  <c r="AC137" i="32"/>
  <c r="Y137" i="32"/>
  <c r="U137" i="32"/>
  <c r="Q137" i="32"/>
  <c r="M137" i="32"/>
  <c r="I137" i="32"/>
  <c r="AR137" i="32"/>
  <c r="AB137" i="32"/>
  <c r="L137" i="32"/>
  <c r="BD137" i="32"/>
  <c r="AN137" i="32"/>
  <c r="X137" i="32"/>
  <c r="AF137" i="32"/>
  <c r="P137" i="32"/>
  <c r="AZ137" i="32"/>
  <c r="AJ137" i="32"/>
  <c r="T137" i="32"/>
  <c r="AV137" i="32"/>
  <c r="BC133" i="32"/>
  <c r="AY133" i="32"/>
  <c r="AU133" i="32"/>
  <c r="AQ133" i="32"/>
  <c r="AM133" i="32"/>
  <c r="AI133" i="32"/>
  <c r="AE133" i="32"/>
  <c r="AA133" i="32"/>
  <c r="W133" i="32"/>
  <c r="S133" i="32"/>
  <c r="O133" i="32"/>
  <c r="K133" i="32"/>
  <c r="BB133" i="32"/>
  <c r="AX133" i="32"/>
  <c r="AT133" i="32"/>
  <c r="AP133" i="32"/>
  <c r="AL133" i="32"/>
  <c r="AH133" i="32"/>
  <c r="AD133" i="32"/>
  <c r="Z133" i="32"/>
  <c r="V133" i="32"/>
  <c r="R133" i="32"/>
  <c r="N133" i="32"/>
  <c r="J133" i="32"/>
  <c r="BE133" i="32"/>
  <c r="BA133" i="32"/>
  <c r="AW133" i="32"/>
  <c r="AS133" i="32"/>
  <c r="AO133" i="32"/>
  <c r="AK133" i="32"/>
  <c r="AG133" i="32"/>
  <c r="AC133" i="32"/>
  <c r="Y133" i="32"/>
  <c r="U133" i="32"/>
  <c r="Q133" i="32"/>
  <c r="M133" i="32"/>
  <c r="I133" i="32"/>
  <c r="BF133" i="32" s="1"/>
  <c r="AV133" i="32"/>
  <c r="AF133" i="32"/>
  <c r="P133" i="32"/>
  <c r="AZ133" i="32"/>
  <c r="T133" i="32"/>
  <c r="AR133" i="32"/>
  <c r="AB133" i="32"/>
  <c r="L133" i="32"/>
  <c r="AJ133" i="32"/>
  <c r="BD133" i="32"/>
  <c r="AN133" i="32"/>
  <c r="X133" i="32"/>
  <c r="BF149" i="35"/>
  <c r="G62" i="34"/>
  <c r="F63" i="34"/>
  <c r="F64" i="34"/>
  <c r="BE132" i="34"/>
  <c r="BA132" i="34"/>
  <c r="AW132" i="34"/>
  <c r="AS132" i="34"/>
  <c r="AO132" i="34"/>
  <c r="AK132" i="34"/>
  <c r="AG132" i="34"/>
  <c r="AC132" i="34"/>
  <c r="Y132" i="34"/>
  <c r="U132" i="34"/>
  <c r="Q132" i="34"/>
  <c r="M132" i="34"/>
  <c r="I132" i="34"/>
  <c r="BD132" i="34"/>
  <c r="AZ132" i="34"/>
  <c r="AV132" i="34"/>
  <c r="AR132" i="34"/>
  <c r="AN132" i="34"/>
  <c r="AJ132" i="34"/>
  <c r="AF132" i="34"/>
  <c r="AB132" i="34"/>
  <c r="X132" i="34"/>
  <c r="T132" i="34"/>
  <c r="P132" i="34"/>
  <c r="L132" i="34"/>
  <c r="BC132" i="34"/>
  <c r="AY132" i="34"/>
  <c r="AU132" i="34"/>
  <c r="AQ132" i="34"/>
  <c r="AM132" i="34"/>
  <c r="AI132" i="34"/>
  <c r="AE132" i="34"/>
  <c r="AA132" i="34"/>
  <c r="W132" i="34"/>
  <c r="S132" i="34"/>
  <c r="O132" i="34"/>
  <c r="K132" i="34"/>
  <c r="AT132" i="34"/>
  <c r="AD132" i="34"/>
  <c r="N132" i="34"/>
  <c r="AP132" i="34"/>
  <c r="Z132" i="34"/>
  <c r="J132" i="34"/>
  <c r="BB132" i="34"/>
  <c r="AL132" i="34"/>
  <c r="V132" i="34"/>
  <c r="AX132" i="34"/>
  <c r="AH132" i="34"/>
  <c r="R132" i="34"/>
  <c r="AU132" i="35"/>
  <c r="AH132" i="35"/>
  <c r="S132" i="35"/>
  <c r="AL132" i="35"/>
  <c r="AF132" i="35"/>
  <c r="M132" i="35"/>
  <c r="AS132" i="35"/>
  <c r="BA142" i="35"/>
  <c r="R142" i="35"/>
  <c r="W142" i="35"/>
  <c r="BC142" i="35"/>
  <c r="Z131" i="34"/>
  <c r="W131" i="34"/>
  <c r="BC131" i="34"/>
  <c r="BD131" i="34"/>
  <c r="AK131" i="34"/>
  <c r="BA131" i="34"/>
  <c r="BF147" i="34"/>
  <c r="AJ142" i="34"/>
  <c r="I142" i="34"/>
  <c r="Y142" i="34"/>
  <c r="BE142" i="34"/>
  <c r="W142" i="34"/>
  <c r="BC142" i="34"/>
  <c r="BB130" i="33"/>
  <c r="AX130" i="33"/>
  <c r="AT130" i="33"/>
  <c r="AP130" i="33"/>
  <c r="AL130" i="33"/>
  <c r="AH130" i="33"/>
  <c r="AD130" i="33"/>
  <c r="Z130" i="33"/>
  <c r="V130" i="33"/>
  <c r="R130" i="33"/>
  <c r="N130" i="33"/>
  <c r="J130" i="33"/>
  <c r="BB129" i="33"/>
  <c r="AX129" i="33"/>
  <c r="AT129" i="33"/>
  <c r="AP129" i="33"/>
  <c r="AL129" i="33"/>
  <c r="AH129" i="33"/>
  <c r="AD129" i="33"/>
  <c r="Z129" i="33"/>
  <c r="V129" i="33"/>
  <c r="R129" i="33"/>
  <c r="N129" i="33"/>
  <c r="J129" i="33"/>
  <c r="BE130" i="33"/>
  <c r="BA130" i="33"/>
  <c r="AW130" i="33"/>
  <c r="AS130" i="33"/>
  <c r="AO130" i="33"/>
  <c r="AK130" i="33"/>
  <c r="AG130" i="33"/>
  <c r="AC130" i="33"/>
  <c r="Y130" i="33"/>
  <c r="U130" i="33"/>
  <c r="Q130" i="33"/>
  <c r="M130" i="33"/>
  <c r="I130" i="33"/>
  <c r="BE129" i="33"/>
  <c r="BA129" i="33"/>
  <c r="AW129" i="33"/>
  <c r="AS129" i="33"/>
  <c r="AO129" i="33"/>
  <c r="AK129" i="33"/>
  <c r="AG129" i="33"/>
  <c r="AC129" i="33"/>
  <c r="Y129" i="33"/>
  <c r="U129" i="33"/>
  <c r="Q129" i="33"/>
  <c r="M129" i="33"/>
  <c r="I129" i="33"/>
  <c r="BD130" i="33"/>
  <c r="AZ130" i="33"/>
  <c r="AV130" i="33"/>
  <c r="AR130" i="33"/>
  <c r="AN130" i="33"/>
  <c r="AJ130" i="33"/>
  <c r="AF130" i="33"/>
  <c r="AB130" i="33"/>
  <c r="X130" i="33"/>
  <c r="T130" i="33"/>
  <c r="P130" i="33"/>
  <c r="L130" i="33"/>
  <c r="BD129" i="33"/>
  <c r="AZ129" i="33"/>
  <c r="AV129" i="33"/>
  <c r="AR129" i="33"/>
  <c r="AN129" i="33"/>
  <c r="AJ129" i="33"/>
  <c r="AF129" i="33"/>
  <c r="AB129" i="33"/>
  <c r="X129" i="33"/>
  <c r="T129" i="33"/>
  <c r="P129" i="33"/>
  <c r="L129" i="33"/>
  <c r="AY130" i="33"/>
  <c r="AI130" i="33"/>
  <c r="S130" i="33"/>
  <c r="AU129" i="33"/>
  <c r="AE129" i="33"/>
  <c r="O129" i="33"/>
  <c r="AU130" i="33"/>
  <c r="AE130" i="33"/>
  <c r="O130" i="33"/>
  <c r="AQ129" i="33"/>
  <c r="AA129" i="33"/>
  <c r="K129" i="33"/>
  <c r="AQ130" i="33"/>
  <c r="AA130" i="33"/>
  <c r="K130" i="33"/>
  <c r="BC129" i="33"/>
  <c r="AM129" i="33"/>
  <c r="W129" i="33"/>
  <c r="AM130" i="33"/>
  <c r="S129" i="33"/>
  <c r="W130" i="33"/>
  <c r="AY129" i="33"/>
  <c r="BC130" i="33"/>
  <c r="AI129" i="33"/>
  <c r="BF146" i="35"/>
  <c r="BF129" i="35"/>
  <c r="BF134" i="35"/>
  <c r="BB133" i="34"/>
  <c r="AX133" i="34"/>
  <c r="AT133" i="34"/>
  <c r="AP133" i="34"/>
  <c r="AL133" i="34"/>
  <c r="AH133" i="34"/>
  <c r="AD133" i="34"/>
  <c r="Z133" i="34"/>
  <c r="V133" i="34"/>
  <c r="R133" i="34"/>
  <c r="N133" i="34"/>
  <c r="J133" i="34"/>
  <c r="BE133" i="34"/>
  <c r="BA133" i="34"/>
  <c r="AW133" i="34"/>
  <c r="AS133" i="34"/>
  <c r="AO133" i="34"/>
  <c r="AK133" i="34"/>
  <c r="AG133" i="34"/>
  <c r="AC133" i="34"/>
  <c r="Y133" i="34"/>
  <c r="U133" i="34"/>
  <c r="Q133" i="34"/>
  <c r="M133" i="34"/>
  <c r="I133" i="34"/>
  <c r="BD133" i="34"/>
  <c r="AZ133" i="34"/>
  <c r="AV133" i="34"/>
  <c r="AR133" i="34"/>
  <c r="AN133" i="34"/>
  <c r="AJ133" i="34"/>
  <c r="AF133" i="34"/>
  <c r="AB133" i="34"/>
  <c r="X133" i="34"/>
  <c r="T133" i="34"/>
  <c r="P133" i="34"/>
  <c r="L133" i="34"/>
  <c r="AU133" i="34"/>
  <c r="AE133" i="34"/>
  <c r="O133" i="34"/>
  <c r="AQ133" i="34"/>
  <c r="AA133" i="34"/>
  <c r="K133" i="34"/>
  <c r="BC133" i="34"/>
  <c r="AM133" i="34"/>
  <c r="W133" i="34"/>
  <c r="AY133" i="34"/>
  <c r="AI133" i="34"/>
  <c r="S133" i="34"/>
  <c r="H63" i="32"/>
  <c r="H64" i="32"/>
  <c r="I62" i="32"/>
  <c r="BD141" i="32"/>
  <c r="AZ141" i="32"/>
  <c r="AV141" i="32"/>
  <c r="AR141" i="32"/>
  <c r="AN141" i="32"/>
  <c r="AJ141" i="32"/>
  <c r="AF141" i="32"/>
  <c r="AB141" i="32"/>
  <c r="X141" i="32"/>
  <c r="T141" i="32"/>
  <c r="P141" i="32"/>
  <c r="L141" i="32"/>
  <c r="BC141" i="32"/>
  <c r="AY141" i="32"/>
  <c r="AU141" i="32"/>
  <c r="AQ141" i="32"/>
  <c r="AM141" i="32"/>
  <c r="AI141" i="32"/>
  <c r="AE141" i="32"/>
  <c r="AA141" i="32"/>
  <c r="W141" i="32"/>
  <c r="S141" i="32"/>
  <c r="O141" i="32"/>
  <c r="K141" i="32"/>
  <c r="BB141" i="32"/>
  <c r="AX141" i="32"/>
  <c r="AT141" i="32"/>
  <c r="AP141" i="32"/>
  <c r="AL141" i="32"/>
  <c r="AH141" i="32"/>
  <c r="AD141" i="32"/>
  <c r="Z141" i="32"/>
  <c r="V141" i="32"/>
  <c r="R141" i="32"/>
  <c r="N141" i="32"/>
  <c r="J141" i="32"/>
  <c r="AS141" i="32"/>
  <c r="AC141" i="32"/>
  <c r="M141" i="32"/>
  <c r="AW141" i="32"/>
  <c r="Q141" i="32"/>
  <c r="BE141" i="32"/>
  <c r="AO141" i="32"/>
  <c r="Y141" i="32"/>
  <c r="I141" i="32"/>
  <c r="BF141" i="32" s="1"/>
  <c r="AG141" i="32"/>
  <c r="BA141" i="32"/>
  <c r="AK141" i="32"/>
  <c r="U141" i="32"/>
  <c r="AQ140" i="32"/>
  <c r="AA140" i="32"/>
  <c r="K140" i="32"/>
  <c r="AP140" i="32"/>
  <c r="Z140" i="32"/>
  <c r="J140" i="32"/>
  <c r="AS140" i="32"/>
  <c r="AC140" i="32"/>
  <c r="M140" i="32"/>
  <c r="X140" i="32"/>
  <c r="T140" i="32"/>
  <c r="P140" i="32"/>
  <c r="AY140" i="32"/>
  <c r="AI140" i="32"/>
  <c r="AX140" i="32"/>
  <c r="AH140" i="32"/>
  <c r="R140" i="32"/>
  <c r="BA140" i="32"/>
  <c r="AK140" i="32"/>
  <c r="BD140" i="32"/>
  <c r="AV140" i="32"/>
  <c r="AU140" i="32"/>
  <c r="AE140" i="32"/>
  <c r="AT140" i="32"/>
  <c r="AD140" i="32"/>
  <c r="N140" i="32"/>
  <c r="AW140" i="32"/>
  <c r="AG140" i="32"/>
  <c r="Q140" i="32"/>
  <c r="AN140" i="32"/>
  <c r="AF140" i="32"/>
  <c r="BC140" i="32"/>
  <c r="AM140" i="32"/>
  <c r="W140" i="32"/>
  <c r="BB140" i="32"/>
  <c r="AL140" i="32"/>
  <c r="V140" i="32"/>
  <c r="BE140" i="32"/>
  <c r="AO140" i="32"/>
  <c r="Y140" i="32"/>
  <c r="I140" i="32"/>
  <c r="L140" i="32"/>
  <c r="AR140" i="32"/>
  <c r="AB140" i="32"/>
  <c r="S140" i="32"/>
  <c r="U140" i="32"/>
  <c r="AZ140" i="32"/>
  <c r="O140" i="32"/>
  <c r="AJ140" i="32"/>
  <c r="BE146" i="32"/>
  <c r="BA146" i="32"/>
  <c r="AW146" i="32"/>
  <c r="AS146" i="32"/>
  <c r="AO146" i="32"/>
  <c r="AK146" i="32"/>
  <c r="AG146" i="32"/>
  <c r="AC146" i="32"/>
  <c r="Y146" i="32"/>
  <c r="U146" i="32"/>
  <c r="Q146" i="32"/>
  <c r="M146" i="32"/>
  <c r="I146" i="32"/>
  <c r="BD146" i="32"/>
  <c r="AZ146" i="32"/>
  <c r="AV146" i="32"/>
  <c r="AR146" i="32"/>
  <c r="AN146" i="32"/>
  <c r="AJ146" i="32"/>
  <c r="AF146" i="32"/>
  <c r="AB146" i="32"/>
  <c r="X146" i="32"/>
  <c r="T146" i="32"/>
  <c r="P146" i="32"/>
  <c r="L146" i="32"/>
  <c r="BC146" i="32"/>
  <c r="AY146" i="32"/>
  <c r="AU146" i="32"/>
  <c r="AQ146" i="32"/>
  <c r="AM146" i="32"/>
  <c r="AI146" i="32"/>
  <c r="AE146" i="32"/>
  <c r="AA146" i="32"/>
  <c r="W146" i="32"/>
  <c r="S146" i="32"/>
  <c r="O146" i="32"/>
  <c r="K146" i="32"/>
  <c r="AP146" i="32"/>
  <c r="Z146" i="32"/>
  <c r="J146" i="32"/>
  <c r="AT146" i="32"/>
  <c r="N146" i="32"/>
  <c r="BB146" i="32"/>
  <c r="AL146" i="32"/>
  <c r="V146" i="32"/>
  <c r="AD146" i="32"/>
  <c r="AX146" i="32"/>
  <c r="AH146" i="32"/>
  <c r="R146" i="32"/>
  <c r="BB132" i="32"/>
  <c r="AX132" i="32"/>
  <c r="AT132" i="32"/>
  <c r="AP132" i="32"/>
  <c r="AL132" i="32"/>
  <c r="AH132" i="32"/>
  <c r="AD132" i="32"/>
  <c r="Z132" i="32"/>
  <c r="V132" i="32"/>
  <c r="R132" i="32"/>
  <c r="N132" i="32"/>
  <c r="J132" i="32"/>
  <c r="BE132" i="32"/>
  <c r="BA132" i="32"/>
  <c r="AW132" i="32"/>
  <c r="AS132" i="32"/>
  <c r="AO132" i="32"/>
  <c r="AK132" i="32"/>
  <c r="AG132" i="32"/>
  <c r="AC132" i="32"/>
  <c r="Y132" i="32"/>
  <c r="U132" i="32"/>
  <c r="Q132" i="32"/>
  <c r="M132" i="32"/>
  <c r="I132" i="32"/>
  <c r="BD132" i="32"/>
  <c r="AZ132" i="32"/>
  <c r="AV132" i="32"/>
  <c r="AR132" i="32"/>
  <c r="AN132" i="32"/>
  <c r="AJ132" i="32"/>
  <c r="AF132" i="32"/>
  <c r="AB132" i="32"/>
  <c r="X132" i="32"/>
  <c r="T132" i="32"/>
  <c r="P132" i="32"/>
  <c r="L132" i="32"/>
  <c r="AQ132" i="32"/>
  <c r="AA132" i="32"/>
  <c r="K132" i="32"/>
  <c r="AU132" i="32"/>
  <c r="BC132" i="32"/>
  <c r="AM132" i="32"/>
  <c r="W132" i="32"/>
  <c r="AE132" i="32"/>
  <c r="AY132" i="32"/>
  <c r="AI132" i="32"/>
  <c r="S132" i="32"/>
  <c r="O132" i="32"/>
  <c r="BB130" i="32"/>
  <c r="AX130" i="32"/>
  <c r="AT130" i="32"/>
  <c r="AP130" i="32"/>
  <c r="AL130" i="32"/>
  <c r="AH130" i="32"/>
  <c r="AD130" i="32"/>
  <c r="Z130" i="32"/>
  <c r="V130" i="32"/>
  <c r="R130" i="32"/>
  <c r="N130" i="32"/>
  <c r="J130" i="32"/>
  <c r="BB129" i="32"/>
  <c r="AX129" i="32"/>
  <c r="AT129" i="32"/>
  <c r="BE130" i="32"/>
  <c r="BA130" i="32"/>
  <c r="BD130" i="32"/>
  <c r="AZ130" i="32"/>
  <c r="AV130" i="32"/>
  <c r="AR130" i="32"/>
  <c r="AN130" i="32"/>
  <c r="AJ130" i="32"/>
  <c r="AF130" i="32"/>
  <c r="AB130" i="32"/>
  <c r="X130" i="32"/>
  <c r="T130" i="32"/>
  <c r="P130" i="32"/>
  <c r="L130" i="32"/>
  <c r="BD129" i="32"/>
  <c r="AZ129" i="32"/>
  <c r="AY130" i="32"/>
  <c r="AQ130" i="32"/>
  <c r="AI130" i="32"/>
  <c r="AA130" i="32"/>
  <c r="S130" i="32"/>
  <c r="K130" i="32"/>
  <c r="BA129" i="32"/>
  <c r="AU129" i="32"/>
  <c r="AP129" i="32"/>
  <c r="AL129" i="32"/>
  <c r="AH129" i="32"/>
  <c r="AD129" i="32"/>
  <c r="Z129" i="32"/>
  <c r="V129" i="32"/>
  <c r="R129" i="32"/>
  <c r="N129" i="32"/>
  <c r="J129" i="32"/>
  <c r="U130" i="32"/>
  <c r="BC129" i="32"/>
  <c r="AM129" i="32"/>
  <c r="AI129" i="32"/>
  <c r="W129" i="32"/>
  <c r="K129" i="32"/>
  <c r="AW130" i="32"/>
  <c r="AO130" i="32"/>
  <c r="AG130" i="32"/>
  <c r="Y130" i="32"/>
  <c r="Q130" i="32"/>
  <c r="I130" i="32"/>
  <c r="AY129" i="32"/>
  <c r="AS129" i="32"/>
  <c r="AO129" i="32"/>
  <c r="AK129" i="32"/>
  <c r="AG129" i="32"/>
  <c r="AC129" i="32"/>
  <c r="Y129" i="32"/>
  <c r="U129" i="32"/>
  <c r="Q129" i="32"/>
  <c r="M129" i="32"/>
  <c r="I129" i="32"/>
  <c r="BC130" i="32"/>
  <c r="AC130" i="32"/>
  <c r="AQ129" i="32"/>
  <c r="AA129" i="32"/>
  <c r="O129" i="32"/>
  <c r="AU130" i="32"/>
  <c r="AM130" i="32"/>
  <c r="AE130" i="32"/>
  <c r="W130" i="32"/>
  <c r="O130" i="32"/>
  <c r="BE129" i="32"/>
  <c r="AW129" i="32"/>
  <c r="AR129" i="32"/>
  <c r="AN129" i="32"/>
  <c r="AJ129" i="32"/>
  <c r="AF129" i="32"/>
  <c r="AB129" i="32"/>
  <c r="X129" i="32"/>
  <c r="T129" i="32"/>
  <c r="P129" i="32"/>
  <c r="L129" i="32"/>
  <c r="AS130" i="32"/>
  <c r="AK130" i="32"/>
  <c r="M130" i="32"/>
  <c r="AV129" i="32"/>
  <c r="AE129" i="32"/>
  <c r="S129" i="32"/>
  <c r="BF137" i="35"/>
  <c r="O127" i="32"/>
  <c r="AD127" i="32" s="1"/>
  <c r="AC127" i="32"/>
  <c r="H63" i="33"/>
  <c r="H64" i="33"/>
  <c r="I62" i="33"/>
  <c r="BC141" i="35"/>
  <c r="AY141" i="35"/>
  <c r="AU141" i="35"/>
  <c r="AQ141" i="35"/>
  <c r="AM141" i="35"/>
  <c r="AI141" i="35"/>
  <c r="AE141" i="35"/>
  <c r="AA141" i="35"/>
  <c r="W141" i="35"/>
  <c r="S141" i="35"/>
  <c r="O141" i="35"/>
  <c r="K141" i="35"/>
  <c r="BB141" i="35"/>
  <c r="AX141" i="35"/>
  <c r="AT141" i="35"/>
  <c r="AP141" i="35"/>
  <c r="AL141" i="35"/>
  <c r="AH141" i="35"/>
  <c r="AD141" i="35"/>
  <c r="Z141" i="35"/>
  <c r="V141" i="35"/>
  <c r="R141" i="35"/>
  <c r="N141" i="35"/>
  <c r="J141" i="35"/>
  <c r="AZ141" i="35"/>
  <c r="AR141" i="35"/>
  <c r="AJ141" i="35"/>
  <c r="AB141" i="35"/>
  <c r="T141" i="35"/>
  <c r="L141" i="35"/>
  <c r="BE141" i="35"/>
  <c r="AW141" i="35"/>
  <c r="AO141" i="35"/>
  <c r="AG141" i="35"/>
  <c r="Y141" i="35"/>
  <c r="Q141" i="35"/>
  <c r="I141" i="35"/>
  <c r="BF141" i="35" s="1"/>
  <c r="BA141" i="35"/>
  <c r="AK141" i="35"/>
  <c r="U141" i="35"/>
  <c r="AV141" i="35"/>
  <c r="AF141" i="35"/>
  <c r="P141" i="35"/>
  <c r="AN141" i="35"/>
  <c r="AC141" i="35"/>
  <c r="BD141" i="35"/>
  <c r="X141" i="35"/>
  <c r="AS141" i="35"/>
  <c r="M141" i="35"/>
  <c r="BE139" i="35"/>
  <c r="BA139" i="35"/>
  <c r="AW139" i="35"/>
  <c r="AS139" i="35"/>
  <c r="AO139" i="35"/>
  <c r="AK139" i="35"/>
  <c r="AG139" i="35"/>
  <c r="AC139" i="35"/>
  <c r="Y139" i="35"/>
  <c r="U139" i="35"/>
  <c r="Q139" i="35"/>
  <c r="BD139" i="35"/>
  <c r="AZ139" i="35"/>
  <c r="AV139" i="35"/>
  <c r="AR139" i="35"/>
  <c r="AN139" i="35"/>
  <c r="AJ139" i="35"/>
  <c r="AF139" i="35"/>
  <c r="AB139" i="35"/>
  <c r="X139" i="35"/>
  <c r="T139" i="35"/>
  <c r="P139" i="35"/>
  <c r="L139" i="35"/>
  <c r="AY139" i="35"/>
  <c r="AQ139" i="35"/>
  <c r="AI139" i="35"/>
  <c r="AA139" i="35"/>
  <c r="S139" i="35"/>
  <c r="M139" i="35"/>
  <c r="AX139" i="35"/>
  <c r="AP139" i="35"/>
  <c r="AH139" i="35"/>
  <c r="Z139" i="35"/>
  <c r="R139" i="35"/>
  <c r="K139" i="35"/>
  <c r="AT139" i="35"/>
  <c r="AD139" i="35"/>
  <c r="N139" i="35"/>
  <c r="BC139" i="35"/>
  <c r="AM139" i="35"/>
  <c r="W139" i="35"/>
  <c r="J139" i="35"/>
  <c r="BB139" i="35"/>
  <c r="V139" i="35"/>
  <c r="AU139" i="35"/>
  <c r="O139" i="35"/>
  <c r="AL139" i="35"/>
  <c r="I139" i="35"/>
  <c r="BF139" i="35" s="1"/>
  <c r="AE139" i="35"/>
  <c r="BB146" i="34"/>
  <c r="AX146" i="34"/>
  <c r="AT146" i="34"/>
  <c r="AP146" i="34"/>
  <c r="AL146" i="34"/>
  <c r="AH146" i="34"/>
  <c r="AD146" i="34"/>
  <c r="Z146" i="34"/>
  <c r="V146" i="34"/>
  <c r="R146" i="34"/>
  <c r="N146" i="34"/>
  <c r="J146" i="34"/>
  <c r="BD146" i="34"/>
  <c r="AY146" i="34"/>
  <c r="AS146" i="34"/>
  <c r="AN146" i="34"/>
  <c r="AI146" i="34"/>
  <c r="AC146" i="34"/>
  <c r="X146" i="34"/>
  <c r="S146" i="34"/>
  <c r="M146" i="34"/>
  <c r="BC146" i="34"/>
  <c r="AW146" i="34"/>
  <c r="AR146" i="34"/>
  <c r="AM146" i="34"/>
  <c r="AG146" i="34"/>
  <c r="AB146" i="34"/>
  <c r="W146" i="34"/>
  <c r="Q146" i="34"/>
  <c r="L146" i="34"/>
  <c r="BA146" i="34"/>
  <c r="AV146" i="34"/>
  <c r="AQ146" i="34"/>
  <c r="AK146" i="34"/>
  <c r="AF146" i="34"/>
  <c r="AA146" i="34"/>
  <c r="U146" i="34"/>
  <c r="P146" i="34"/>
  <c r="K146" i="34"/>
  <c r="AU146" i="34"/>
  <c r="Y146" i="34"/>
  <c r="AO146" i="34"/>
  <c r="T146" i="34"/>
  <c r="BE146" i="34"/>
  <c r="AJ146" i="34"/>
  <c r="O146" i="34"/>
  <c r="I146" i="34"/>
  <c r="BF146" i="34" s="1"/>
  <c r="AZ146" i="34"/>
  <c r="AE146" i="34"/>
  <c r="BB138" i="34"/>
  <c r="AX138" i="34"/>
  <c r="AT138" i="34"/>
  <c r="AP138" i="34"/>
  <c r="AL138" i="34"/>
  <c r="AH138" i="34"/>
  <c r="AD138" i="34"/>
  <c r="Z138" i="34"/>
  <c r="V138" i="34"/>
  <c r="R138" i="34"/>
  <c r="N138" i="34"/>
  <c r="J138" i="34"/>
  <c r="BD138" i="34"/>
  <c r="BC138" i="34"/>
  <c r="AW138" i="34"/>
  <c r="AR138" i="34"/>
  <c r="AM138" i="34"/>
  <c r="AG138" i="34"/>
  <c r="AB138" i="34"/>
  <c r="W138" i="34"/>
  <c r="Q138" i="34"/>
  <c r="L138" i="34"/>
  <c r="BA138" i="34"/>
  <c r="AV138" i="34"/>
  <c r="AQ138" i="34"/>
  <c r="AK138" i="34"/>
  <c r="AF138" i="34"/>
  <c r="AA138" i="34"/>
  <c r="U138" i="34"/>
  <c r="P138" i="34"/>
  <c r="K138" i="34"/>
  <c r="AZ138" i="34"/>
  <c r="AU138" i="34"/>
  <c r="AO138" i="34"/>
  <c r="AJ138" i="34"/>
  <c r="AE138" i="34"/>
  <c r="Y138" i="34"/>
  <c r="T138" i="34"/>
  <c r="O138" i="34"/>
  <c r="I138" i="34"/>
  <c r="AN138" i="34"/>
  <c r="S138" i="34"/>
  <c r="BE138" i="34"/>
  <c r="AI138" i="34"/>
  <c r="M138" i="34"/>
  <c r="AY138" i="34"/>
  <c r="AC138" i="34"/>
  <c r="X138" i="34"/>
  <c r="AS138" i="34"/>
  <c r="AC127" i="34"/>
  <c r="O127" i="34"/>
  <c r="AD127" i="34" s="1"/>
  <c r="AM140" i="35"/>
  <c r="AB140" i="35"/>
  <c r="AU140" i="35"/>
  <c r="AN140" i="35"/>
  <c r="S140" i="35"/>
  <c r="AY140" i="35"/>
  <c r="U140" i="35"/>
  <c r="AK140" i="35"/>
  <c r="BA140" i="35"/>
  <c r="R140" i="35"/>
  <c r="AH140" i="35"/>
  <c r="AX140" i="35"/>
  <c r="W132" i="35"/>
  <c r="J132" i="35"/>
  <c r="AP132" i="35"/>
  <c r="AA132" i="35"/>
  <c r="N132" i="35"/>
  <c r="AT132" i="35"/>
  <c r="T132" i="35"/>
  <c r="AJ132" i="35"/>
  <c r="AZ132" i="35"/>
  <c r="Q132" i="35"/>
  <c r="AG132" i="35"/>
  <c r="AS142" i="35"/>
  <c r="AD142" i="35"/>
  <c r="V142" i="35"/>
  <c r="Q142" i="35"/>
  <c r="AW142" i="35"/>
  <c r="Z142" i="35"/>
  <c r="K142" i="35"/>
  <c r="AA142" i="35"/>
  <c r="AQ142" i="35"/>
  <c r="L142" i="35"/>
  <c r="AB142" i="35"/>
  <c r="AR142" i="35"/>
  <c r="O137" i="34"/>
  <c r="AZ137" i="34"/>
  <c r="AA137" i="34"/>
  <c r="T137" i="34"/>
  <c r="AJ137" i="34"/>
  <c r="BB137" i="34"/>
  <c r="U137" i="34"/>
  <c r="AK137" i="34"/>
  <c r="BC137" i="34"/>
  <c r="V137" i="34"/>
  <c r="AL137" i="34"/>
  <c r="BD137" i="34"/>
  <c r="AH131" i="34"/>
  <c r="AL131" i="34"/>
  <c r="AP131" i="34"/>
  <c r="K131" i="34"/>
  <c r="AA131" i="34"/>
  <c r="AQ131" i="34"/>
  <c r="L131" i="34"/>
  <c r="AB131" i="34"/>
  <c r="AR131" i="34"/>
  <c r="I131" i="34"/>
  <c r="Y131" i="34"/>
  <c r="AO131" i="34"/>
  <c r="BE131" i="34"/>
  <c r="BF148" i="34"/>
  <c r="P142" i="34"/>
  <c r="AZ142" i="34"/>
  <c r="L142" i="34"/>
  <c r="M142" i="34"/>
  <c r="AC142" i="34"/>
  <c r="AS142" i="34"/>
  <c r="J142" i="34"/>
  <c r="Z142" i="34"/>
  <c r="AP142" i="34"/>
  <c r="K142" i="34"/>
  <c r="AA142" i="34"/>
  <c r="AQ142" i="34"/>
  <c r="BF136" i="34"/>
  <c r="BB142" i="33"/>
  <c r="AX142" i="33"/>
  <c r="AT142" i="33"/>
  <c r="AP142" i="33"/>
  <c r="AL142" i="33"/>
  <c r="AH142" i="33"/>
  <c r="AD142" i="33"/>
  <c r="Z142" i="33"/>
  <c r="V142" i="33"/>
  <c r="R142" i="33"/>
  <c r="N142" i="33"/>
  <c r="J142" i="33"/>
  <c r="BD142" i="33"/>
  <c r="AY142" i="33"/>
  <c r="AS142" i="33"/>
  <c r="AN142" i="33"/>
  <c r="AI142" i="33"/>
  <c r="AC142" i="33"/>
  <c r="X142" i="33"/>
  <c r="S142" i="33"/>
  <c r="M142" i="33"/>
  <c r="BC142" i="33"/>
  <c r="AW142" i="33"/>
  <c r="AR142" i="33"/>
  <c r="AM142" i="33"/>
  <c r="AG142" i="33"/>
  <c r="AB142" i="33"/>
  <c r="W142" i="33"/>
  <c r="Q142" i="33"/>
  <c r="L142" i="33"/>
  <c r="BA142" i="33"/>
  <c r="AV142" i="33"/>
  <c r="AQ142" i="33"/>
  <c r="AK142" i="33"/>
  <c r="AF142" i="33"/>
  <c r="AA142" i="33"/>
  <c r="U142" i="33"/>
  <c r="P142" i="33"/>
  <c r="K142" i="33"/>
  <c r="BE142" i="33"/>
  <c r="AJ142" i="33"/>
  <c r="O142" i="33"/>
  <c r="AZ142" i="33"/>
  <c r="AE142" i="33"/>
  <c r="I142" i="33"/>
  <c r="BF142" i="33" s="1"/>
  <c r="AU142" i="33"/>
  <c r="Y142" i="33"/>
  <c r="T142" i="33"/>
  <c r="AO142" i="33"/>
  <c r="BB136" i="33"/>
  <c r="AX136" i="33"/>
  <c r="AT136" i="33"/>
  <c r="AP136" i="33"/>
  <c r="AL136" i="33"/>
  <c r="AH136" i="33"/>
  <c r="AD136" i="33"/>
  <c r="Z136" i="33"/>
  <c r="V136" i="33"/>
  <c r="R136" i="33"/>
  <c r="N136" i="33"/>
  <c r="J136" i="33"/>
  <c r="BE136" i="33"/>
  <c r="BA136" i="33"/>
  <c r="AW136" i="33"/>
  <c r="AS136" i="33"/>
  <c r="AO136" i="33"/>
  <c r="AK136" i="33"/>
  <c r="AG136" i="33"/>
  <c r="AC136" i="33"/>
  <c r="Y136" i="33"/>
  <c r="U136" i="33"/>
  <c r="Q136" i="33"/>
  <c r="M136" i="33"/>
  <c r="I136" i="33"/>
  <c r="BD136" i="33"/>
  <c r="AZ136" i="33"/>
  <c r="AV136" i="33"/>
  <c r="AR136" i="33"/>
  <c r="AN136" i="33"/>
  <c r="AJ136" i="33"/>
  <c r="AF136" i="33"/>
  <c r="AB136" i="33"/>
  <c r="X136" i="33"/>
  <c r="T136" i="33"/>
  <c r="P136" i="33"/>
  <c r="L136" i="33"/>
  <c r="BC136" i="33"/>
  <c r="AM136" i="33"/>
  <c r="W136" i="33"/>
  <c r="AY136" i="33"/>
  <c r="AI136" i="33"/>
  <c r="S136" i="33"/>
  <c r="AU136" i="33"/>
  <c r="AE136" i="33"/>
  <c r="O136" i="33"/>
  <c r="AA136" i="33"/>
  <c r="AQ136" i="33"/>
  <c r="K136" i="33"/>
  <c r="BE149" i="33"/>
  <c r="BA149" i="33"/>
  <c r="AW149" i="33"/>
  <c r="AS149" i="33"/>
  <c r="AO149" i="33"/>
  <c r="AK149" i="33"/>
  <c r="AG149" i="33"/>
  <c r="AC149" i="33"/>
  <c r="Y149" i="33"/>
  <c r="U149" i="33"/>
  <c r="Q149" i="33"/>
  <c r="M149" i="33"/>
  <c r="I149" i="33"/>
  <c r="BD149" i="33"/>
  <c r="AZ149" i="33"/>
  <c r="AV149" i="33"/>
  <c r="AR149" i="33"/>
  <c r="AN149" i="33"/>
  <c r="AJ149" i="33"/>
  <c r="AF149" i="33"/>
  <c r="AB149" i="33"/>
  <c r="X149" i="33"/>
  <c r="T149" i="33"/>
  <c r="P149" i="33"/>
  <c r="L149" i="33"/>
  <c r="BC149" i="33"/>
  <c r="AY149" i="33"/>
  <c r="AU149" i="33"/>
  <c r="AQ149" i="33"/>
  <c r="AM149" i="33"/>
  <c r="AI149" i="33"/>
  <c r="AE149" i="33"/>
  <c r="AA149" i="33"/>
  <c r="W149" i="33"/>
  <c r="S149" i="33"/>
  <c r="O149" i="33"/>
  <c r="K149" i="33"/>
  <c r="AP149" i="33"/>
  <c r="Z149" i="33"/>
  <c r="J149" i="33"/>
  <c r="BB149" i="33"/>
  <c r="AL149" i="33"/>
  <c r="V149" i="33"/>
  <c r="AX149" i="33"/>
  <c r="AH149" i="33"/>
  <c r="R149" i="33"/>
  <c r="AT149" i="33"/>
  <c r="AD149" i="33"/>
  <c r="N149" i="33"/>
  <c r="BE145" i="33"/>
  <c r="BA145" i="33"/>
  <c r="AW145" i="33"/>
  <c r="AS145" i="33"/>
  <c r="AO145" i="33"/>
  <c r="AK145" i="33"/>
  <c r="AG145" i="33"/>
  <c r="AC145" i="33"/>
  <c r="Y145" i="33"/>
  <c r="U145" i="33"/>
  <c r="Q145" i="33"/>
  <c r="M145" i="33"/>
  <c r="I145" i="33"/>
  <c r="BB145" i="33"/>
  <c r="AV145" i="33"/>
  <c r="AQ145" i="33"/>
  <c r="AL145" i="33"/>
  <c r="AF145" i="33"/>
  <c r="AA145" i="33"/>
  <c r="V145" i="33"/>
  <c r="P145" i="33"/>
  <c r="K145" i="33"/>
  <c r="AZ145" i="33"/>
  <c r="AU145" i="33"/>
  <c r="AP145" i="33"/>
  <c r="AJ145" i="33"/>
  <c r="AE145" i="33"/>
  <c r="Z145" i="33"/>
  <c r="T145" i="33"/>
  <c r="O145" i="33"/>
  <c r="J145" i="33"/>
  <c r="BD145" i="33"/>
  <c r="AY145" i="33"/>
  <c r="AT145" i="33"/>
  <c r="AN145" i="33"/>
  <c r="AI145" i="33"/>
  <c r="AD145" i="33"/>
  <c r="X145" i="33"/>
  <c r="S145" i="33"/>
  <c r="N145" i="33"/>
  <c r="BC145" i="33"/>
  <c r="AH145" i="33"/>
  <c r="L145" i="33"/>
  <c r="AX145" i="33"/>
  <c r="AB145" i="33"/>
  <c r="AR145" i="33"/>
  <c r="W145" i="33"/>
  <c r="R145" i="33"/>
  <c r="AM145" i="33"/>
  <c r="AV145" i="34"/>
  <c r="BB145" i="34"/>
  <c r="AQ145" i="34"/>
  <c r="AB145" i="34"/>
  <c r="AX145" i="34"/>
  <c r="S145" i="34"/>
  <c r="AN145" i="34"/>
  <c r="J145" i="34"/>
  <c r="AE145" i="34"/>
  <c r="AZ145" i="34"/>
  <c r="Y145" i="34"/>
  <c r="AO145" i="34"/>
  <c r="BE145" i="34"/>
  <c r="BD138" i="32"/>
  <c r="AZ138" i="32"/>
  <c r="AV138" i="32"/>
  <c r="AR138" i="32"/>
  <c r="AN138" i="32"/>
  <c r="AJ138" i="32"/>
  <c r="AF138" i="32"/>
  <c r="AB138" i="32"/>
  <c r="X138" i="32"/>
  <c r="T138" i="32"/>
  <c r="P138" i="32"/>
  <c r="L138" i="32"/>
  <c r="BC138" i="32"/>
  <c r="AY138" i="32"/>
  <c r="AU138" i="32"/>
  <c r="AQ138" i="32"/>
  <c r="AM138" i="32"/>
  <c r="AI138" i="32"/>
  <c r="AE138" i="32"/>
  <c r="AA138" i="32"/>
  <c r="W138" i="32"/>
  <c r="S138" i="32"/>
  <c r="O138" i="32"/>
  <c r="K138" i="32"/>
  <c r="BB138" i="32"/>
  <c r="AX138" i="32"/>
  <c r="AT138" i="32"/>
  <c r="AP138" i="32"/>
  <c r="AL138" i="32"/>
  <c r="AH138" i="32"/>
  <c r="AD138" i="32"/>
  <c r="Z138" i="32"/>
  <c r="V138" i="32"/>
  <c r="R138" i="32"/>
  <c r="N138" i="32"/>
  <c r="J138" i="32"/>
  <c r="AW138" i="32"/>
  <c r="AG138" i="32"/>
  <c r="Q138" i="32"/>
  <c r="AK138" i="32"/>
  <c r="AS138" i="32"/>
  <c r="AC138" i="32"/>
  <c r="M138" i="32"/>
  <c r="BA138" i="32"/>
  <c r="U138" i="32"/>
  <c r="BE138" i="32"/>
  <c r="AO138" i="32"/>
  <c r="Y138" i="32"/>
  <c r="I138" i="32"/>
  <c r="C63" i="35"/>
  <c r="C64" i="35"/>
  <c r="BF129" i="34"/>
  <c r="BB133" i="35"/>
  <c r="AX133" i="35"/>
  <c r="AT133" i="35"/>
  <c r="AP133" i="35"/>
  <c r="AL133" i="35"/>
  <c r="AH133" i="35"/>
  <c r="AD133" i="35"/>
  <c r="Z133" i="35"/>
  <c r="V133" i="35"/>
  <c r="R133" i="35"/>
  <c r="N133" i="35"/>
  <c r="J133" i="35"/>
  <c r="BE133" i="35"/>
  <c r="BA133" i="35"/>
  <c r="AW133" i="35"/>
  <c r="AS133" i="35"/>
  <c r="AO133" i="35"/>
  <c r="AK133" i="35"/>
  <c r="AG133" i="35"/>
  <c r="AC133" i="35"/>
  <c r="Y133" i="35"/>
  <c r="U133" i="35"/>
  <c r="Q133" i="35"/>
  <c r="M133" i="35"/>
  <c r="I133" i="35"/>
  <c r="AZ133" i="35"/>
  <c r="AR133" i="35"/>
  <c r="AJ133" i="35"/>
  <c r="AB133" i="35"/>
  <c r="T133" i="35"/>
  <c r="L133" i="35"/>
  <c r="AY133" i="35"/>
  <c r="AQ133" i="35"/>
  <c r="AI133" i="35"/>
  <c r="AA133" i="35"/>
  <c r="S133" i="35"/>
  <c r="K133" i="35"/>
  <c r="BD133" i="35"/>
  <c r="AV133" i="35"/>
  <c r="AN133" i="35"/>
  <c r="AF133" i="35"/>
  <c r="X133" i="35"/>
  <c r="P133" i="35"/>
  <c r="AE133" i="35"/>
  <c r="BC133" i="35"/>
  <c r="W133" i="35"/>
  <c r="AU133" i="35"/>
  <c r="O133" i="35"/>
  <c r="AM133" i="35"/>
  <c r="O132" i="35"/>
  <c r="Z132" i="35"/>
  <c r="AQ132" i="35"/>
  <c r="AB132" i="35"/>
  <c r="I132" i="35"/>
  <c r="AO132" i="35"/>
  <c r="AT142" i="35"/>
  <c r="BB142" i="35"/>
  <c r="AP142" i="35"/>
  <c r="AI142" i="35"/>
  <c r="T142" i="35"/>
  <c r="AZ142" i="35"/>
  <c r="T142" i="34"/>
  <c r="AR142" i="34"/>
  <c r="BA142" i="34"/>
  <c r="AX142" i="34"/>
  <c r="AI142" i="34"/>
  <c r="BB139" i="33"/>
  <c r="AX139" i="33"/>
  <c r="AT139" i="33"/>
  <c r="AP139" i="33"/>
  <c r="AL139" i="33"/>
  <c r="AH139" i="33"/>
  <c r="AD139" i="33"/>
  <c r="Z139" i="33"/>
  <c r="V139" i="33"/>
  <c r="R139" i="33"/>
  <c r="N139" i="33"/>
  <c r="J139" i="33"/>
  <c r="BE139" i="33"/>
  <c r="BA139" i="33"/>
  <c r="AW139" i="33"/>
  <c r="AS139" i="33"/>
  <c r="AO139" i="33"/>
  <c r="AK139" i="33"/>
  <c r="AG139" i="33"/>
  <c r="AC139" i="33"/>
  <c r="Y139" i="33"/>
  <c r="U139" i="33"/>
  <c r="Q139" i="33"/>
  <c r="M139" i="33"/>
  <c r="I139" i="33"/>
  <c r="BD139" i="33"/>
  <c r="AZ139" i="33"/>
  <c r="AV139" i="33"/>
  <c r="AR139" i="33"/>
  <c r="AN139" i="33"/>
  <c r="AJ139" i="33"/>
  <c r="AF139" i="33"/>
  <c r="AB139" i="33"/>
  <c r="X139" i="33"/>
  <c r="T139" i="33"/>
  <c r="P139" i="33"/>
  <c r="L139" i="33"/>
  <c r="AY139" i="33"/>
  <c r="AI139" i="33"/>
  <c r="S139" i="33"/>
  <c r="AU139" i="33"/>
  <c r="AE139" i="33"/>
  <c r="O139" i="33"/>
  <c r="AQ139" i="33"/>
  <c r="AA139" i="33"/>
  <c r="K139" i="33"/>
  <c r="AM139" i="33"/>
  <c r="W139" i="33"/>
  <c r="BC139" i="33"/>
  <c r="BD134" i="32"/>
  <c r="AZ134" i="32"/>
  <c r="AV134" i="32"/>
  <c r="AR134" i="32"/>
  <c r="AN134" i="32"/>
  <c r="AJ134" i="32"/>
  <c r="AF134" i="32"/>
  <c r="AB134" i="32"/>
  <c r="X134" i="32"/>
  <c r="T134" i="32"/>
  <c r="P134" i="32"/>
  <c r="L134" i="32"/>
  <c r="BC134" i="32"/>
  <c r="AY134" i="32"/>
  <c r="AU134" i="32"/>
  <c r="AQ134" i="32"/>
  <c r="AM134" i="32"/>
  <c r="AI134" i="32"/>
  <c r="AE134" i="32"/>
  <c r="AA134" i="32"/>
  <c r="W134" i="32"/>
  <c r="S134" i="32"/>
  <c r="O134" i="32"/>
  <c r="K134" i="32"/>
  <c r="BB134" i="32"/>
  <c r="AX134" i="32"/>
  <c r="AT134" i="32"/>
  <c r="AP134" i="32"/>
  <c r="AL134" i="32"/>
  <c r="AH134" i="32"/>
  <c r="AD134" i="32"/>
  <c r="Z134" i="32"/>
  <c r="V134" i="32"/>
  <c r="R134" i="32"/>
  <c r="N134" i="32"/>
  <c r="J134" i="32"/>
  <c r="BA134" i="32"/>
  <c r="AK134" i="32"/>
  <c r="U134" i="32"/>
  <c r="BE134" i="32"/>
  <c r="AO134" i="32"/>
  <c r="I134" i="32"/>
  <c r="AW134" i="32"/>
  <c r="AG134" i="32"/>
  <c r="Q134" i="32"/>
  <c r="AS134" i="32"/>
  <c r="AC134" i="32"/>
  <c r="M134" i="32"/>
  <c r="Y134" i="32"/>
  <c r="BE135" i="32"/>
  <c r="BA135" i="32"/>
  <c r="AW135" i="32"/>
  <c r="AS135" i="32"/>
  <c r="AO135" i="32"/>
  <c r="AK135" i="32"/>
  <c r="AG135" i="32"/>
  <c r="AC135" i="32"/>
  <c r="Y135" i="32"/>
  <c r="U135" i="32"/>
  <c r="Q135" i="32"/>
  <c r="M135" i="32"/>
  <c r="I135" i="32"/>
  <c r="BD135" i="32"/>
  <c r="AZ135" i="32"/>
  <c r="AV135" i="32"/>
  <c r="AR135" i="32"/>
  <c r="AN135" i="32"/>
  <c r="AJ135" i="32"/>
  <c r="AF135" i="32"/>
  <c r="AB135" i="32"/>
  <c r="X135" i="32"/>
  <c r="T135" i="32"/>
  <c r="P135" i="32"/>
  <c r="L135" i="32"/>
  <c r="BC135" i="32"/>
  <c r="AY135" i="32"/>
  <c r="AU135" i="32"/>
  <c r="AQ135" i="32"/>
  <c r="AM135" i="32"/>
  <c r="AI135" i="32"/>
  <c r="AE135" i="32"/>
  <c r="AA135" i="32"/>
  <c r="W135" i="32"/>
  <c r="S135" i="32"/>
  <c r="O135" i="32"/>
  <c r="K135" i="32"/>
  <c r="BB135" i="32"/>
  <c r="AL135" i="32"/>
  <c r="V135" i="32"/>
  <c r="Z135" i="32"/>
  <c r="AX135" i="32"/>
  <c r="AH135" i="32"/>
  <c r="R135" i="32"/>
  <c r="AT135" i="32"/>
  <c r="AD135" i="32"/>
  <c r="N135" i="32"/>
  <c r="AP135" i="32"/>
  <c r="J135" i="32"/>
  <c r="BE142" i="32"/>
  <c r="BA142" i="32"/>
  <c r="AW142" i="32"/>
  <c r="AS142" i="32"/>
  <c r="AO142" i="32"/>
  <c r="AK142" i="32"/>
  <c r="AG142" i="32"/>
  <c r="AC142" i="32"/>
  <c r="Y142" i="32"/>
  <c r="U142" i="32"/>
  <c r="Q142" i="32"/>
  <c r="M142" i="32"/>
  <c r="I142" i="32"/>
  <c r="BD142" i="32"/>
  <c r="AZ142" i="32"/>
  <c r="AV142" i="32"/>
  <c r="AR142" i="32"/>
  <c r="AN142" i="32"/>
  <c r="AJ142" i="32"/>
  <c r="AF142" i="32"/>
  <c r="AB142" i="32"/>
  <c r="X142" i="32"/>
  <c r="T142" i="32"/>
  <c r="P142" i="32"/>
  <c r="L142" i="32"/>
  <c r="BC142" i="32"/>
  <c r="AY142" i="32"/>
  <c r="AU142" i="32"/>
  <c r="AQ142" i="32"/>
  <c r="AM142" i="32"/>
  <c r="AI142" i="32"/>
  <c r="AE142" i="32"/>
  <c r="AA142" i="32"/>
  <c r="W142" i="32"/>
  <c r="S142" i="32"/>
  <c r="O142" i="32"/>
  <c r="K142" i="32"/>
  <c r="AT142" i="32"/>
  <c r="AD142" i="32"/>
  <c r="N142" i="32"/>
  <c r="AH142" i="32"/>
  <c r="AP142" i="32"/>
  <c r="Z142" i="32"/>
  <c r="J142" i="32"/>
  <c r="AX142" i="32"/>
  <c r="BB142" i="32"/>
  <c r="AL142" i="32"/>
  <c r="V142" i="32"/>
  <c r="R142" i="32"/>
  <c r="BF130" i="34"/>
  <c r="AM132" i="35"/>
  <c r="AY132" i="35"/>
  <c r="P132" i="35"/>
  <c r="AV132" i="35"/>
  <c r="AC132" i="35"/>
  <c r="M142" i="35"/>
  <c r="AC142" i="35"/>
  <c r="I142" i="35"/>
  <c r="AO142" i="35"/>
  <c r="AX142" i="35"/>
  <c r="AM142" i="35"/>
  <c r="X142" i="35"/>
  <c r="AN142" i="35"/>
  <c r="BD142" i="35"/>
  <c r="V131" i="34"/>
  <c r="AT131" i="34"/>
  <c r="AM131" i="34"/>
  <c r="X131" i="34"/>
  <c r="AN131" i="34"/>
  <c r="U131" i="34"/>
  <c r="AV142" i="34"/>
  <c r="BD142" i="34"/>
  <c r="AO142" i="34"/>
  <c r="V142" i="34"/>
  <c r="AL142" i="34"/>
  <c r="BB142" i="34"/>
  <c r="AM142" i="34"/>
  <c r="BF135" i="34"/>
  <c r="BD138" i="33"/>
  <c r="AZ138" i="33"/>
  <c r="AV138" i="33"/>
  <c r="AR138" i="33"/>
  <c r="AN138" i="33"/>
  <c r="AJ138" i="33"/>
  <c r="AF138" i="33"/>
  <c r="AB138" i="33"/>
  <c r="X138" i="33"/>
  <c r="T138" i="33"/>
  <c r="P138" i="33"/>
  <c r="L138" i="33"/>
  <c r="BC138" i="33"/>
  <c r="AY138" i="33"/>
  <c r="AU138" i="33"/>
  <c r="AQ138" i="33"/>
  <c r="AM138" i="33"/>
  <c r="AI138" i="33"/>
  <c r="AE138" i="33"/>
  <c r="AA138" i="33"/>
  <c r="W138" i="33"/>
  <c r="S138" i="33"/>
  <c r="O138" i="33"/>
  <c r="K138" i="33"/>
  <c r="BB138" i="33"/>
  <c r="AX138" i="33"/>
  <c r="AT138" i="33"/>
  <c r="AP138" i="33"/>
  <c r="AL138" i="33"/>
  <c r="AH138" i="33"/>
  <c r="AD138" i="33"/>
  <c r="Z138" i="33"/>
  <c r="V138" i="33"/>
  <c r="R138" i="33"/>
  <c r="N138" i="33"/>
  <c r="J138" i="33"/>
  <c r="AW138" i="33"/>
  <c r="AG138" i="33"/>
  <c r="Q138" i="33"/>
  <c r="AS138" i="33"/>
  <c r="AC138" i="33"/>
  <c r="M138" i="33"/>
  <c r="BE138" i="33"/>
  <c r="AO138" i="33"/>
  <c r="Y138" i="33"/>
  <c r="I138" i="33"/>
  <c r="BA138" i="33"/>
  <c r="U138" i="33"/>
  <c r="AK138" i="33"/>
  <c r="BC133" i="33"/>
  <c r="AY133" i="33"/>
  <c r="AU133" i="33"/>
  <c r="AQ133" i="33"/>
  <c r="AM133" i="33"/>
  <c r="AI133" i="33"/>
  <c r="AE133" i="33"/>
  <c r="AA133" i="33"/>
  <c r="W133" i="33"/>
  <c r="S133" i="33"/>
  <c r="O133" i="33"/>
  <c r="K133" i="33"/>
  <c r="BB133" i="33"/>
  <c r="AX133" i="33"/>
  <c r="AT133" i="33"/>
  <c r="AP133" i="33"/>
  <c r="AL133" i="33"/>
  <c r="AH133" i="33"/>
  <c r="AD133" i="33"/>
  <c r="Z133" i="33"/>
  <c r="V133" i="33"/>
  <c r="R133" i="33"/>
  <c r="N133" i="33"/>
  <c r="J133" i="33"/>
  <c r="BE133" i="33"/>
  <c r="BA133" i="33"/>
  <c r="AW133" i="33"/>
  <c r="AS133" i="33"/>
  <c r="AO133" i="33"/>
  <c r="AK133" i="33"/>
  <c r="AG133" i="33"/>
  <c r="AC133" i="33"/>
  <c r="Y133" i="33"/>
  <c r="U133" i="33"/>
  <c r="Q133" i="33"/>
  <c r="M133" i="33"/>
  <c r="I133" i="33"/>
  <c r="AV133" i="33"/>
  <c r="AF133" i="33"/>
  <c r="P133" i="33"/>
  <c r="AR133" i="33"/>
  <c r="AB133" i="33"/>
  <c r="L133" i="33"/>
  <c r="BD133" i="33"/>
  <c r="AN133" i="33"/>
  <c r="X133" i="33"/>
  <c r="AZ133" i="33"/>
  <c r="AJ133" i="33"/>
  <c r="T133" i="33"/>
  <c r="BC147" i="33"/>
  <c r="AY147" i="33"/>
  <c r="AU147" i="33"/>
  <c r="AQ147" i="33"/>
  <c r="AM147" i="33"/>
  <c r="AI147" i="33"/>
  <c r="AE147" i="33"/>
  <c r="AA147" i="33"/>
  <c r="W147" i="33"/>
  <c r="S147" i="33"/>
  <c r="O147" i="33"/>
  <c r="K147" i="33"/>
  <c r="BB147" i="33"/>
  <c r="AX147" i="33"/>
  <c r="AT147" i="33"/>
  <c r="AP147" i="33"/>
  <c r="AL147" i="33"/>
  <c r="AH147" i="33"/>
  <c r="AD147" i="33"/>
  <c r="Z147" i="33"/>
  <c r="V147" i="33"/>
  <c r="R147" i="33"/>
  <c r="N147" i="33"/>
  <c r="J147" i="33"/>
  <c r="BE147" i="33"/>
  <c r="BA147" i="33"/>
  <c r="AW147" i="33"/>
  <c r="AS147" i="33"/>
  <c r="AO147" i="33"/>
  <c r="AK147" i="33"/>
  <c r="AG147" i="33"/>
  <c r="AC147" i="33"/>
  <c r="Y147" i="33"/>
  <c r="U147" i="33"/>
  <c r="Q147" i="33"/>
  <c r="M147" i="33"/>
  <c r="I147" i="33"/>
  <c r="AZ147" i="33"/>
  <c r="AJ147" i="33"/>
  <c r="T147" i="33"/>
  <c r="AV147" i="33"/>
  <c r="AF147" i="33"/>
  <c r="P147" i="33"/>
  <c r="AR147" i="33"/>
  <c r="AB147" i="33"/>
  <c r="L147" i="33"/>
  <c r="X147" i="33"/>
  <c r="BD147" i="33"/>
  <c r="AN147" i="33"/>
  <c r="BB132" i="33"/>
  <c r="AX132" i="33"/>
  <c r="AT132" i="33"/>
  <c r="AP132" i="33"/>
  <c r="AL132" i="33"/>
  <c r="AH132" i="33"/>
  <c r="AD132" i="33"/>
  <c r="Z132" i="33"/>
  <c r="V132" i="33"/>
  <c r="R132" i="33"/>
  <c r="N132" i="33"/>
  <c r="J132" i="33"/>
  <c r="BE132" i="33"/>
  <c r="BA132" i="33"/>
  <c r="AW132" i="33"/>
  <c r="AS132" i="33"/>
  <c r="AO132" i="33"/>
  <c r="AK132" i="33"/>
  <c r="AG132" i="33"/>
  <c r="AC132" i="33"/>
  <c r="Y132" i="33"/>
  <c r="U132" i="33"/>
  <c r="Q132" i="33"/>
  <c r="M132" i="33"/>
  <c r="I132" i="33"/>
  <c r="BD132" i="33"/>
  <c r="AZ132" i="33"/>
  <c r="AV132" i="33"/>
  <c r="AR132" i="33"/>
  <c r="AN132" i="33"/>
  <c r="AJ132" i="33"/>
  <c r="AF132" i="33"/>
  <c r="AB132" i="33"/>
  <c r="X132" i="33"/>
  <c r="T132" i="33"/>
  <c r="P132" i="33"/>
  <c r="L132" i="33"/>
  <c r="AQ132" i="33"/>
  <c r="AA132" i="33"/>
  <c r="K132" i="33"/>
  <c r="BC132" i="33"/>
  <c r="AM132" i="33"/>
  <c r="W132" i="33"/>
  <c r="AY132" i="33"/>
  <c r="AI132" i="33"/>
  <c r="S132" i="33"/>
  <c r="AU132" i="33"/>
  <c r="O132" i="33"/>
  <c r="AE132" i="33"/>
  <c r="BC143" i="33"/>
  <c r="AY143" i="33"/>
  <c r="AU143" i="33"/>
  <c r="AQ143" i="33"/>
  <c r="AM143" i="33"/>
  <c r="AI143" i="33"/>
  <c r="AE143" i="33"/>
  <c r="AA143" i="33"/>
  <c r="W143" i="33"/>
  <c r="S143" i="33"/>
  <c r="O143" i="33"/>
  <c r="K143" i="33"/>
  <c r="BB143" i="33"/>
  <c r="AW143" i="33"/>
  <c r="AR143" i="33"/>
  <c r="AL143" i="33"/>
  <c r="AG143" i="33"/>
  <c r="AB143" i="33"/>
  <c r="V143" i="33"/>
  <c r="Q143" i="33"/>
  <c r="L143" i="33"/>
  <c r="BA143" i="33"/>
  <c r="AV143" i="33"/>
  <c r="AP143" i="33"/>
  <c r="AK143" i="33"/>
  <c r="AF143" i="33"/>
  <c r="Z143" i="33"/>
  <c r="U143" i="33"/>
  <c r="P143" i="33"/>
  <c r="J143" i="33"/>
  <c r="BE143" i="33"/>
  <c r="AZ143" i="33"/>
  <c r="AT143" i="33"/>
  <c r="AO143" i="33"/>
  <c r="AJ143" i="33"/>
  <c r="AD143" i="33"/>
  <c r="Y143" i="33"/>
  <c r="T143" i="33"/>
  <c r="N143" i="33"/>
  <c r="I143" i="33"/>
  <c r="BD143" i="33"/>
  <c r="AH143" i="33"/>
  <c r="M143" i="33"/>
  <c r="AX143" i="33"/>
  <c r="AC143" i="33"/>
  <c r="AS143" i="33"/>
  <c r="X143" i="33"/>
  <c r="R143" i="33"/>
  <c r="AN143" i="33"/>
  <c r="G64" i="35"/>
  <c r="G63" i="35"/>
  <c r="H62" i="35"/>
  <c r="BF144" i="35"/>
  <c r="BF130" i="35"/>
  <c r="BB149" i="32"/>
  <c r="AX149" i="32"/>
  <c r="AT149" i="32"/>
  <c r="AP149" i="32"/>
  <c r="AL149" i="32"/>
  <c r="AH149" i="32"/>
  <c r="AD149" i="32"/>
  <c r="Z149" i="32"/>
  <c r="V149" i="32"/>
  <c r="BE149" i="32"/>
  <c r="BA149" i="32"/>
  <c r="AW149" i="32"/>
  <c r="AS149" i="32"/>
  <c r="AO149" i="32"/>
  <c r="AK149" i="32"/>
  <c r="AG149" i="32"/>
  <c r="AC149" i="32"/>
  <c r="BD149" i="32"/>
  <c r="AV149" i="32"/>
  <c r="AN149" i="32"/>
  <c r="AF149" i="32"/>
  <c r="Y149" i="32"/>
  <c r="T149" i="32"/>
  <c r="P149" i="32"/>
  <c r="L149" i="32"/>
  <c r="BC149" i="32"/>
  <c r="AU149" i="32"/>
  <c r="AM149" i="32"/>
  <c r="AE149" i="32"/>
  <c r="X149" i="32"/>
  <c r="S149" i="32"/>
  <c r="O149" i="32"/>
  <c r="K149" i="32"/>
  <c r="AZ149" i="32"/>
  <c r="AR149" i="32"/>
  <c r="AJ149" i="32"/>
  <c r="AB149" i="32"/>
  <c r="W149" i="32"/>
  <c r="R149" i="32"/>
  <c r="N149" i="32"/>
  <c r="J149" i="32"/>
  <c r="AY149" i="32"/>
  <c r="U149" i="32"/>
  <c r="AA149" i="32"/>
  <c r="I149" i="32"/>
  <c r="AQ149" i="32"/>
  <c r="Q149" i="32"/>
  <c r="AI149" i="32"/>
  <c r="M149" i="32"/>
  <c r="BB139" i="32"/>
  <c r="AX139" i="32"/>
  <c r="AT139" i="32"/>
  <c r="AP139" i="32"/>
  <c r="AL139" i="32"/>
  <c r="AH139" i="32"/>
  <c r="AD139" i="32"/>
  <c r="Z139" i="32"/>
  <c r="V139" i="32"/>
  <c r="R139" i="32"/>
  <c r="N139" i="32"/>
  <c r="J139" i="32"/>
  <c r="BE139" i="32"/>
  <c r="BA139" i="32"/>
  <c r="AW139" i="32"/>
  <c r="AS139" i="32"/>
  <c r="AO139" i="32"/>
  <c r="AK139" i="32"/>
  <c r="AG139" i="32"/>
  <c r="AC139" i="32"/>
  <c r="Y139" i="32"/>
  <c r="U139" i="32"/>
  <c r="Q139" i="32"/>
  <c r="M139" i="32"/>
  <c r="I139" i="32"/>
  <c r="BD139" i="32"/>
  <c r="AZ139" i="32"/>
  <c r="AV139" i="32"/>
  <c r="AR139" i="32"/>
  <c r="AN139" i="32"/>
  <c r="AJ139" i="32"/>
  <c r="AF139" i="32"/>
  <c r="AB139" i="32"/>
  <c r="X139" i="32"/>
  <c r="T139" i="32"/>
  <c r="P139" i="32"/>
  <c r="L139" i="32"/>
  <c r="AY139" i="32"/>
  <c r="AI139" i="32"/>
  <c r="S139" i="32"/>
  <c r="AM139" i="32"/>
  <c r="AU139" i="32"/>
  <c r="AE139" i="32"/>
  <c r="O139" i="32"/>
  <c r="BC139" i="32"/>
  <c r="W139" i="32"/>
  <c r="AQ139" i="32"/>
  <c r="AA139" i="32"/>
  <c r="K139" i="32"/>
  <c r="BB143" i="32"/>
  <c r="AX143" i="32"/>
  <c r="AT143" i="32"/>
  <c r="AP143" i="32"/>
  <c r="AL143" i="32"/>
  <c r="AH143" i="32"/>
  <c r="AD143" i="32"/>
  <c r="Z143" i="32"/>
  <c r="V143" i="32"/>
  <c r="R143" i="32"/>
  <c r="N143" i="32"/>
  <c r="J143" i="32"/>
  <c r="BE143" i="32"/>
  <c r="BA143" i="32"/>
  <c r="AW143" i="32"/>
  <c r="AS143" i="32"/>
  <c r="AO143" i="32"/>
  <c r="AK143" i="32"/>
  <c r="AG143" i="32"/>
  <c r="AC143" i="32"/>
  <c r="Y143" i="32"/>
  <c r="U143" i="32"/>
  <c r="Q143" i="32"/>
  <c r="M143" i="32"/>
  <c r="I143" i="32"/>
  <c r="BD143" i="32"/>
  <c r="AZ143" i="32"/>
  <c r="AV143" i="32"/>
  <c r="AR143" i="32"/>
  <c r="AN143" i="32"/>
  <c r="AJ143" i="32"/>
  <c r="AF143" i="32"/>
  <c r="AB143" i="32"/>
  <c r="X143" i="32"/>
  <c r="T143" i="32"/>
  <c r="P143" i="32"/>
  <c r="L143" i="32"/>
  <c r="AU143" i="32"/>
  <c r="AE143" i="32"/>
  <c r="O143" i="32"/>
  <c r="AI143" i="32"/>
  <c r="AQ143" i="32"/>
  <c r="AA143" i="32"/>
  <c r="K143" i="32"/>
  <c r="AY143" i="32"/>
  <c r="S143" i="32"/>
  <c r="BC143" i="32"/>
  <c r="AM143" i="32"/>
  <c r="W143" i="32"/>
  <c r="BD145" i="32"/>
  <c r="AZ145" i="32"/>
  <c r="AV145" i="32"/>
  <c r="AR145" i="32"/>
  <c r="AN145" i="32"/>
  <c r="AJ145" i="32"/>
  <c r="AF145" i="32"/>
  <c r="AB145" i="32"/>
  <c r="X145" i="32"/>
  <c r="T145" i="32"/>
  <c r="P145" i="32"/>
  <c r="L145" i="32"/>
  <c r="BC145" i="32"/>
  <c r="AY145" i="32"/>
  <c r="AU145" i="32"/>
  <c r="AQ145" i="32"/>
  <c r="AM145" i="32"/>
  <c r="AI145" i="32"/>
  <c r="AE145" i="32"/>
  <c r="AA145" i="32"/>
  <c r="W145" i="32"/>
  <c r="S145" i="32"/>
  <c r="O145" i="32"/>
  <c r="K145" i="32"/>
  <c r="BB145" i="32"/>
  <c r="AX145" i="32"/>
  <c r="AT145" i="32"/>
  <c r="AP145" i="32"/>
  <c r="AL145" i="32"/>
  <c r="AH145" i="32"/>
  <c r="AD145" i="32"/>
  <c r="Z145" i="32"/>
  <c r="V145" i="32"/>
  <c r="R145" i="32"/>
  <c r="N145" i="32"/>
  <c r="J145" i="32"/>
  <c r="BE145" i="32"/>
  <c r="AO145" i="32"/>
  <c r="Y145" i="32"/>
  <c r="I145" i="32"/>
  <c r="AC145" i="32"/>
  <c r="BA145" i="32"/>
  <c r="AK145" i="32"/>
  <c r="U145" i="32"/>
  <c r="AS145" i="32"/>
  <c r="M145" i="32"/>
  <c r="AW145" i="32"/>
  <c r="AG145" i="32"/>
  <c r="Q145" i="32"/>
  <c r="BB147" i="32"/>
  <c r="AX147" i="32"/>
  <c r="AT147" i="32"/>
  <c r="AP147" i="32"/>
  <c r="AL147" i="32"/>
  <c r="AH147" i="32"/>
  <c r="AD147" i="32"/>
  <c r="Z147" i="32"/>
  <c r="V147" i="32"/>
  <c r="R147" i="32"/>
  <c r="N147" i="32"/>
  <c r="J147" i="32"/>
  <c r="BE147" i="32"/>
  <c r="BA147" i="32"/>
  <c r="AW147" i="32"/>
  <c r="AS147" i="32"/>
  <c r="AO147" i="32"/>
  <c r="AK147" i="32"/>
  <c r="AG147" i="32"/>
  <c r="AC147" i="32"/>
  <c r="Y147" i="32"/>
  <c r="U147" i="32"/>
  <c r="Q147" i="32"/>
  <c r="M147" i="32"/>
  <c r="I147" i="32"/>
  <c r="BD147" i="32"/>
  <c r="AZ147" i="32"/>
  <c r="AV147" i="32"/>
  <c r="AR147" i="32"/>
  <c r="AN147" i="32"/>
  <c r="AJ147" i="32"/>
  <c r="AF147" i="32"/>
  <c r="AB147" i="32"/>
  <c r="X147" i="32"/>
  <c r="T147" i="32"/>
  <c r="P147" i="32"/>
  <c r="L147" i="32"/>
  <c r="AQ147" i="32"/>
  <c r="AA147" i="32"/>
  <c r="K147" i="32"/>
  <c r="AE147" i="32"/>
  <c r="BC147" i="32"/>
  <c r="AM147" i="32"/>
  <c r="W147" i="32"/>
  <c r="AU147" i="32"/>
  <c r="O147" i="32"/>
  <c r="AY147" i="32"/>
  <c r="AI147" i="32"/>
  <c r="S147" i="32"/>
  <c r="D64" i="35"/>
  <c r="D63" i="35"/>
  <c r="E64" i="35"/>
  <c r="AU138" i="35"/>
  <c r="W138" i="35"/>
  <c r="X138" i="35"/>
  <c r="AB138" i="35"/>
  <c r="T138" i="35"/>
  <c r="BF138" i="35" s="1"/>
  <c r="AV138" i="35"/>
  <c r="U138" i="35"/>
  <c r="AY138" i="35"/>
  <c r="AO138" i="35"/>
  <c r="BE138" i="35"/>
  <c r="V138" i="35"/>
  <c r="AL138" i="35"/>
  <c r="BB138" i="35"/>
  <c r="BF149" i="34"/>
  <c r="BB145" i="35"/>
  <c r="AX145" i="35"/>
  <c r="AT145" i="35"/>
  <c r="AP145" i="35"/>
  <c r="AL145" i="35"/>
  <c r="AH145" i="35"/>
  <c r="AD145" i="35"/>
  <c r="Z145" i="35"/>
  <c r="V145" i="35"/>
  <c r="R145" i="35"/>
  <c r="N145" i="35"/>
  <c r="J145" i="35"/>
  <c r="BE145" i="35"/>
  <c r="BA145" i="35"/>
  <c r="AW145" i="35"/>
  <c r="AS145" i="35"/>
  <c r="AO145" i="35"/>
  <c r="AK145" i="35"/>
  <c r="AG145" i="35"/>
  <c r="AC145" i="35"/>
  <c r="Y145" i="35"/>
  <c r="U145" i="35"/>
  <c r="Q145" i="35"/>
  <c r="M145" i="35"/>
  <c r="I145" i="35"/>
  <c r="BD145" i="35"/>
  <c r="AZ145" i="35"/>
  <c r="AV145" i="35"/>
  <c r="AR145" i="35"/>
  <c r="AN145" i="35"/>
  <c r="AJ145" i="35"/>
  <c r="AF145" i="35"/>
  <c r="AB145" i="35"/>
  <c r="X145" i="35"/>
  <c r="T145" i="35"/>
  <c r="P145" i="35"/>
  <c r="L145" i="35"/>
  <c r="AU145" i="35"/>
  <c r="AE145" i="35"/>
  <c r="O145" i="35"/>
  <c r="AQ145" i="35"/>
  <c r="AA145" i="35"/>
  <c r="K145" i="35"/>
  <c r="AM145" i="35"/>
  <c r="AI145" i="35"/>
  <c r="AY145" i="35"/>
  <c r="W145" i="35"/>
  <c r="BC145" i="35"/>
  <c r="S145" i="35"/>
  <c r="BD136" i="35"/>
  <c r="AZ136" i="35"/>
  <c r="AV136" i="35"/>
  <c r="AR136" i="35"/>
  <c r="AN136" i="35"/>
  <c r="AJ136" i="35"/>
  <c r="AF136" i="35"/>
  <c r="AB136" i="35"/>
  <c r="X136" i="35"/>
  <c r="T136" i="35"/>
  <c r="P136" i="35"/>
  <c r="L136" i="35"/>
  <c r="BA136" i="35"/>
  <c r="AU136" i="35"/>
  <c r="AP136" i="35"/>
  <c r="AK136" i="35"/>
  <c r="AE136" i="35"/>
  <c r="Z136" i="35"/>
  <c r="U136" i="35"/>
  <c r="O136" i="35"/>
  <c r="J136" i="35"/>
  <c r="BE136" i="35"/>
  <c r="AY136" i="35"/>
  <c r="AT136" i="35"/>
  <c r="AO136" i="35"/>
  <c r="AI136" i="35"/>
  <c r="AD136" i="35"/>
  <c r="Y136" i="35"/>
  <c r="S136" i="35"/>
  <c r="N136" i="35"/>
  <c r="I136" i="35"/>
  <c r="BF136" i="35" s="1"/>
  <c r="AW136" i="35"/>
  <c r="AL136" i="35"/>
  <c r="AA136" i="35"/>
  <c r="Q136" i="35"/>
  <c r="BC136" i="35"/>
  <c r="AS136" i="35"/>
  <c r="AH136" i="35"/>
  <c r="W136" i="35"/>
  <c r="M136" i="35"/>
  <c r="BB136" i="35"/>
  <c r="AQ136" i="35"/>
  <c r="AG136" i="35"/>
  <c r="V136" i="35"/>
  <c r="K136" i="35"/>
  <c r="AX136" i="35"/>
  <c r="AM136" i="35"/>
  <c r="AC136" i="35"/>
  <c r="R136" i="35"/>
  <c r="D63" i="34"/>
  <c r="D64" i="34"/>
  <c r="BF140" i="34"/>
  <c r="BD139" i="34"/>
  <c r="AZ139" i="34"/>
  <c r="AV139" i="34"/>
  <c r="AR139" i="34"/>
  <c r="AN139" i="34"/>
  <c r="AJ139" i="34"/>
  <c r="AF139" i="34"/>
  <c r="AB139" i="34"/>
  <c r="X139" i="34"/>
  <c r="T139" i="34"/>
  <c r="P139" i="34"/>
  <c r="L139" i="34"/>
  <c r="BC139" i="34"/>
  <c r="AY139" i="34"/>
  <c r="AU139" i="34"/>
  <c r="AQ139" i="34"/>
  <c r="AM139" i="34"/>
  <c r="AI139" i="34"/>
  <c r="AE139" i="34"/>
  <c r="AA139" i="34"/>
  <c r="W139" i="34"/>
  <c r="S139" i="34"/>
  <c r="O139" i="34"/>
  <c r="K139" i="34"/>
  <c r="BB139" i="34"/>
  <c r="AX139" i="34"/>
  <c r="AT139" i="34"/>
  <c r="AP139" i="34"/>
  <c r="AL139" i="34"/>
  <c r="AH139" i="34"/>
  <c r="AD139" i="34"/>
  <c r="Z139" i="34"/>
  <c r="V139" i="34"/>
  <c r="R139" i="34"/>
  <c r="N139" i="34"/>
  <c r="J139" i="34"/>
  <c r="BA139" i="34"/>
  <c r="AK139" i="34"/>
  <c r="U139" i="34"/>
  <c r="AW139" i="34"/>
  <c r="AG139" i="34"/>
  <c r="Q139" i="34"/>
  <c r="AS139" i="34"/>
  <c r="AC139" i="34"/>
  <c r="M139" i="34"/>
  <c r="AO139" i="34"/>
  <c r="Y139" i="34"/>
  <c r="I139" i="34"/>
  <c r="BE139" i="34"/>
  <c r="W140" i="35"/>
  <c r="T140" i="35"/>
  <c r="AR140" i="35"/>
  <c r="P140" i="35"/>
  <c r="AV140" i="35"/>
  <c r="AA140" i="35"/>
  <c r="I140" i="35"/>
  <c r="Y140" i="35"/>
  <c r="AO140" i="35"/>
  <c r="BE140" i="35"/>
  <c r="V140" i="35"/>
  <c r="AL140" i="35"/>
  <c r="BB140" i="35"/>
  <c r="BC132" i="35"/>
  <c r="R132" i="35"/>
  <c r="AX132" i="35"/>
  <c r="AI132" i="35"/>
  <c r="V132" i="35"/>
  <c r="BB132" i="35"/>
  <c r="X132" i="35"/>
  <c r="AN132" i="35"/>
  <c r="BD132" i="35"/>
  <c r="U132" i="35"/>
  <c r="AK132" i="35"/>
  <c r="BA132" i="35"/>
  <c r="N142" i="35"/>
  <c r="U142" i="35"/>
  <c r="AL142" i="35"/>
  <c r="Y142" i="35"/>
  <c r="BE142" i="35"/>
  <c r="AH142" i="35"/>
  <c r="O142" i="35"/>
  <c r="AE142" i="35"/>
  <c r="AU142" i="35"/>
  <c r="P142" i="35"/>
  <c r="AF142" i="35"/>
  <c r="AV142" i="35"/>
  <c r="V135" i="35"/>
  <c r="BF135" i="35" s="1"/>
  <c r="AV135" i="35"/>
  <c r="AG135" i="35"/>
  <c r="R135" i="35"/>
  <c r="BA135" i="35"/>
  <c r="AK135" i="35"/>
  <c r="O135" i="35"/>
  <c r="AE135" i="35"/>
  <c r="AW135" i="35"/>
  <c r="T135" i="35"/>
  <c r="AJ135" i="35"/>
  <c r="BD135" i="35"/>
  <c r="BC135" i="35"/>
  <c r="AE137" i="34"/>
  <c r="W137" i="34"/>
  <c r="AQ137" i="34"/>
  <c r="X137" i="34"/>
  <c r="AN137" i="34"/>
  <c r="I137" i="34"/>
  <c r="Y137" i="34"/>
  <c r="AO137" i="34"/>
  <c r="J137" i="34"/>
  <c r="Z137" i="34"/>
  <c r="AP137" i="34"/>
  <c r="AW137" i="34"/>
  <c r="AX131" i="34"/>
  <c r="BB131" i="34"/>
  <c r="N131" i="34"/>
  <c r="O131" i="34"/>
  <c r="AE131" i="34"/>
  <c r="AU131" i="34"/>
  <c r="P131" i="34"/>
  <c r="AF131" i="34"/>
  <c r="AV131" i="34"/>
  <c r="M131" i="34"/>
  <c r="AC131" i="34"/>
  <c r="AS131" i="34"/>
  <c r="BF147" i="35"/>
  <c r="BF131" i="35"/>
  <c r="AF142" i="34"/>
  <c r="X142" i="34"/>
  <c r="AB142" i="34"/>
  <c r="Q142" i="34"/>
  <c r="AG142" i="34"/>
  <c r="AW142" i="34"/>
  <c r="N142" i="34"/>
  <c r="AD142" i="34"/>
  <c r="AT142" i="34"/>
  <c r="O142" i="34"/>
  <c r="AE142" i="34"/>
  <c r="AU142" i="34"/>
  <c r="BF134" i="34"/>
  <c r="BB131" i="33"/>
  <c r="AX131" i="33"/>
  <c r="AT131" i="33"/>
  <c r="AP131" i="33"/>
  <c r="AL131" i="33"/>
  <c r="AH131" i="33"/>
  <c r="AD131" i="33"/>
  <c r="Z131" i="33"/>
  <c r="V131" i="33"/>
  <c r="R131" i="33"/>
  <c r="N131" i="33"/>
  <c r="J131" i="33"/>
  <c r="BE131" i="33"/>
  <c r="BA131" i="33"/>
  <c r="AW131" i="33"/>
  <c r="AS131" i="33"/>
  <c r="AO131" i="33"/>
  <c r="AK131" i="33"/>
  <c r="AG131" i="33"/>
  <c r="AC131" i="33"/>
  <c r="Y131" i="33"/>
  <c r="U131" i="33"/>
  <c r="Q131" i="33"/>
  <c r="M131" i="33"/>
  <c r="I131" i="33"/>
  <c r="BF131" i="33" s="1"/>
  <c r="BD131" i="33"/>
  <c r="AZ131" i="33"/>
  <c r="AV131" i="33"/>
  <c r="AR131" i="33"/>
  <c r="AN131" i="33"/>
  <c r="AJ131" i="33"/>
  <c r="AF131" i="33"/>
  <c r="AB131" i="33"/>
  <c r="X131" i="33"/>
  <c r="T131" i="33"/>
  <c r="P131" i="33"/>
  <c r="L131" i="33"/>
  <c r="BC131" i="33"/>
  <c r="AM131" i="33"/>
  <c r="W131" i="33"/>
  <c r="AY131" i="33"/>
  <c r="AI131" i="33"/>
  <c r="S131" i="33"/>
  <c r="AU131" i="33"/>
  <c r="AE131" i="33"/>
  <c r="O131" i="33"/>
  <c r="K131" i="33"/>
  <c r="AA131" i="33"/>
  <c r="AQ131" i="33"/>
  <c r="BE135" i="33"/>
  <c r="BA135" i="33"/>
  <c r="AW135" i="33"/>
  <c r="AS135" i="33"/>
  <c r="AO135" i="33"/>
  <c r="AK135" i="33"/>
  <c r="AG135" i="33"/>
  <c r="AC135" i="33"/>
  <c r="Y135" i="33"/>
  <c r="U135" i="33"/>
  <c r="Q135" i="33"/>
  <c r="M135" i="33"/>
  <c r="I135" i="33"/>
  <c r="BD135" i="33"/>
  <c r="AZ135" i="33"/>
  <c r="AV135" i="33"/>
  <c r="AR135" i="33"/>
  <c r="AN135" i="33"/>
  <c r="AJ135" i="33"/>
  <c r="AF135" i="33"/>
  <c r="AB135" i="33"/>
  <c r="X135" i="33"/>
  <c r="T135" i="33"/>
  <c r="P135" i="33"/>
  <c r="L135" i="33"/>
  <c r="BC135" i="33"/>
  <c r="AY135" i="33"/>
  <c r="AU135" i="33"/>
  <c r="AQ135" i="33"/>
  <c r="AM135" i="33"/>
  <c r="AI135" i="33"/>
  <c r="AE135" i="33"/>
  <c r="AA135" i="33"/>
  <c r="W135" i="33"/>
  <c r="S135" i="33"/>
  <c r="O135" i="33"/>
  <c r="K135" i="33"/>
  <c r="BB135" i="33"/>
  <c r="AL135" i="33"/>
  <c r="V135" i="33"/>
  <c r="AX135" i="33"/>
  <c r="AH135" i="33"/>
  <c r="R135" i="33"/>
  <c r="AT135" i="33"/>
  <c r="AD135" i="33"/>
  <c r="N135" i="33"/>
  <c r="AP135" i="33"/>
  <c r="J135" i="33"/>
  <c r="Z135" i="33"/>
  <c r="BD134" i="33"/>
  <c r="AZ134" i="33"/>
  <c r="AV134" i="33"/>
  <c r="AR134" i="33"/>
  <c r="AN134" i="33"/>
  <c r="AJ134" i="33"/>
  <c r="AF134" i="33"/>
  <c r="AB134" i="33"/>
  <c r="X134" i="33"/>
  <c r="T134" i="33"/>
  <c r="P134" i="33"/>
  <c r="L134" i="33"/>
  <c r="BC134" i="33"/>
  <c r="AY134" i="33"/>
  <c r="AU134" i="33"/>
  <c r="AQ134" i="33"/>
  <c r="AM134" i="33"/>
  <c r="AI134" i="33"/>
  <c r="AE134" i="33"/>
  <c r="AA134" i="33"/>
  <c r="W134" i="33"/>
  <c r="S134" i="33"/>
  <c r="O134" i="33"/>
  <c r="K134" i="33"/>
  <c r="BB134" i="33"/>
  <c r="AX134" i="33"/>
  <c r="AT134" i="33"/>
  <c r="AP134" i="33"/>
  <c r="AL134" i="33"/>
  <c r="AH134" i="33"/>
  <c r="AD134" i="33"/>
  <c r="Z134" i="33"/>
  <c r="V134" i="33"/>
  <c r="R134" i="33"/>
  <c r="N134" i="33"/>
  <c r="J134" i="33"/>
  <c r="BA134" i="33"/>
  <c r="AK134" i="33"/>
  <c r="U134" i="33"/>
  <c r="AW134" i="33"/>
  <c r="AG134" i="33"/>
  <c r="Q134" i="33"/>
  <c r="AS134" i="33"/>
  <c r="AC134" i="33"/>
  <c r="M134" i="33"/>
  <c r="Y134" i="33"/>
  <c r="AO134" i="33"/>
  <c r="I134" i="33"/>
  <c r="BE134" i="33"/>
  <c r="BB146" i="33"/>
  <c r="AX146" i="33"/>
  <c r="AT146" i="33"/>
  <c r="AP146" i="33"/>
  <c r="AL146" i="33"/>
  <c r="AH146" i="33"/>
  <c r="AD146" i="33"/>
  <c r="Z146" i="33"/>
  <c r="V146" i="33"/>
  <c r="R146" i="33"/>
  <c r="N146" i="33"/>
  <c r="J146" i="33"/>
  <c r="BE146" i="33"/>
  <c r="BD146" i="33"/>
  <c r="AZ146" i="33"/>
  <c r="AV146" i="33"/>
  <c r="AR146" i="33"/>
  <c r="AN146" i="33"/>
  <c r="AJ146" i="33"/>
  <c r="AF146" i="33"/>
  <c r="AB146" i="33"/>
  <c r="X146" i="33"/>
  <c r="T146" i="33"/>
  <c r="P146" i="33"/>
  <c r="L146" i="33"/>
  <c r="AY146" i="33"/>
  <c r="AQ146" i="33"/>
  <c r="AI146" i="33"/>
  <c r="AA146" i="33"/>
  <c r="S146" i="33"/>
  <c r="K146" i="33"/>
  <c r="AW146" i="33"/>
  <c r="AO146" i="33"/>
  <c r="AG146" i="33"/>
  <c r="Y146" i="33"/>
  <c r="Q146" i="33"/>
  <c r="I146" i="33"/>
  <c r="BC146" i="33"/>
  <c r="AU146" i="33"/>
  <c r="AM146" i="33"/>
  <c r="AE146" i="33"/>
  <c r="W146" i="33"/>
  <c r="O146" i="33"/>
  <c r="BA146" i="33"/>
  <c r="U146" i="33"/>
  <c r="AS146" i="33"/>
  <c r="M146" i="33"/>
  <c r="AK146" i="33"/>
  <c r="AC146" i="33"/>
  <c r="AA145" i="34"/>
  <c r="BF145" i="34" s="1"/>
  <c r="P145" i="34"/>
  <c r="L145" i="34"/>
  <c r="AH145" i="34"/>
  <c r="BC145" i="34"/>
  <c r="X145" i="34"/>
  <c r="AT145" i="34"/>
  <c r="O145" i="34"/>
  <c r="AJ145" i="34"/>
  <c r="M145" i="34"/>
  <c r="AC145" i="34"/>
  <c r="AS145" i="34"/>
  <c r="BF148" i="35"/>
  <c r="BE133" i="31"/>
  <c r="BA133" i="31"/>
  <c r="AW133" i="31"/>
  <c r="AS133" i="31"/>
  <c r="AO133" i="31"/>
  <c r="AK133" i="31"/>
  <c r="AG133" i="31"/>
  <c r="AC133" i="31"/>
  <c r="Y133" i="31"/>
  <c r="U133" i="31"/>
  <c r="Q133" i="31"/>
  <c r="M133" i="31"/>
  <c r="I133" i="31"/>
  <c r="BD133" i="31"/>
  <c r="AZ133" i="31"/>
  <c r="AV133" i="31"/>
  <c r="AR133" i="31"/>
  <c r="AN133" i="31"/>
  <c r="AJ133" i="31"/>
  <c r="AF133" i="31"/>
  <c r="AB133" i="31"/>
  <c r="X133" i="31"/>
  <c r="T133" i="31"/>
  <c r="P133" i="31"/>
  <c r="L133" i="31"/>
  <c r="BC133" i="31"/>
  <c r="AY133" i="31"/>
  <c r="AU133" i="31"/>
  <c r="AQ133" i="31"/>
  <c r="AM133" i="31"/>
  <c r="AI133" i="31"/>
  <c r="AE133" i="31"/>
  <c r="AA133" i="31"/>
  <c r="W133" i="31"/>
  <c r="S133" i="31"/>
  <c r="O133" i="31"/>
  <c r="K133" i="31"/>
  <c r="BB133" i="31"/>
  <c r="AL133" i="31"/>
  <c r="V133" i="31"/>
  <c r="AX133" i="31"/>
  <c r="AH133" i="31"/>
  <c r="R133" i="31"/>
  <c r="AT133" i="31"/>
  <c r="AD133" i="31"/>
  <c r="N133" i="31"/>
  <c r="Z133" i="31"/>
  <c r="J133" i="31"/>
  <c r="AP133" i="31"/>
  <c r="AB127" i="31"/>
  <c r="N127" i="31"/>
  <c r="BD139" i="31"/>
  <c r="AZ139" i="31"/>
  <c r="AV139" i="31"/>
  <c r="AR139" i="31"/>
  <c r="AN139" i="31"/>
  <c r="AJ139" i="31"/>
  <c r="AF139" i="31"/>
  <c r="AB139" i="31"/>
  <c r="X139" i="31"/>
  <c r="T139" i="31"/>
  <c r="P139" i="31"/>
  <c r="L139" i="31"/>
  <c r="BC139" i="31"/>
  <c r="AY139" i="31"/>
  <c r="AU139" i="31"/>
  <c r="AQ139" i="31"/>
  <c r="AM139" i="31"/>
  <c r="AI139" i="31"/>
  <c r="AE139" i="31"/>
  <c r="AA139" i="31"/>
  <c r="W139" i="31"/>
  <c r="S139" i="31"/>
  <c r="O139" i="31"/>
  <c r="K139" i="31"/>
  <c r="BB139" i="31"/>
  <c r="AX139" i="31"/>
  <c r="AT139" i="31"/>
  <c r="AP139" i="31"/>
  <c r="AL139" i="31"/>
  <c r="AH139" i="31"/>
  <c r="AD139" i="31"/>
  <c r="Z139" i="31"/>
  <c r="V139" i="31"/>
  <c r="R139" i="31"/>
  <c r="N139" i="31"/>
  <c r="J139" i="31"/>
  <c r="BE139" i="31"/>
  <c r="AO139" i="31"/>
  <c r="Y139" i="31"/>
  <c r="I139" i="31"/>
  <c r="BA139" i="31"/>
  <c r="AK139" i="31"/>
  <c r="U139" i="31"/>
  <c r="AW139" i="31"/>
  <c r="AG139" i="31"/>
  <c r="Q139" i="31"/>
  <c r="M139" i="31"/>
  <c r="AC139" i="31"/>
  <c r="AS139" i="31"/>
  <c r="H63" i="30"/>
  <c r="H64" i="30"/>
  <c r="I62" i="30"/>
  <c r="BC146" i="31"/>
  <c r="AY146" i="31"/>
  <c r="AU146" i="31"/>
  <c r="AQ146" i="31"/>
  <c r="AM146" i="31"/>
  <c r="AI146" i="31"/>
  <c r="AE146" i="31"/>
  <c r="AA146" i="31"/>
  <c r="W146" i="31"/>
  <c r="S146" i="31"/>
  <c r="O146" i="31"/>
  <c r="K146" i="31"/>
  <c r="BE146" i="31"/>
  <c r="BA146" i="31"/>
  <c r="AW146" i="31"/>
  <c r="AS146" i="31"/>
  <c r="AO146" i="31"/>
  <c r="AK146" i="31"/>
  <c r="AG146" i="31"/>
  <c r="AC146" i="31"/>
  <c r="Y146" i="31"/>
  <c r="U146" i="31"/>
  <c r="Q146" i="31"/>
  <c r="M146" i="31"/>
  <c r="I146" i="31"/>
  <c r="AX146" i="31"/>
  <c r="AP146" i="31"/>
  <c r="AH146" i="31"/>
  <c r="Z146" i="31"/>
  <c r="R146" i="31"/>
  <c r="J146" i="31"/>
  <c r="BD146" i="31"/>
  <c r="AV146" i="31"/>
  <c r="AN146" i="31"/>
  <c r="AF146" i="31"/>
  <c r="X146" i="31"/>
  <c r="P146" i="31"/>
  <c r="BB146" i="31"/>
  <c r="AT146" i="31"/>
  <c r="AL146" i="31"/>
  <c r="AD146" i="31"/>
  <c r="V146" i="31"/>
  <c r="N146" i="31"/>
  <c r="AZ146" i="31"/>
  <c r="T146" i="31"/>
  <c r="AR146" i="31"/>
  <c r="L146" i="31"/>
  <c r="AJ146" i="31"/>
  <c r="AB146" i="31"/>
  <c r="BD130" i="31"/>
  <c r="AZ130" i="31"/>
  <c r="AV130" i="31"/>
  <c r="AR130" i="31"/>
  <c r="AN130" i="31"/>
  <c r="AJ130" i="31"/>
  <c r="AF130" i="31"/>
  <c r="AB130" i="31"/>
  <c r="X130" i="31"/>
  <c r="T130" i="31"/>
  <c r="P130" i="31"/>
  <c r="L130" i="31"/>
  <c r="BD129" i="31"/>
  <c r="AZ129" i="31"/>
  <c r="AV129" i="31"/>
  <c r="AR129" i="31"/>
  <c r="AN129" i="31"/>
  <c r="AJ129" i="31"/>
  <c r="AF129" i="31"/>
  <c r="AB129" i="31"/>
  <c r="X129" i="31"/>
  <c r="BC130" i="31"/>
  <c r="AY130" i="31"/>
  <c r="AU130" i="31"/>
  <c r="AQ130" i="31"/>
  <c r="AM130" i="31"/>
  <c r="AI130" i="31"/>
  <c r="AE130" i="31"/>
  <c r="AA130" i="31"/>
  <c r="W130" i="31"/>
  <c r="S130" i="31"/>
  <c r="O130" i="31"/>
  <c r="K130" i="31"/>
  <c r="BC129" i="31"/>
  <c r="AY129" i="31"/>
  <c r="AU129" i="31"/>
  <c r="AQ129" i="31"/>
  <c r="AM129" i="31"/>
  <c r="AI129" i="31"/>
  <c r="AE129" i="31"/>
  <c r="AA129" i="31"/>
  <c r="W129" i="31"/>
  <c r="S129" i="31"/>
  <c r="O129" i="31"/>
  <c r="BB130" i="31"/>
  <c r="AX130" i="31"/>
  <c r="AT130" i="31"/>
  <c r="AP130" i="31"/>
  <c r="AL130" i="31"/>
  <c r="AH130" i="31"/>
  <c r="AD130" i="31"/>
  <c r="Z130" i="31"/>
  <c r="V130" i="31"/>
  <c r="R130" i="31"/>
  <c r="N130" i="31"/>
  <c r="J130" i="31"/>
  <c r="BB129" i="31"/>
  <c r="AX129" i="31"/>
  <c r="AT129" i="31"/>
  <c r="AP129" i="31"/>
  <c r="AL129" i="31"/>
  <c r="AH129" i="31"/>
  <c r="AD129" i="31"/>
  <c r="Z129" i="31"/>
  <c r="BA130" i="31"/>
  <c r="AK130" i="31"/>
  <c r="U130" i="31"/>
  <c r="BA129" i="31"/>
  <c r="AK129" i="31"/>
  <c r="V129" i="31"/>
  <c r="Q129" i="31"/>
  <c r="L129" i="31"/>
  <c r="AW130" i="31"/>
  <c r="AG130" i="31"/>
  <c r="Q130" i="31"/>
  <c r="AW129" i="31"/>
  <c r="AG129" i="31"/>
  <c r="U129" i="31"/>
  <c r="P129" i="31"/>
  <c r="K129" i="31"/>
  <c r="AS130" i="31"/>
  <c r="AC130" i="31"/>
  <c r="M130" i="31"/>
  <c r="AS129" i="31"/>
  <c r="AC129" i="31"/>
  <c r="T129" i="31"/>
  <c r="N129" i="31"/>
  <c r="J129" i="31"/>
  <c r="BE130" i="31"/>
  <c r="Y129" i="31"/>
  <c r="AO130" i="31"/>
  <c r="R129" i="31"/>
  <c r="I130" i="31"/>
  <c r="AO129" i="31"/>
  <c r="I129" i="31"/>
  <c r="Y130" i="31"/>
  <c r="BE129" i="31"/>
  <c r="M129" i="31"/>
  <c r="BD149" i="30"/>
  <c r="AZ149" i="30"/>
  <c r="AV149" i="30"/>
  <c r="AR149" i="30"/>
  <c r="AN149" i="30"/>
  <c r="AJ149" i="30"/>
  <c r="AF149" i="30"/>
  <c r="AB149" i="30"/>
  <c r="X149" i="30"/>
  <c r="T149" i="30"/>
  <c r="P149" i="30"/>
  <c r="L149" i="30"/>
  <c r="BC149" i="30"/>
  <c r="AY149" i="30"/>
  <c r="AU149" i="30"/>
  <c r="AQ149" i="30"/>
  <c r="AM149" i="30"/>
  <c r="AI149" i="30"/>
  <c r="AE149" i="30"/>
  <c r="AA149" i="30"/>
  <c r="W149" i="30"/>
  <c r="S149" i="30"/>
  <c r="O149" i="30"/>
  <c r="K149" i="30"/>
  <c r="BB149" i="30"/>
  <c r="AT149" i="30"/>
  <c r="AL149" i="30"/>
  <c r="AD149" i="30"/>
  <c r="V149" i="30"/>
  <c r="N149" i="30"/>
  <c r="BA149" i="30"/>
  <c r="AS149" i="30"/>
  <c r="AK149" i="30"/>
  <c r="AC149" i="30"/>
  <c r="U149" i="30"/>
  <c r="M149" i="30"/>
  <c r="AW149" i="30"/>
  <c r="AG149" i="30"/>
  <c r="Q149" i="30"/>
  <c r="BE149" i="30"/>
  <c r="AO149" i="30"/>
  <c r="Y149" i="30"/>
  <c r="AX149" i="30"/>
  <c r="AP149" i="30"/>
  <c r="Z149" i="30"/>
  <c r="J149" i="30"/>
  <c r="AH149" i="30"/>
  <c r="I149" i="30"/>
  <c r="R149" i="30"/>
  <c r="BC148" i="30"/>
  <c r="AY148" i="30"/>
  <c r="AU148" i="30"/>
  <c r="AQ148" i="30"/>
  <c r="AM148" i="30"/>
  <c r="AI148" i="30"/>
  <c r="AE148" i="30"/>
  <c r="AA148" i="30"/>
  <c r="W148" i="30"/>
  <c r="S148" i="30"/>
  <c r="O148" i="30"/>
  <c r="K148" i="30"/>
  <c r="BB148" i="30"/>
  <c r="AX148" i="30"/>
  <c r="AT148" i="30"/>
  <c r="AP148" i="30"/>
  <c r="AL148" i="30"/>
  <c r="AH148" i="30"/>
  <c r="AD148" i="30"/>
  <c r="Z148" i="30"/>
  <c r="V148" i="30"/>
  <c r="R148" i="30"/>
  <c r="N148" i="30"/>
  <c r="J148" i="30"/>
  <c r="BD148" i="30"/>
  <c r="AV148" i="30"/>
  <c r="AN148" i="30"/>
  <c r="AF148" i="30"/>
  <c r="X148" i="30"/>
  <c r="P148" i="30"/>
  <c r="BA148" i="30"/>
  <c r="AS148" i="30"/>
  <c r="AK148" i="30"/>
  <c r="AC148" i="30"/>
  <c r="U148" i="30"/>
  <c r="M148" i="30"/>
  <c r="AR148" i="30"/>
  <c r="AB148" i="30"/>
  <c r="L148" i="30"/>
  <c r="AZ148" i="30"/>
  <c r="AJ148" i="30"/>
  <c r="T148" i="30"/>
  <c r="AG148" i="30"/>
  <c r="BE148" i="30"/>
  <c r="AO148" i="30"/>
  <c r="Y148" i="30"/>
  <c r="I148" i="30"/>
  <c r="AW148" i="30"/>
  <c r="Q148" i="30"/>
  <c r="BE143" i="30"/>
  <c r="BA143" i="30"/>
  <c r="AW143" i="30"/>
  <c r="AS143" i="30"/>
  <c r="AO143" i="30"/>
  <c r="AK143" i="30"/>
  <c r="AG143" i="30"/>
  <c r="AC143" i="30"/>
  <c r="Y143" i="30"/>
  <c r="U143" i="30"/>
  <c r="Q143" i="30"/>
  <c r="M143" i="30"/>
  <c r="I143" i="30"/>
  <c r="BD143" i="30"/>
  <c r="AZ143" i="30"/>
  <c r="AV143" i="30"/>
  <c r="AR143" i="30"/>
  <c r="AN143" i="30"/>
  <c r="AJ143" i="30"/>
  <c r="AF143" i="30"/>
  <c r="AB143" i="30"/>
  <c r="X143" i="30"/>
  <c r="T143" i="30"/>
  <c r="P143" i="30"/>
  <c r="L143" i="30"/>
  <c r="BC143" i="30"/>
  <c r="AU143" i="30"/>
  <c r="AM143" i="30"/>
  <c r="AE143" i="30"/>
  <c r="W143" i="30"/>
  <c r="O143" i="30"/>
  <c r="AY143" i="30"/>
  <c r="AQ143" i="30"/>
  <c r="AI143" i="30"/>
  <c r="K143" i="30"/>
  <c r="AP143" i="30"/>
  <c r="Z143" i="30"/>
  <c r="J143" i="30"/>
  <c r="BB143" i="30"/>
  <c r="AT143" i="30"/>
  <c r="AL143" i="30"/>
  <c r="AD143" i="30"/>
  <c r="V143" i="30"/>
  <c r="N143" i="30"/>
  <c r="AA143" i="30"/>
  <c r="AX143" i="30"/>
  <c r="AH143" i="30"/>
  <c r="R143" i="30"/>
  <c r="S143" i="30"/>
  <c r="AC127" i="30"/>
  <c r="O127" i="30"/>
  <c r="AD127" i="30" s="1"/>
  <c r="BF141" i="31"/>
  <c r="P135" i="31"/>
  <c r="AJ135" i="31"/>
  <c r="BD135" i="31"/>
  <c r="I135" i="31"/>
  <c r="Y135" i="31"/>
  <c r="AO135" i="31"/>
  <c r="BE135" i="31"/>
  <c r="V135" i="31"/>
  <c r="AL135" i="31"/>
  <c r="BB135" i="31"/>
  <c r="W135" i="31"/>
  <c r="AM135" i="31"/>
  <c r="BB137" i="30"/>
  <c r="AX137" i="30"/>
  <c r="AT137" i="30"/>
  <c r="AP137" i="30"/>
  <c r="AL137" i="30"/>
  <c r="AH137" i="30"/>
  <c r="AD137" i="30"/>
  <c r="Z137" i="30"/>
  <c r="V137" i="30"/>
  <c r="R137" i="30"/>
  <c r="N137" i="30"/>
  <c r="J137" i="30"/>
  <c r="BE137" i="30"/>
  <c r="BA137" i="30"/>
  <c r="AW137" i="30"/>
  <c r="AS137" i="30"/>
  <c r="AO137" i="30"/>
  <c r="AK137" i="30"/>
  <c r="AG137" i="30"/>
  <c r="AC137" i="30"/>
  <c r="Y137" i="30"/>
  <c r="U137" i="30"/>
  <c r="Q137" i="30"/>
  <c r="M137" i="30"/>
  <c r="I137" i="30"/>
  <c r="AY137" i="30"/>
  <c r="AQ137" i="30"/>
  <c r="AI137" i="30"/>
  <c r="AA137" i="30"/>
  <c r="S137" i="30"/>
  <c r="K137" i="30"/>
  <c r="AU137" i="30"/>
  <c r="W137" i="30"/>
  <c r="AR137" i="30"/>
  <c r="AB137" i="30"/>
  <c r="BD137" i="30"/>
  <c r="AV137" i="30"/>
  <c r="AN137" i="30"/>
  <c r="AF137" i="30"/>
  <c r="X137" i="30"/>
  <c r="P137" i="30"/>
  <c r="BC137" i="30"/>
  <c r="AM137" i="30"/>
  <c r="O137" i="30"/>
  <c r="AZ137" i="30"/>
  <c r="AJ137" i="30"/>
  <c r="L137" i="30"/>
  <c r="AE137" i="30"/>
  <c r="T137" i="30"/>
  <c r="BE132" i="30"/>
  <c r="BA132" i="30"/>
  <c r="AW132" i="30"/>
  <c r="AS132" i="30"/>
  <c r="AO132" i="30"/>
  <c r="AK132" i="30"/>
  <c r="AG132" i="30"/>
  <c r="AC132" i="30"/>
  <c r="Y132" i="30"/>
  <c r="U132" i="30"/>
  <c r="Q132" i="30"/>
  <c r="M132" i="30"/>
  <c r="I132" i="30"/>
  <c r="BD132" i="30"/>
  <c r="AZ132" i="30"/>
  <c r="AV132" i="30"/>
  <c r="AR132" i="30"/>
  <c r="AN132" i="30"/>
  <c r="AJ132" i="30"/>
  <c r="AF132" i="30"/>
  <c r="AB132" i="30"/>
  <c r="X132" i="30"/>
  <c r="T132" i="30"/>
  <c r="P132" i="30"/>
  <c r="L132" i="30"/>
  <c r="BC132" i="30"/>
  <c r="AU132" i="30"/>
  <c r="AM132" i="30"/>
  <c r="AE132" i="30"/>
  <c r="W132" i="30"/>
  <c r="O132" i="30"/>
  <c r="AI132" i="30"/>
  <c r="K132" i="30"/>
  <c r="R132" i="30"/>
  <c r="BB132" i="30"/>
  <c r="AT132" i="30"/>
  <c r="AL132" i="30"/>
  <c r="AD132" i="30"/>
  <c r="V132" i="30"/>
  <c r="N132" i="30"/>
  <c r="AY132" i="30"/>
  <c r="AQ132" i="30"/>
  <c r="S132" i="30"/>
  <c r="AP132" i="30"/>
  <c r="Z132" i="30"/>
  <c r="J132" i="30"/>
  <c r="AA132" i="30"/>
  <c r="AX132" i="30"/>
  <c r="AH132" i="30"/>
  <c r="BB147" i="30"/>
  <c r="AX147" i="30"/>
  <c r="AT147" i="30"/>
  <c r="AP147" i="30"/>
  <c r="AL147" i="30"/>
  <c r="AH147" i="30"/>
  <c r="AD147" i="30"/>
  <c r="Z147" i="30"/>
  <c r="V147" i="30"/>
  <c r="R147" i="30"/>
  <c r="N147" i="30"/>
  <c r="J147" i="30"/>
  <c r="BE147" i="30"/>
  <c r="BA147" i="30"/>
  <c r="AW147" i="30"/>
  <c r="AS147" i="30"/>
  <c r="AO147" i="30"/>
  <c r="AK147" i="30"/>
  <c r="AG147" i="30"/>
  <c r="AC147" i="30"/>
  <c r="Y147" i="30"/>
  <c r="U147" i="30"/>
  <c r="Q147" i="30"/>
  <c r="M147" i="30"/>
  <c r="I147" i="30"/>
  <c r="BC147" i="30"/>
  <c r="AU147" i="30"/>
  <c r="AM147" i="30"/>
  <c r="AE147" i="30"/>
  <c r="W147" i="30"/>
  <c r="O147" i="30"/>
  <c r="AZ147" i="30"/>
  <c r="AR147" i="30"/>
  <c r="AJ147" i="30"/>
  <c r="AB147" i="30"/>
  <c r="T147" i="30"/>
  <c r="L147" i="30"/>
  <c r="BD147" i="30"/>
  <c r="AN147" i="30"/>
  <c r="X147" i="30"/>
  <c r="AV147" i="30"/>
  <c r="AF147" i="30"/>
  <c r="P147" i="30"/>
  <c r="AY147" i="30"/>
  <c r="AI147" i="30"/>
  <c r="S147" i="30"/>
  <c r="AQ147" i="30"/>
  <c r="K147" i="30"/>
  <c r="AA147" i="30"/>
  <c r="BE146" i="30"/>
  <c r="BA146" i="30"/>
  <c r="AW146" i="30"/>
  <c r="AS146" i="30"/>
  <c r="AO146" i="30"/>
  <c r="AK146" i="30"/>
  <c r="AG146" i="30"/>
  <c r="AC146" i="30"/>
  <c r="Y146" i="30"/>
  <c r="U146" i="30"/>
  <c r="Q146" i="30"/>
  <c r="M146" i="30"/>
  <c r="I146" i="30"/>
  <c r="BD146" i="30"/>
  <c r="AZ146" i="30"/>
  <c r="AV146" i="30"/>
  <c r="AR146" i="30"/>
  <c r="AN146" i="30"/>
  <c r="AJ146" i="30"/>
  <c r="AF146" i="30"/>
  <c r="AB146" i="30"/>
  <c r="X146" i="30"/>
  <c r="T146" i="30"/>
  <c r="P146" i="30"/>
  <c r="L146" i="30"/>
  <c r="BC146" i="30"/>
  <c r="AU146" i="30"/>
  <c r="AM146" i="30"/>
  <c r="AE146" i="30"/>
  <c r="W146" i="30"/>
  <c r="O146" i="30"/>
  <c r="BB146" i="30"/>
  <c r="AT146" i="30"/>
  <c r="AL146" i="30"/>
  <c r="AD146" i="30"/>
  <c r="V146" i="30"/>
  <c r="N146" i="30"/>
  <c r="AY146" i="30"/>
  <c r="AI146" i="30"/>
  <c r="S146" i="30"/>
  <c r="AQ146" i="30"/>
  <c r="AA146" i="30"/>
  <c r="K146" i="30"/>
  <c r="AP146" i="30"/>
  <c r="J146" i="30"/>
  <c r="AX146" i="30"/>
  <c r="AH146" i="30"/>
  <c r="R146" i="30"/>
  <c r="Z146" i="30"/>
  <c r="K147" i="31"/>
  <c r="M147" i="31"/>
  <c r="AS147" i="31"/>
  <c r="AE147" i="31"/>
  <c r="I147" i="31"/>
  <c r="AO147" i="31"/>
  <c r="N147" i="31"/>
  <c r="AD147" i="31"/>
  <c r="AT147" i="31"/>
  <c r="P147" i="31"/>
  <c r="AF147" i="31"/>
  <c r="AV147" i="31"/>
  <c r="BF140" i="31"/>
  <c r="BD132" i="31"/>
  <c r="AZ132" i="31"/>
  <c r="AV132" i="31"/>
  <c r="AR132" i="31"/>
  <c r="AN132" i="31"/>
  <c r="AJ132" i="31"/>
  <c r="AF132" i="31"/>
  <c r="AB132" i="31"/>
  <c r="X132" i="31"/>
  <c r="T132" i="31"/>
  <c r="P132" i="31"/>
  <c r="L132" i="31"/>
  <c r="BC132" i="31"/>
  <c r="AY132" i="31"/>
  <c r="AU132" i="31"/>
  <c r="AQ132" i="31"/>
  <c r="AM132" i="31"/>
  <c r="AI132" i="31"/>
  <c r="AE132" i="31"/>
  <c r="AA132" i="31"/>
  <c r="W132" i="31"/>
  <c r="S132" i="31"/>
  <c r="O132" i="31"/>
  <c r="K132" i="31"/>
  <c r="BB132" i="31"/>
  <c r="AX132" i="31"/>
  <c r="AT132" i="31"/>
  <c r="AP132" i="31"/>
  <c r="AL132" i="31"/>
  <c r="AH132" i="31"/>
  <c r="AD132" i="31"/>
  <c r="Z132" i="31"/>
  <c r="V132" i="31"/>
  <c r="R132" i="31"/>
  <c r="N132" i="31"/>
  <c r="J132" i="31"/>
  <c r="BA132" i="31"/>
  <c r="AK132" i="31"/>
  <c r="U132" i="31"/>
  <c r="AW132" i="31"/>
  <c r="AG132" i="31"/>
  <c r="Q132" i="31"/>
  <c r="AS132" i="31"/>
  <c r="AC132" i="31"/>
  <c r="M132" i="31"/>
  <c r="BE132" i="31"/>
  <c r="AO132" i="31"/>
  <c r="I132" i="31"/>
  <c r="Y132" i="31"/>
  <c r="BD136" i="31"/>
  <c r="AZ136" i="31"/>
  <c r="AV136" i="31"/>
  <c r="AR136" i="31"/>
  <c r="AN136" i="31"/>
  <c r="AJ136" i="31"/>
  <c r="AF136" i="31"/>
  <c r="AB136" i="31"/>
  <c r="X136" i="31"/>
  <c r="T136" i="31"/>
  <c r="P136" i="31"/>
  <c r="L136" i="31"/>
  <c r="BC136" i="31"/>
  <c r="AY136" i="31"/>
  <c r="AU136" i="31"/>
  <c r="AQ136" i="31"/>
  <c r="AM136" i="31"/>
  <c r="AI136" i="31"/>
  <c r="AE136" i="31"/>
  <c r="AA136" i="31"/>
  <c r="W136" i="31"/>
  <c r="S136" i="31"/>
  <c r="O136" i="31"/>
  <c r="K136" i="31"/>
  <c r="BB136" i="31"/>
  <c r="AX136" i="31"/>
  <c r="AT136" i="31"/>
  <c r="AP136" i="31"/>
  <c r="AL136" i="31"/>
  <c r="AH136" i="31"/>
  <c r="AD136" i="31"/>
  <c r="Z136" i="31"/>
  <c r="V136" i="31"/>
  <c r="R136" i="31"/>
  <c r="N136" i="31"/>
  <c r="J136" i="31"/>
  <c r="AW136" i="31"/>
  <c r="AG136" i="31"/>
  <c r="Q136" i="31"/>
  <c r="AS136" i="31"/>
  <c r="AC136" i="31"/>
  <c r="M136" i="31"/>
  <c r="BE136" i="31"/>
  <c r="AO136" i="31"/>
  <c r="Y136" i="31"/>
  <c r="I136" i="31"/>
  <c r="BF136" i="31" s="1"/>
  <c r="AK136" i="31"/>
  <c r="U136" i="31"/>
  <c r="BA136" i="31"/>
  <c r="F63" i="31"/>
  <c r="F64" i="31"/>
  <c r="G62" i="31"/>
  <c r="AF135" i="31"/>
  <c r="AZ135" i="31"/>
  <c r="L135" i="31"/>
  <c r="M135" i="31"/>
  <c r="AC135" i="31"/>
  <c r="AS135" i="31"/>
  <c r="J135" i="31"/>
  <c r="Z135" i="31"/>
  <c r="AP135" i="31"/>
  <c r="K135" i="31"/>
  <c r="AA135" i="31"/>
  <c r="AQ135" i="31"/>
  <c r="BB145" i="31"/>
  <c r="AX145" i="31"/>
  <c r="AT145" i="31"/>
  <c r="AP145" i="31"/>
  <c r="AL145" i="31"/>
  <c r="AH145" i="31"/>
  <c r="AD145" i="31"/>
  <c r="Z145" i="31"/>
  <c r="V145" i="31"/>
  <c r="R145" i="31"/>
  <c r="N145" i="31"/>
  <c r="J145" i="31"/>
  <c r="BD145" i="31"/>
  <c r="AZ145" i="31"/>
  <c r="AV145" i="31"/>
  <c r="AR145" i="31"/>
  <c r="AN145" i="31"/>
  <c r="AJ145" i="31"/>
  <c r="AF145" i="31"/>
  <c r="AB145" i="31"/>
  <c r="X145" i="31"/>
  <c r="T145" i="31"/>
  <c r="P145" i="31"/>
  <c r="L145" i="31"/>
  <c r="AY145" i="31"/>
  <c r="AQ145" i="31"/>
  <c r="AI145" i="31"/>
  <c r="AA145" i="31"/>
  <c r="S145" i="31"/>
  <c r="K145" i="31"/>
  <c r="BE145" i="31"/>
  <c r="AW145" i="31"/>
  <c r="AO145" i="31"/>
  <c r="AG145" i="31"/>
  <c r="Y145" i="31"/>
  <c r="Q145" i="31"/>
  <c r="I145" i="31"/>
  <c r="BC145" i="31"/>
  <c r="AU145" i="31"/>
  <c r="AM145" i="31"/>
  <c r="AE145" i="31"/>
  <c r="W145" i="31"/>
  <c r="O145" i="31"/>
  <c r="BA145" i="31"/>
  <c r="U145" i="31"/>
  <c r="AS145" i="31"/>
  <c r="M145" i="31"/>
  <c r="AK145" i="31"/>
  <c r="AC145" i="31"/>
  <c r="BD142" i="30"/>
  <c r="AZ142" i="30"/>
  <c r="AV142" i="30"/>
  <c r="AR142" i="30"/>
  <c r="AN142" i="30"/>
  <c r="AJ142" i="30"/>
  <c r="AF142" i="30"/>
  <c r="AB142" i="30"/>
  <c r="X142" i="30"/>
  <c r="T142" i="30"/>
  <c r="P142" i="30"/>
  <c r="L142" i="30"/>
  <c r="BC142" i="30"/>
  <c r="AY142" i="30"/>
  <c r="AU142" i="30"/>
  <c r="AQ142" i="30"/>
  <c r="AM142" i="30"/>
  <c r="AI142" i="30"/>
  <c r="AE142" i="30"/>
  <c r="AA142" i="30"/>
  <c r="W142" i="30"/>
  <c r="S142" i="30"/>
  <c r="O142" i="30"/>
  <c r="K142" i="30"/>
  <c r="AX142" i="30"/>
  <c r="AP142" i="30"/>
  <c r="AH142" i="30"/>
  <c r="Z142" i="30"/>
  <c r="R142" i="30"/>
  <c r="J142" i="30"/>
  <c r="BB142" i="30"/>
  <c r="AL142" i="30"/>
  <c r="N142" i="30"/>
  <c r="AS142" i="30"/>
  <c r="AC142" i="30"/>
  <c r="M142" i="30"/>
  <c r="BE142" i="30"/>
  <c r="AW142" i="30"/>
  <c r="AO142" i="30"/>
  <c r="AG142" i="30"/>
  <c r="Y142" i="30"/>
  <c r="Q142" i="30"/>
  <c r="I142" i="30"/>
  <c r="AT142" i="30"/>
  <c r="V142" i="30"/>
  <c r="BA142" i="30"/>
  <c r="AK142" i="30"/>
  <c r="U142" i="30"/>
  <c r="AD142" i="30"/>
  <c r="BD145" i="30"/>
  <c r="AZ145" i="30"/>
  <c r="AV145" i="30"/>
  <c r="AR145" i="30"/>
  <c r="AN145" i="30"/>
  <c r="AJ145" i="30"/>
  <c r="AF145" i="30"/>
  <c r="AB145" i="30"/>
  <c r="X145" i="30"/>
  <c r="T145" i="30"/>
  <c r="P145" i="30"/>
  <c r="L145" i="30"/>
  <c r="BC145" i="30"/>
  <c r="AY145" i="30"/>
  <c r="AU145" i="30"/>
  <c r="AQ145" i="30"/>
  <c r="AM145" i="30"/>
  <c r="AI145" i="30"/>
  <c r="AE145" i="30"/>
  <c r="AA145" i="30"/>
  <c r="W145" i="30"/>
  <c r="S145" i="30"/>
  <c r="O145" i="30"/>
  <c r="K145" i="30"/>
  <c r="AX145" i="30"/>
  <c r="AP145" i="30"/>
  <c r="AH145" i="30"/>
  <c r="Z145" i="30"/>
  <c r="R145" i="30"/>
  <c r="J145" i="30"/>
  <c r="BE145" i="30"/>
  <c r="AW145" i="30"/>
  <c r="AO145" i="30"/>
  <c r="AG145" i="30"/>
  <c r="Y145" i="30"/>
  <c r="Q145" i="30"/>
  <c r="I145" i="30"/>
  <c r="AT145" i="30"/>
  <c r="AD145" i="30"/>
  <c r="N145" i="30"/>
  <c r="AL145" i="30"/>
  <c r="BA145" i="30"/>
  <c r="U145" i="30"/>
  <c r="AS145" i="30"/>
  <c r="AC145" i="30"/>
  <c r="M145" i="30"/>
  <c r="BB145" i="30"/>
  <c r="AK145" i="30"/>
  <c r="V145" i="30"/>
  <c r="BD135" i="30"/>
  <c r="AZ135" i="30"/>
  <c r="AV135" i="30"/>
  <c r="AR135" i="30"/>
  <c r="AN135" i="30"/>
  <c r="AJ135" i="30"/>
  <c r="AF135" i="30"/>
  <c r="AB135" i="30"/>
  <c r="X135" i="30"/>
  <c r="T135" i="30"/>
  <c r="P135" i="30"/>
  <c r="L135" i="30"/>
  <c r="BC135" i="30"/>
  <c r="AY135" i="30"/>
  <c r="AU135" i="30"/>
  <c r="AQ135" i="30"/>
  <c r="AM135" i="30"/>
  <c r="AI135" i="30"/>
  <c r="AE135" i="30"/>
  <c r="AA135" i="30"/>
  <c r="W135" i="30"/>
  <c r="S135" i="30"/>
  <c r="O135" i="30"/>
  <c r="K135" i="30"/>
  <c r="BB135" i="30"/>
  <c r="AT135" i="30"/>
  <c r="AL135" i="30"/>
  <c r="AD135" i="30"/>
  <c r="V135" i="30"/>
  <c r="N135" i="30"/>
  <c r="Z135" i="30"/>
  <c r="AW135" i="30"/>
  <c r="AG135" i="30"/>
  <c r="Q135" i="30"/>
  <c r="BA135" i="30"/>
  <c r="AS135" i="30"/>
  <c r="AK135" i="30"/>
  <c r="AC135" i="30"/>
  <c r="U135" i="30"/>
  <c r="M135" i="30"/>
  <c r="AX135" i="30"/>
  <c r="AH135" i="30"/>
  <c r="R135" i="30"/>
  <c r="BE135" i="30"/>
  <c r="Y135" i="30"/>
  <c r="I135" i="30"/>
  <c r="AP135" i="30"/>
  <c r="J135" i="30"/>
  <c r="AO135" i="30"/>
  <c r="BC134" i="30"/>
  <c r="AY134" i="30"/>
  <c r="AU134" i="30"/>
  <c r="AQ134" i="30"/>
  <c r="AM134" i="30"/>
  <c r="AI134" i="30"/>
  <c r="AE134" i="30"/>
  <c r="AA134" i="30"/>
  <c r="W134" i="30"/>
  <c r="S134" i="30"/>
  <c r="O134" i="30"/>
  <c r="K134" i="30"/>
  <c r="BB134" i="30"/>
  <c r="AX134" i="30"/>
  <c r="AT134" i="30"/>
  <c r="AP134" i="30"/>
  <c r="AL134" i="30"/>
  <c r="AH134" i="30"/>
  <c r="AD134" i="30"/>
  <c r="Z134" i="30"/>
  <c r="V134" i="30"/>
  <c r="R134" i="30"/>
  <c r="N134" i="30"/>
  <c r="J134" i="30"/>
  <c r="BD134" i="30"/>
  <c r="AV134" i="30"/>
  <c r="AN134" i="30"/>
  <c r="AF134" i="30"/>
  <c r="X134" i="30"/>
  <c r="P134" i="30"/>
  <c r="AZ134" i="30"/>
  <c r="AB134" i="30"/>
  <c r="L134" i="30"/>
  <c r="AW134" i="30"/>
  <c r="AG134" i="30"/>
  <c r="I134" i="30"/>
  <c r="BA134" i="30"/>
  <c r="AS134" i="30"/>
  <c r="AK134" i="30"/>
  <c r="AC134" i="30"/>
  <c r="U134" i="30"/>
  <c r="M134" i="30"/>
  <c r="AR134" i="30"/>
  <c r="T134" i="30"/>
  <c r="AO134" i="30"/>
  <c r="Y134" i="30"/>
  <c r="AJ134" i="30"/>
  <c r="BE134" i="30"/>
  <c r="Q134" i="30"/>
  <c r="BE139" i="30"/>
  <c r="BA139" i="30"/>
  <c r="AW139" i="30"/>
  <c r="AS139" i="30"/>
  <c r="AO139" i="30"/>
  <c r="AK139" i="30"/>
  <c r="AG139" i="30"/>
  <c r="AC139" i="30"/>
  <c r="Y139" i="30"/>
  <c r="U139" i="30"/>
  <c r="Q139" i="30"/>
  <c r="M139" i="30"/>
  <c r="I139" i="30"/>
  <c r="BD139" i="30"/>
  <c r="AZ139" i="30"/>
  <c r="AV139" i="30"/>
  <c r="AR139" i="30"/>
  <c r="AN139" i="30"/>
  <c r="AJ139" i="30"/>
  <c r="AF139" i="30"/>
  <c r="AB139" i="30"/>
  <c r="X139" i="30"/>
  <c r="T139" i="30"/>
  <c r="P139" i="30"/>
  <c r="L139" i="30"/>
  <c r="AY139" i="30"/>
  <c r="AQ139" i="30"/>
  <c r="AI139" i="30"/>
  <c r="AA139" i="30"/>
  <c r="S139" i="30"/>
  <c r="K139" i="30"/>
  <c r="BC139" i="30"/>
  <c r="AM139" i="30"/>
  <c r="W139" i="30"/>
  <c r="BB139" i="30"/>
  <c r="AL139" i="30"/>
  <c r="N139" i="30"/>
  <c r="AX139" i="30"/>
  <c r="AP139" i="30"/>
  <c r="AH139" i="30"/>
  <c r="Z139" i="30"/>
  <c r="R139" i="30"/>
  <c r="J139" i="30"/>
  <c r="AE139" i="30"/>
  <c r="O139" i="30"/>
  <c r="AT139" i="30"/>
  <c r="V139" i="30"/>
  <c r="AU139" i="30"/>
  <c r="AD139" i="30"/>
  <c r="BB133" i="30"/>
  <c r="AX133" i="30"/>
  <c r="AT133" i="30"/>
  <c r="AP133" i="30"/>
  <c r="AL133" i="30"/>
  <c r="AH133" i="30"/>
  <c r="AD133" i="30"/>
  <c r="Z133" i="30"/>
  <c r="V133" i="30"/>
  <c r="R133" i="30"/>
  <c r="N133" i="30"/>
  <c r="J133" i="30"/>
  <c r="BE133" i="30"/>
  <c r="BA133" i="30"/>
  <c r="AW133" i="30"/>
  <c r="AS133" i="30"/>
  <c r="AO133" i="30"/>
  <c r="AK133" i="30"/>
  <c r="AG133" i="30"/>
  <c r="AC133" i="30"/>
  <c r="Y133" i="30"/>
  <c r="U133" i="30"/>
  <c r="Q133" i="30"/>
  <c r="M133" i="30"/>
  <c r="I133" i="30"/>
  <c r="BC133" i="30"/>
  <c r="AU133" i="30"/>
  <c r="AM133" i="30"/>
  <c r="AE133" i="30"/>
  <c r="W133" i="30"/>
  <c r="O133" i="30"/>
  <c r="AQ133" i="30"/>
  <c r="AI133" i="30"/>
  <c r="AN133" i="30"/>
  <c r="P133" i="30"/>
  <c r="AZ133" i="30"/>
  <c r="AR133" i="30"/>
  <c r="AJ133" i="30"/>
  <c r="AB133" i="30"/>
  <c r="T133" i="30"/>
  <c r="L133" i="30"/>
  <c r="AA133" i="30"/>
  <c r="K133" i="30"/>
  <c r="BD133" i="30"/>
  <c r="AF133" i="30"/>
  <c r="AY133" i="30"/>
  <c r="S133" i="30"/>
  <c r="AV133" i="30"/>
  <c r="X133" i="30"/>
  <c r="AQ147" i="31"/>
  <c r="U147" i="31"/>
  <c r="BA147" i="31"/>
  <c r="AM147" i="31"/>
  <c r="Q147" i="31"/>
  <c r="AW147" i="31"/>
  <c r="R147" i="31"/>
  <c r="AH147" i="31"/>
  <c r="AX147" i="31"/>
  <c r="T147" i="31"/>
  <c r="AJ147" i="31"/>
  <c r="BF134" i="31"/>
  <c r="BD131" i="31"/>
  <c r="AZ131" i="31"/>
  <c r="AV131" i="31"/>
  <c r="AR131" i="31"/>
  <c r="AN131" i="31"/>
  <c r="AJ131" i="31"/>
  <c r="AF131" i="31"/>
  <c r="AB131" i="31"/>
  <c r="X131" i="31"/>
  <c r="T131" i="31"/>
  <c r="P131" i="31"/>
  <c r="L131" i="31"/>
  <c r="BC131" i="31"/>
  <c r="AY131" i="31"/>
  <c r="AU131" i="31"/>
  <c r="AQ131" i="31"/>
  <c r="AM131" i="31"/>
  <c r="AI131" i="31"/>
  <c r="AE131" i="31"/>
  <c r="AA131" i="31"/>
  <c r="W131" i="31"/>
  <c r="S131" i="31"/>
  <c r="O131" i="31"/>
  <c r="K131" i="31"/>
  <c r="BB131" i="31"/>
  <c r="AX131" i="31"/>
  <c r="AT131" i="31"/>
  <c r="AP131" i="31"/>
  <c r="AL131" i="31"/>
  <c r="AH131" i="31"/>
  <c r="AD131" i="31"/>
  <c r="Z131" i="31"/>
  <c r="V131" i="31"/>
  <c r="R131" i="31"/>
  <c r="N131" i="31"/>
  <c r="J131" i="31"/>
  <c r="BA131" i="31"/>
  <c r="AK131" i="31"/>
  <c r="U131" i="31"/>
  <c r="AW131" i="31"/>
  <c r="AG131" i="31"/>
  <c r="Q131" i="31"/>
  <c r="AS131" i="31"/>
  <c r="AC131" i="31"/>
  <c r="M131" i="31"/>
  <c r="Y131" i="31"/>
  <c r="I131" i="31"/>
  <c r="BF131" i="31" s="1"/>
  <c r="AO131" i="31"/>
  <c r="BE131" i="31"/>
  <c r="BE131" i="30"/>
  <c r="BA131" i="30"/>
  <c r="AW131" i="30"/>
  <c r="AS131" i="30"/>
  <c r="AO131" i="30"/>
  <c r="AK131" i="30"/>
  <c r="AG131" i="30"/>
  <c r="AC131" i="30"/>
  <c r="Y131" i="30"/>
  <c r="U131" i="30"/>
  <c r="Q131" i="30"/>
  <c r="M131" i="30"/>
  <c r="I131" i="30"/>
  <c r="BD131" i="30"/>
  <c r="AZ131" i="30"/>
  <c r="AV131" i="30"/>
  <c r="AR131" i="30"/>
  <c r="AN131" i="30"/>
  <c r="AJ131" i="30"/>
  <c r="AF131" i="30"/>
  <c r="AB131" i="30"/>
  <c r="X131" i="30"/>
  <c r="T131" i="30"/>
  <c r="P131" i="30"/>
  <c r="L131" i="30"/>
  <c r="AX131" i="30"/>
  <c r="AP131" i="30"/>
  <c r="AH131" i="30"/>
  <c r="Z131" i="30"/>
  <c r="R131" i="30"/>
  <c r="J131" i="30"/>
  <c r="AT131" i="30"/>
  <c r="AD131" i="30"/>
  <c r="AY131" i="30"/>
  <c r="S131" i="30"/>
  <c r="BC131" i="30"/>
  <c r="AU131" i="30"/>
  <c r="AM131" i="30"/>
  <c r="AE131" i="30"/>
  <c r="W131" i="30"/>
  <c r="O131" i="30"/>
  <c r="AL131" i="30"/>
  <c r="N131" i="30"/>
  <c r="AQ131" i="30"/>
  <c r="AA131" i="30"/>
  <c r="BB131" i="30"/>
  <c r="V131" i="30"/>
  <c r="AI131" i="30"/>
  <c r="K131" i="30"/>
  <c r="BC144" i="30"/>
  <c r="AY144" i="30"/>
  <c r="AU144" i="30"/>
  <c r="AQ144" i="30"/>
  <c r="AM144" i="30"/>
  <c r="AI144" i="30"/>
  <c r="AE144" i="30"/>
  <c r="AA144" i="30"/>
  <c r="W144" i="30"/>
  <c r="S144" i="30"/>
  <c r="BB144" i="30"/>
  <c r="AX144" i="30"/>
  <c r="AT144" i="30"/>
  <c r="AP144" i="30"/>
  <c r="AL144" i="30"/>
  <c r="AH144" i="30"/>
  <c r="AD144" i="30"/>
  <c r="Z144" i="30"/>
  <c r="V144" i="30"/>
  <c r="R144" i="30"/>
  <c r="AZ144" i="30"/>
  <c r="AR144" i="30"/>
  <c r="AJ144" i="30"/>
  <c r="AB144" i="30"/>
  <c r="T144" i="30"/>
  <c r="N144" i="30"/>
  <c r="J144" i="30"/>
  <c r="BE144" i="30"/>
  <c r="AW144" i="30"/>
  <c r="AO144" i="30"/>
  <c r="AG144" i="30"/>
  <c r="Y144" i="30"/>
  <c r="Q144" i="30"/>
  <c r="M144" i="30"/>
  <c r="I144" i="30"/>
  <c r="AS144" i="30"/>
  <c r="AC144" i="30"/>
  <c r="O144" i="30"/>
  <c r="BA144" i="30"/>
  <c r="AK144" i="30"/>
  <c r="U144" i="30"/>
  <c r="K144" i="30"/>
  <c r="AF144" i="30"/>
  <c r="BD144" i="30"/>
  <c r="AN144" i="30"/>
  <c r="X144" i="30"/>
  <c r="L144" i="30"/>
  <c r="AV144" i="30"/>
  <c r="P144" i="30"/>
  <c r="BD143" i="31"/>
  <c r="AZ143" i="31"/>
  <c r="AV143" i="31"/>
  <c r="AR143" i="31"/>
  <c r="BB143" i="31"/>
  <c r="AX143" i="31"/>
  <c r="AT143" i="31"/>
  <c r="AP143" i="31"/>
  <c r="AL143" i="31"/>
  <c r="BA143" i="31"/>
  <c r="AS143" i="31"/>
  <c r="AM143" i="31"/>
  <c r="AH143" i="31"/>
  <c r="AD143" i="31"/>
  <c r="Z143" i="31"/>
  <c r="V143" i="31"/>
  <c r="R143" i="31"/>
  <c r="N143" i="31"/>
  <c r="J143" i="31"/>
  <c r="AY143" i="31"/>
  <c r="AQ143" i="31"/>
  <c r="AK143" i="31"/>
  <c r="AG143" i="31"/>
  <c r="AC143" i="31"/>
  <c r="Y143" i="31"/>
  <c r="U143" i="31"/>
  <c r="Q143" i="31"/>
  <c r="M143" i="31"/>
  <c r="I143" i="31"/>
  <c r="BE143" i="31"/>
  <c r="AW143" i="31"/>
  <c r="AO143" i="31"/>
  <c r="AJ143" i="31"/>
  <c r="AF143" i="31"/>
  <c r="AB143" i="31"/>
  <c r="X143" i="31"/>
  <c r="T143" i="31"/>
  <c r="P143" i="31"/>
  <c r="L143" i="31"/>
  <c r="AI143" i="31"/>
  <c r="S143" i="31"/>
  <c r="BC143" i="31"/>
  <c r="AE143" i="31"/>
  <c r="O143" i="31"/>
  <c r="AU143" i="31"/>
  <c r="AA143" i="31"/>
  <c r="K143" i="31"/>
  <c r="AN143" i="31"/>
  <c r="W143" i="31"/>
  <c r="BE142" i="31"/>
  <c r="BA142" i="31"/>
  <c r="AW142" i="31"/>
  <c r="AS142" i="31"/>
  <c r="AO142" i="31"/>
  <c r="AK142" i="31"/>
  <c r="AG142" i="31"/>
  <c r="AC142" i="31"/>
  <c r="Y142" i="31"/>
  <c r="U142" i="31"/>
  <c r="Q142" i="31"/>
  <c r="M142" i="31"/>
  <c r="I142" i="31"/>
  <c r="BD142" i="31"/>
  <c r="AZ142" i="31"/>
  <c r="AV142" i="31"/>
  <c r="AR142" i="31"/>
  <c r="AN142" i="31"/>
  <c r="AJ142" i="31"/>
  <c r="AF142" i="31"/>
  <c r="AB142" i="31"/>
  <c r="X142" i="31"/>
  <c r="T142" i="31"/>
  <c r="P142" i="31"/>
  <c r="L142" i="31"/>
  <c r="BC142" i="31"/>
  <c r="AY142" i="31"/>
  <c r="AU142" i="31"/>
  <c r="AQ142" i="31"/>
  <c r="AM142" i="31"/>
  <c r="AI142" i="31"/>
  <c r="AE142" i="31"/>
  <c r="AA142" i="31"/>
  <c r="W142" i="31"/>
  <c r="S142" i="31"/>
  <c r="O142" i="31"/>
  <c r="K142" i="31"/>
  <c r="AX142" i="31"/>
  <c r="AH142" i="31"/>
  <c r="R142" i="31"/>
  <c r="AT142" i="31"/>
  <c r="AD142" i="31"/>
  <c r="N142" i="31"/>
  <c r="AP142" i="31"/>
  <c r="Z142" i="31"/>
  <c r="J142" i="31"/>
  <c r="AL142" i="31"/>
  <c r="V142" i="31"/>
  <c r="BB142" i="31"/>
  <c r="BB138" i="31"/>
  <c r="AX138" i="31"/>
  <c r="AT138" i="31"/>
  <c r="AP138" i="31"/>
  <c r="AL138" i="31"/>
  <c r="AH138" i="31"/>
  <c r="AD138" i="31"/>
  <c r="Z138" i="31"/>
  <c r="V138" i="31"/>
  <c r="R138" i="31"/>
  <c r="N138" i="31"/>
  <c r="J138" i="31"/>
  <c r="BE138" i="31"/>
  <c r="BA138" i="31"/>
  <c r="AW138" i="31"/>
  <c r="AS138" i="31"/>
  <c r="AO138" i="31"/>
  <c r="AK138" i="31"/>
  <c r="AG138" i="31"/>
  <c r="AC138" i="31"/>
  <c r="Y138" i="31"/>
  <c r="U138" i="31"/>
  <c r="Q138" i="31"/>
  <c r="M138" i="31"/>
  <c r="I138" i="31"/>
  <c r="BD138" i="31"/>
  <c r="AZ138" i="31"/>
  <c r="AV138" i="31"/>
  <c r="AR138" i="31"/>
  <c r="AN138" i="31"/>
  <c r="AJ138" i="31"/>
  <c r="AF138" i="31"/>
  <c r="AB138" i="31"/>
  <c r="X138" i="31"/>
  <c r="T138" i="31"/>
  <c r="P138" i="31"/>
  <c r="L138" i="31"/>
  <c r="AY138" i="31"/>
  <c r="AI138" i="31"/>
  <c r="S138" i="31"/>
  <c r="AU138" i="31"/>
  <c r="AE138" i="31"/>
  <c r="O138" i="31"/>
  <c r="AQ138" i="31"/>
  <c r="AA138" i="31"/>
  <c r="K138" i="31"/>
  <c r="AM138" i="31"/>
  <c r="W138" i="31"/>
  <c r="BC138" i="31"/>
  <c r="BF144" i="31"/>
  <c r="AV135" i="31"/>
  <c r="X135" i="31"/>
  <c r="AB135" i="31"/>
  <c r="Q135" i="31"/>
  <c r="AG135" i="31"/>
  <c r="AW135" i="31"/>
  <c r="N135" i="31"/>
  <c r="AD135" i="31"/>
  <c r="AT135" i="31"/>
  <c r="O135" i="31"/>
  <c r="AE135" i="31"/>
  <c r="AU135" i="31"/>
  <c r="BE148" i="31"/>
  <c r="BA148" i="31"/>
  <c r="AW148" i="31"/>
  <c r="AS148" i="31"/>
  <c r="AO148" i="31"/>
  <c r="AK148" i="31"/>
  <c r="AG148" i="31"/>
  <c r="AC148" i="31"/>
  <c r="Y148" i="31"/>
  <c r="U148" i="31"/>
  <c r="Q148" i="31"/>
  <c r="M148" i="31"/>
  <c r="I148" i="31"/>
  <c r="BC148" i="31"/>
  <c r="AY148" i="31"/>
  <c r="AU148" i="31"/>
  <c r="AQ148" i="31"/>
  <c r="AM148" i="31"/>
  <c r="AI148" i="31"/>
  <c r="AE148" i="31"/>
  <c r="AA148" i="31"/>
  <c r="W148" i="31"/>
  <c r="S148" i="31"/>
  <c r="O148" i="31"/>
  <c r="K148" i="31"/>
  <c r="BD148" i="31"/>
  <c r="AV148" i="31"/>
  <c r="AN148" i="31"/>
  <c r="AF148" i="31"/>
  <c r="X148" i="31"/>
  <c r="P148" i="31"/>
  <c r="BB148" i="31"/>
  <c r="AT148" i="31"/>
  <c r="AL148" i="31"/>
  <c r="AD148" i="31"/>
  <c r="V148" i="31"/>
  <c r="N148" i="31"/>
  <c r="AZ148" i="31"/>
  <c r="AR148" i="31"/>
  <c r="AJ148" i="31"/>
  <c r="AB148" i="31"/>
  <c r="T148" i="31"/>
  <c r="L148" i="31"/>
  <c r="AX148" i="31"/>
  <c r="R148" i="31"/>
  <c r="AP148" i="31"/>
  <c r="J148" i="31"/>
  <c r="AH148" i="31"/>
  <c r="Z148" i="31"/>
  <c r="BE137" i="31"/>
  <c r="BA137" i="31"/>
  <c r="AW137" i="31"/>
  <c r="AS137" i="31"/>
  <c r="AO137" i="31"/>
  <c r="AK137" i="31"/>
  <c r="AG137" i="31"/>
  <c r="AC137" i="31"/>
  <c r="Y137" i="31"/>
  <c r="U137" i="31"/>
  <c r="Q137" i="31"/>
  <c r="M137" i="31"/>
  <c r="I137" i="31"/>
  <c r="BD137" i="31"/>
  <c r="AZ137" i="31"/>
  <c r="AV137" i="31"/>
  <c r="AR137" i="31"/>
  <c r="AN137" i="31"/>
  <c r="AJ137" i="31"/>
  <c r="AF137" i="31"/>
  <c r="AB137" i="31"/>
  <c r="X137" i="31"/>
  <c r="T137" i="31"/>
  <c r="P137" i="31"/>
  <c r="L137" i="31"/>
  <c r="BC137" i="31"/>
  <c r="AY137" i="31"/>
  <c r="AU137" i="31"/>
  <c r="AQ137" i="31"/>
  <c r="AM137" i="31"/>
  <c r="AI137" i="31"/>
  <c r="AE137" i="31"/>
  <c r="AA137" i="31"/>
  <c r="W137" i="31"/>
  <c r="S137" i="31"/>
  <c r="O137" i="31"/>
  <c r="K137" i="31"/>
  <c r="AX137" i="31"/>
  <c r="AH137" i="31"/>
  <c r="R137" i="31"/>
  <c r="AT137" i="31"/>
  <c r="AD137" i="31"/>
  <c r="N137" i="31"/>
  <c r="AP137" i="31"/>
  <c r="Z137" i="31"/>
  <c r="J137" i="31"/>
  <c r="BB137" i="31"/>
  <c r="V137" i="31"/>
  <c r="AL137" i="31"/>
  <c r="BE130" i="30"/>
  <c r="BA130" i="30"/>
  <c r="AW130" i="30"/>
  <c r="AS130" i="30"/>
  <c r="AO130" i="30"/>
  <c r="AK130" i="30"/>
  <c r="AG130" i="30"/>
  <c r="AC130" i="30"/>
  <c r="Y130" i="30"/>
  <c r="U130" i="30"/>
  <c r="Q130" i="30"/>
  <c r="M130" i="30"/>
  <c r="I130" i="30"/>
  <c r="BE129" i="30"/>
  <c r="BA129" i="30"/>
  <c r="AW129" i="30"/>
  <c r="AS129" i="30"/>
  <c r="AO129" i="30"/>
  <c r="AK129" i="30"/>
  <c r="AG129" i="30"/>
  <c r="AC129" i="30"/>
  <c r="Y129" i="30"/>
  <c r="U129" i="30"/>
  <c r="Q129" i="30"/>
  <c r="M129" i="30"/>
  <c r="I129" i="30"/>
  <c r="BD130" i="30"/>
  <c r="AZ130" i="30"/>
  <c r="AV130" i="30"/>
  <c r="AR130" i="30"/>
  <c r="AN130" i="30"/>
  <c r="AJ130" i="30"/>
  <c r="AF130" i="30"/>
  <c r="AB130" i="30"/>
  <c r="X130" i="30"/>
  <c r="T130" i="30"/>
  <c r="P130" i="30"/>
  <c r="L130" i="30"/>
  <c r="BD129" i="30"/>
  <c r="AZ129" i="30"/>
  <c r="AV129" i="30"/>
  <c r="AR129" i="30"/>
  <c r="AN129" i="30"/>
  <c r="AJ129" i="30"/>
  <c r="AF129" i="30"/>
  <c r="AB129" i="30"/>
  <c r="X129" i="30"/>
  <c r="T129" i="30"/>
  <c r="P129" i="30"/>
  <c r="L129" i="30"/>
  <c r="AY130" i="30"/>
  <c r="AQ130" i="30"/>
  <c r="AI130" i="30"/>
  <c r="AA130" i="30"/>
  <c r="S130" i="30"/>
  <c r="K130" i="30"/>
  <c r="BB129" i="30"/>
  <c r="AT129" i="30"/>
  <c r="AL129" i="30"/>
  <c r="AD129" i="30"/>
  <c r="V129" i="30"/>
  <c r="N129" i="30"/>
  <c r="AU130" i="30"/>
  <c r="W130" i="30"/>
  <c r="Z129" i="30"/>
  <c r="J129" i="30"/>
  <c r="AT130" i="30"/>
  <c r="V130" i="30"/>
  <c r="BC129" i="30"/>
  <c r="AM129" i="30"/>
  <c r="O129" i="30"/>
  <c r="AX130" i="30"/>
  <c r="AP130" i="30"/>
  <c r="AH130" i="30"/>
  <c r="Z130" i="30"/>
  <c r="R130" i="30"/>
  <c r="J130" i="30"/>
  <c r="AY129" i="30"/>
  <c r="AQ129" i="30"/>
  <c r="AI129" i="30"/>
  <c r="AA129" i="30"/>
  <c r="S129" i="30"/>
  <c r="K129" i="30"/>
  <c r="BC130" i="30"/>
  <c r="AE130" i="30"/>
  <c r="O130" i="30"/>
  <c r="AX129" i="30"/>
  <c r="AP129" i="30"/>
  <c r="R129" i="30"/>
  <c r="BB130" i="30"/>
  <c r="AD130" i="30"/>
  <c r="N130" i="30"/>
  <c r="AU129" i="30"/>
  <c r="AE129" i="30"/>
  <c r="AM130" i="30"/>
  <c r="AH129" i="30"/>
  <c r="AL130" i="30"/>
  <c r="W129" i="30"/>
  <c r="BC138" i="30"/>
  <c r="AY138" i="30"/>
  <c r="AU138" i="30"/>
  <c r="AQ138" i="30"/>
  <c r="AM138" i="30"/>
  <c r="AI138" i="30"/>
  <c r="AE138" i="30"/>
  <c r="AA138" i="30"/>
  <c r="W138" i="30"/>
  <c r="S138" i="30"/>
  <c r="O138" i="30"/>
  <c r="K138" i="30"/>
  <c r="BB138" i="30"/>
  <c r="AX138" i="30"/>
  <c r="AT138" i="30"/>
  <c r="AP138" i="30"/>
  <c r="AL138" i="30"/>
  <c r="AH138" i="30"/>
  <c r="AD138" i="30"/>
  <c r="Z138" i="30"/>
  <c r="V138" i="30"/>
  <c r="R138" i="30"/>
  <c r="N138" i="30"/>
  <c r="J138" i="30"/>
  <c r="AZ138" i="30"/>
  <c r="AR138" i="30"/>
  <c r="AJ138" i="30"/>
  <c r="AB138" i="30"/>
  <c r="T138" i="30"/>
  <c r="L138" i="30"/>
  <c r="AN138" i="30"/>
  <c r="X138" i="30"/>
  <c r="BA138" i="30"/>
  <c r="AC138" i="30"/>
  <c r="BE138" i="30"/>
  <c r="AW138" i="30"/>
  <c r="AO138" i="30"/>
  <c r="AG138" i="30"/>
  <c r="Y138" i="30"/>
  <c r="Q138" i="30"/>
  <c r="I138" i="30"/>
  <c r="BD138" i="30"/>
  <c r="AF138" i="30"/>
  <c r="P138" i="30"/>
  <c r="AK138" i="30"/>
  <c r="U138" i="30"/>
  <c r="AV138" i="30"/>
  <c r="AS138" i="30"/>
  <c r="M138" i="30"/>
  <c r="BC141" i="30"/>
  <c r="AY141" i="30"/>
  <c r="AU141" i="30"/>
  <c r="AQ141" i="30"/>
  <c r="AM141" i="30"/>
  <c r="AI141" i="30"/>
  <c r="AE141" i="30"/>
  <c r="AA141" i="30"/>
  <c r="W141" i="30"/>
  <c r="S141" i="30"/>
  <c r="O141" i="30"/>
  <c r="K141" i="30"/>
  <c r="BB141" i="30"/>
  <c r="AX141" i="30"/>
  <c r="AT141" i="30"/>
  <c r="AP141" i="30"/>
  <c r="AL141" i="30"/>
  <c r="AH141" i="30"/>
  <c r="AD141" i="30"/>
  <c r="Z141" i="30"/>
  <c r="V141" i="30"/>
  <c r="R141" i="30"/>
  <c r="N141" i="30"/>
  <c r="J141" i="30"/>
  <c r="AZ141" i="30"/>
  <c r="AR141" i="30"/>
  <c r="AJ141" i="30"/>
  <c r="AB141" i="30"/>
  <c r="T141" i="30"/>
  <c r="L141" i="30"/>
  <c r="BD141" i="30"/>
  <c r="AF141" i="30"/>
  <c r="X141" i="30"/>
  <c r="BA141" i="30"/>
  <c r="AK141" i="30"/>
  <c r="U141" i="30"/>
  <c r="BE141" i="30"/>
  <c r="AW141" i="30"/>
  <c r="AO141" i="30"/>
  <c r="AG141" i="30"/>
  <c r="Y141" i="30"/>
  <c r="Q141" i="30"/>
  <c r="I141" i="30"/>
  <c r="BF141" i="30" s="1"/>
  <c r="AV141" i="30"/>
  <c r="P141" i="30"/>
  <c r="AS141" i="30"/>
  <c r="AC141" i="30"/>
  <c r="M141" i="30"/>
  <c r="AN141" i="30"/>
  <c r="AX140" i="30"/>
  <c r="AH140" i="30"/>
  <c r="R140" i="30"/>
  <c r="BA140" i="30"/>
  <c r="AK140" i="30"/>
  <c r="U140" i="30"/>
  <c r="AY140" i="30"/>
  <c r="S140" i="30"/>
  <c r="O140" i="30"/>
  <c r="AN140" i="30"/>
  <c r="AU140" i="30"/>
  <c r="AB140" i="30"/>
  <c r="BB140" i="30"/>
  <c r="BE140" i="30"/>
  <c r="Y140" i="30"/>
  <c r="AA140" i="30"/>
  <c r="AV140" i="30"/>
  <c r="AR140" i="30"/>
  <c r="AT140" i="30"/>
  <c r="AD140" i="30"/>
  <c r="N140" i="30"/>
  <c r="AW140" i="30"/>
  <c r="AG140" i="30"/>
  <c r="Q140" i="30"/>
  <c r="AQ140" i="30"/>
  <c r="K140" i="30"/>
  <c r="T140" i="30"/>
  <c r="AF140" i="30"/>
  <c r="W140" i="30"/>
  <c r="L140" i="30"/>
  <c r="Z140" i="30"/>
  <c r="M140" i="30"/>
  <c r="BC140" i="30"/>
  <c r="BD140" i="30"/>
  <c r="AZ140" i="30"/>
  <c r="AE140" i="30"/>
  <c r="AL140" i="30"/>
  <c r="AO140" i="30"/>
  <c r="I140" i="30"/>
  <c r="AM140" i="30"/>
  <c r="AJ140" i="30"/>
  <c r="AP140" i="30"/>
  <c r="J140" i="30"/>
  <c r="AS140" i="30"/>
  <c r="AC140" i="30"/>
  <c r="AI140" i="30"/>
  <c r="X140" i="30"/>
  <c r="V140" i="30"/>
  <c r="P140" i="30"/>
  <c r="BE136" i="30"/>
  <c r="BA136" i="30"/>
  <c r="AW136" i="30"/>
  <c r="AS136" i="30"/>
  <c r="AO136" i="30"/>
  <c r="AK136" i="30"/>
  <c r="AG136" i="30"/>
  <c r="AC136" i="30"/>
  <c r="Y136" i="30"/>
  <c r="U136" i="30"/>
  <c r="Q136" i="30"/>
  <c r="M136" i="30"/>
  <c r="I136" i="30"/>
  <c r="BD136" i="30"/>
  <c r="AZ136" i="30"/>
  <c r="AV136" i="30"/>
  <c r="AR136" i="30"/>
  <c r="AN136" i="30"/>
  <c r="AJ136" i="30"/>
  <c r="AF136" i="30"/>
  <c r="AB136" i="30"/>
  <c r="X136" i="30"/>
  <c r="T136" i="30"/>
  <c r="P136" i="30"/>
  <c r="L136" i="30"/>
  <c r="AY136" i="30"/>
  <c r="AQ136" i="30"/>
  <c r="AI136" i="30"/>
  <c r="AA136" i="30"/>
  <c r="S136" i="30"/>
  <c r="K136" i="30"/>
  <c r="AM136" i="30"/>
  <c r="W136" i="30"/>
  <c r="AT136" i="30"/>
  <c r="AD136" i="30"/>
  <c r="N136" i="30"/>
  <c r="AX136" i="30"/>
  <c r="AP136" i="30"/>
  <c r="AH136" i="30"/>
  <c r="Z136" i="30"/>
  <c r="R136" i="30"/>
  <c r="J136" i="30"/>
  <c r="BC136" i="30"/>
  <c r="AE136" i="30"/>
  <c r="O136" i="30"/>
  <c r="BB136" i="30"/>
  <c r="V136" i="30"/>
  <c r="AU136" i="30"/>
  <c r="AL136" i="30"/>
  <c r="BF149" i="31"/>
  <c r="AA147" i="31"/>
  <c r="S147" i="31"/>
  <c r="AC147" i="31"/>
  <c r="O147" i="31"/>
  <c r="AU147" i="31"/>
  <c r="Y147" i="31"/>
  <c r="BE147" i="31"/>
  <c r="V147" i="31"/>
  <c r="AL147" i="31"/>
  <c r="BB147" i="31"/>
  <c r="X147" i="31"/>
  <c r="AN147" i="31"/>
  <c r="BD147" i="31"/>
  <c r="D63" i="29"/>
  <c r="D64" i="27"/>
  <c r="E64" i="29"/>
  <c r="M127" i="27"/>
  <c r="AA127" i="27"/>
  <c r="BF134" i="29"/>
  <c r="BF147" i="29"/>
  <c r="BF137" i="29"/>
  <c r="F63" i="29"/>
  <c r="G62" i="29"/>
  <c r="F64" i="29"/>
  <c r="BF143" i="29"/>
  <c r="BF149" i="29"/>
  <c r="BF139" i="29"/>
  <c r="BF135" i="29"/>
  <c r="BF132" i="29"/>
  <c r="BF148" i="29"/>
  <c r="BF144" i="29"/>
  <c r="BF141" i="29"/>
  <c r="BF130" i="29"/>
  <c r="AB127" i="29"/>
  <c r="N127" i="29"/>
  <c r="BF138" i="29"/>
  <c r="BF145" i="29"/>
  <c r="BF133" i="29"/>
  <c r="BF131" i="29"/>
  <c r="BF146" i="29"/>
  <c r="BF142" i="29"/>
  <c r="BF140" i="29"/>
  <c r="BF136" i="29"/>
  <c r="G125" i="29"/>
  <c r="H125" i="29" s="1"/>
  <c r="BF129" i="29"/>
  <c r="G124" i="29"/>
  <c r="H124" i="29" s="1"/>
  <c r="G123" i="29"/>
  <c r="H123" i="29" s="1"/>
  <c r="G123" i="27"/>
  <c r="H123" i="27" s="1"/>
  <c r="B153" i="27"/>
  <c r="H120" i="27" s="1"/>
  <c r="Q32" i="27" s="1"/>
  <c r="H147" i="27"/>
  <c r="H143" i="27"/>
  <c r="H140" i="27"/>
  <c r="F137" i="27"/>
  <c r="G137" i="27" s="1"/>
  <c r="H138" i="27"/>
  <c r="H136" i="27"/>
  <c r="H135" i="27"/>
  <c r="H133" i="27"/>
  <c r="H134" i="27"/>
  <c r="H132" i="27"/>
  <c r="H131" i="27"/>
  <c r="H130" i="27"/>
  <c r="H129" i="27"/>
  <c r="H148" i="27"/>
  <c r="H146" i="27"/>
  <c r="H144" i="27"/>
  <c r="H142" i="27"/>
  <c r="H137" i="27"/>
  <c r="H149" i="27"/>
  <c r="H145" i="27"/>
  <c r="H141" i="27"/>
  <c r="F138" i="27"/>
  <c r="G138" i="27" s="1"/>
  <c r="F136" i="27"/>
  <c r="G136" i="27" s="1"/>
  <c r="F135" i="27"/>
  <c r="G135" i="27" s="1"/>
  <c r="F133" i="27"/>
  <c r="G133" i="27" s="1"/>
  <c r="F134" i="27"/>
  <c r="G134" i="27" s="1"/>
  <c r="F132" i="27"/>
  <c r="G132" i="27" s="1"/>
  <c r="F131" i="27"/>
  <c r="G131" i="27" s="1"/>
  <c r="F130" i="27"/>
  <c r="G130" i="27" s="1"/>
  <c r="F129" i="27"/>
  <c r="G129" i="27" s="1"/>
  <c r="G124" i="27"/>
  <c r="H124" i="27" s="1"/>
  <c r="G125" i="27"/>
  <c r="H125" i="27" s="1"/>
  <c r="H110" i="27"/>
  <c r="A153" i="27"/>
  <c r="H121" i="27" s="1"/>
  <c r="Q33" i="27" s="1"/>
  <c r="F148" i="27"/>
  <c r="G148" i="27" s="1"/>
  <c r="F146" i="27"/>
  <c r="G146" i="27" s="1"/>
  <c r="F144" i="27"/>
  <c r="G144" i="27" s="1"/>
  <c r="F142" i="27"/>
  <c r="G142" i="27" s="1"/>
  <c r="F147" i="27"/>
  <c r="G147" i="27" s="1"/>
  <c r="F143" i="27"/>
  <c r="G143" i="27" s="1"/>
  <c r="F149" i="27"/>
  <c r="G149" i="27" s="1"/>
  <c r="F145" i="27"/>
  <c r="G145" i="27" s="1"/>
  <c r="F141" i="27"/>
  <c r="G141" i="27" s="1"/>
  <c r="F140" i="27"/>
  <c r="G140" i="27" s="1"/>
  <c r="G62" i="27"/>
  <c r="G64" i="27" s="1"/>
  <c r="H126" i="27"/>
  <c r="H122" i="27" s="1"/>
  <c r="BF146" i="36" l="1"/>
  <c r="BF145" i="36"/>
  <c r="BF130" i="36"/>
  <c r="BF133" i="36"/>
  <c r="BF132" i="36"/>
  <c r="BF135" i="36"/>
  <c r="BF139" i="36"/>
  <c r="I62" i="37"/>
  <c r="H63" i="37"/>
  <c r="H64" i="37"/>
  <c r="BF147" i="36"/>
  <c r="BF143" i="36"/>
  <c r="BF134" i="36"/>
  <c r="BF142" i="36"/>
  <c r="BF140" i="36"/>
  <c r="I63" i="36"/>
  <c r="I64" i="36"/>
  <c r="J62" i="36"/>
  <c r="BF141" i="36"/>
  <c r="BF131" i="36"/>
  <c r="BF149" i="36"/>
  <c r="BF136" i="36"/>
  <c r="BF144" i="36"/>
  <c r="BF138" i="36"/>
  <c r="BF129" i="36"/>
  <c r="BF143" i="33"/>
  <c r="BF139" i="32"/>
  <c r="BF142" i="35"/>
  <c r="BF129" i="33"/>
  <c r="BF142" i="32"/>
  <c r="I63" i="33"/>
  <c r="I64" i="33"/>
  <c r="J62" i="33"/>
  <c r="BF130" i="32"/>
  <c r="BF132" i="32"/>
  <c r="BF141" i="33"/>
  <c r="BF143" i="34"/>
  <c r="BF143" i="35"/>
  <c r="BF137" i="34"/>
  <c r="BF133" i="33"/>
  <c r="BF138" i="33"/>
  <c r="BF135" i="32"/>
  <c r="BF134" i="32"/>
  <c r="BF132" i="35"/>
  <c r="BF149" i="33"/>
  <c r="BF131" i="34"/>
  <c r="BF138" i="34"/>
  <c r="BF129" i="32"/>
  <c r="BF146" i="32"/>
  <c r="BF142" i="34"/>
  <c r="BF132" i="34"/>
  <c r="BF136" i="32"/>
  <c r="BF137" i="33"/>
  <c r="BF144" i="33"/>
  <c r="BF148" i="32"/>
  <c r="H64" i="35"/>
  <c r="H63" i="35"/>
  <c r="I62" i="35"/>
  <c r="BF132" i="33"/>
  <c r="BF133" i="34"/>
  <c r="BF146" i="33"/>
  <c r="BF147" i="32"/>
  <c r="BF149" i="32"/>
  <c r="BF147" i="33"/>
  <c r="BF139" i="33"/>
  <c r="BF145" i="33"/>
  <c r="I63" i="32"/>
  <c r="I64" i="32"/>
  <c r="J62" i="32"/>
  <c r="BF130" i="33"/>
  <c r="G63" i="34"/>
  <c r="G64" i="34"/>
  <c r="H62" i="34"/>
  <c r="BF137" i="32"/>
  <c r="BF131" i="32"/>
  <c r="BF134" i="33"/>
  <c r="BF135" i="33"/>
  <c r="BF140" i="35"/>
  <c r="BF139" i="34"/>
  <c r="BF145" i="35"/>
  <c r="BF145" i="32"/>
  <c r="BF143" i="32"/>
  <c r="BF133" i="35"/>
  <c r="BF138" i="32"/>
  <c r="BF136" i="33"/>
  <c r="BF140" i="32"/>
  <c r="BF140" i="33"/>
  <c r="BF144" i="34"/>
  <c r="BF144" i="32"/>
  <c r="BF135" i="31"/>
  <c r="BF138" i="31"/>
  <c r="BF131" i="30"/>
  <c r="BF135" i="30"/>
  <c r="BF145" i="31"/>
  <c r="BF147" i="30"/>
  <c r="BF129" i="31"/>
  <c r="I64" i="30"/>
  <c r="J62" i="30"/>
  <c r="I63" i="30"/>
  <c r="BF139" i="31"/>
  <c r="AC127" i="31"/>
  <c r="O127" i="31"/>
  <c r="AD127" i="31" s="1"/>
  <c r="BF136" i="30"/>
  <c r="BF139" i="30"/>
  <c r="BF146" i="30"/>
  <c r="BF130" i="30"/>
  <c r="BF137" i="31"/>
  <c r="BF142" i="31"/>
  <c r="BF144" i="30"/>
  <c r="BF134" i="30"/>
  <c r="BF142" i="30"/>
  <c r="G63" i="31"/>
  <c r="G64" i="31"/>
  <c r="H62" i="31"/>
  <c r="BF132" i="30"/>
  <c r="BF148" i="30"/>
  <c r="BF149" i="30"/>
  <c r="BF129" i="30"/>
  <c r="BF146" i="31"/>
  <c r="BF140" i="30"/>
  <c r="BF138" i="30"/>
  <c r="BF148" i="31"/>
  <c r="BF143" i="31"/>
  <c r="BF133" i="30"/>
  <c r="BF145" i="30"/>
  <c r="BF132" i="31"/>
  <c r="BF147" i="31"/>
  <c r="BF137" i="30"/>
  <c r="BF143" i="30"/>
  <c r="BF130" i="31"/>
  <c r="BF133" i="31"/>
  <c r="N127" i="27"/>
  <c r="AB127" i="27"/>
  <c r="AC127" i="29"/>
  <c r="O127" i="29"/>
  <c r="AD127" i="29" s="1"/>
  <c r="G64" i="29"/>
  <c r="G63" i="29"/>
  <c r="H62" i="29"/>
  <c r="H126" i="29"/>
  <c r="H122" i="29" s="1"/>
  <c r="BD142" i="27"/>
  <c r="BB142" i="27"/>
  <c r="AZ142" i="27"/>
  <c r="AX142" i="27"/>
  <c r="AV142" i="27"/>
  <c r="AT142" i="27"/>
  <c r="AR142" i="27"/>
  <c r="AP142" i="27"/>
  <c r="AN142" i="27"/>
  <c r="AL142" i="27"/>
  <c r="AJ142" i="27"/>
  <c r="AH142" i="27"/>
  <c r="AF142" i="27"/>
  <c r="AD142" i="27"/>
  <c r="AB142" i="27"/>
  <c r="Z142" i="27"/>
  <c r="X142" i="27"/>
  <c r="V142" i="27"/>
  <c r="T142" i="27"/>
  <c r="R142" i="27"/>
  <c r="P142" i="27"/>
  <c r="N142" i="27"/>
  <c r="L142" i="27"/>
  <c r="J142" i="27"/>
  <c r="BE142" i="27"/>
  <c r="BA142" i="27"/>
  <c r="AW142" i="27"/>
  <c r="AS142" i="27"/>
  <c r="AO142" i="27"/>
  <c r="AK142" i="27"/>
  <c r="AG142" i="27"/>
  <c r="AC142" i="27"/>
  <c r="Y142" i="27"/>
  <c r="U142" i="27"/>
  <c r="Q142" i="27"/>
  <c r="M142" i="27"/>
  <c r="I142" i="27"/>
  <c r="BC142" i="27"/>
  <c r="AY142" i="27"/>
  <c r="AU142" i="27"/>
  <c r="AQ142" i="27"/>
  <c r="AM142" i="27"/>
  <c r="AI142" i="27"/>
  <c r="AE142" i="27"/>
  <c r="AA142" i="27"/>
  <c r="W142" i="27"/>
  <c r="S142" i="27"/>
  <c r="O142" i="27"/>
  <c r="K142" i="27"/>
  <c r="BE143" i="27"/>
  <c r="BC143" i="27"/>
  <c r="BA143" i="27"/>
  <c r="AY143" i="27"/>
  <c r="AW143" i="27"/>
  <c r="AU143" i="27"/>
  <c r="AS143" i="27"/>
  <c r="AQ143" i="27"/>
  <c r="AO143" i="27"/>
  <c r="AM143" i="27"/>
  <c r="AK143" i="27"/>
  <c r="AI143" i="27"/>
  <c r="AG143" i="27"/>
  <c r="AE143" i="27"/>
  <c r="AC143" i="27"/>
  <c r="AA143" i="27"/>
  <c r="Y143" i="27"/>
  <c r="W143" i="27"/>
  <c r="U143" i="27"/>
  <c r="S143" i="27"/>
  <c r="Q143" i="27"/>
  <c r="O143" i="27"/>
  <c r="M143" i="27"/>
  <c r="K143" i="27"/>
  <c r="I143" i="27"/>
  <c r="BD143" i="27"/>
  <c r="AZ143" i="27"/>
  <c r="AV143" i="27"/>
  <c r="AR143" i="27"/>
  <c r="AN143" i="27"/>
  <c r="AJ143" i="27"/>
  <c r="AF143" i="27"/>
  <c r="AB143" i="27"/>
  <c r="X143" i="27"/>
  <c r="T143" i="27"/>
  <c r="P143" i="27"/>
  <c r="L143" i="27"/>
  <c r="BB143" i="27"/>
  <c r="AX143" i="27"/>
  <c r="AT143" i="27"/>
  <c r="AP143" i="27"/>
  <c r="AL143" i="27"/>
  <c r="AH143" i="27"/>
  <c r="AD143" i="27"/>
  <c r="Z143" i="27"/>
  <c r="V143" i="27"/>
  <c r="R143" i="27"/>
  <c r="N143" i="27"/>
  <c r="J143" i="27"/>
  <c r="BE147" i="27"/>
  <c r="BC147" i="27"/>
  <c r="BA147" i="27"/>
  <c r="AY147" i="27"/>
  <c r="AW147" i="27"/>
  <c r="AU147" i="27"/>
  <c r="AS147" i="27"/>
  <c r="AQ147" i="27"/>
  <c r="AO147" i="27"/>
  <c r="AM147" i="27"/>
  <c r="AK147" i="27"/>
  <c r="AI147" i="27"/>
  <c r="AG147" i="27"/>
  <c r="AE147" i="27"/>
  <c r="AC147" i="27"/>
  <c r="AA147" i="27"/>
  <c r="Y147" i="27"/>
  <c r="W147" i="27"/>
  <c r="U147" i="27"/>
  <c r="S147" i="27"/>
  <c r="Q147" i="27"/>
  <c r="O147" i="27"/>
  <c r="M147" i="27"/>
  <c r="K147" i="27"/>
  <c r="I147" i="27"/>
  <c r="BD147" i="27"/>
  <c r="AZ147" i="27"/>
  <c r="AV147" i="27"/>
  <c r="AR147" i="27"/>
  <c r="AN147" i="27"/>
  <c r="AJ147" i="27"/>
  <c r="AF147" i="27"/>
  <c r="AB147" i="27"/>
  <c r="X147" i="27"/>
  <c r="T147" i="27"/>
  <c r="P147" i="27"/>
  <c r="L147" i="27"/>
  <c r="BB147" i="27"/>
  <c r="AX147" i="27"/>
  <c r="AT147" i="27"/>
  <c r="AP147" i="27"/>
  <c r="AL147" i="27"/>
  <c r="AH147" i="27"/>
  <c r="AD147" i="27"/>
  <c r="Z147" i="27"/>
  <c r="V147" i="27"/>
  <c r="R147" i="27"/>
  <c r="N147" i="27"/>
  <c r="J147" i="27"/>
  <c r="BE130" i="27"/>
  <c r="BC130" i="27"/>
  <c r="BA130" i="27"/>
  <c r="AY130" i="27"/>
  <c r="AW130" i="27"/>
  <c r="AU130" i="27"/>
  <c r="AS130" i="27"/>
  <c r="AQ130" i="27"/>
  <c r="AO130" i="27"/>
  <c r="AM130" i="27"/>
  <c r="AK130" i="27"/>
  <c r="AI130" i="27"/>
  <c r="AG130" i="27"/>
  <c r="AE130" i="27"/>
  <c r="AC130" i="27"/>
  <c r="AA130" i="27"/>
  <c r="Y130" i="27"/>
  <c r="W130" i="27"/>
  <c r="U130" i="27"/>
  <c r="S130" i="27"/>
  <c r="Q130" i="27"/>
  <c r="O130" i="27"/>
  <c r="M130" i="27"/>
  <c r="K130" i="27"/>
  <c r="I130" i="27"/>
  <c r="BE129" i="27"/>
  <c r="BC129" i="27"/>
  <c r="BA129" i="27"/>
  <c r="AY129" i="27"/>
  <c r="AW129" i="27"/>
  <c r="AU129" i="27"/>
  <c r="AS129" i="27"/>
  <c r="AQ129" i="27"/>
  <c r="AO129" i="27"/>
  <c r="AM129" i="27"/>
  <c r="AK129" i="27"/>
  <c r="AI129" i="27"/>
  <c r="AG129" i="27"/>
  <c r="AE129" i="27"/>
  <c r="AC129" i="27"/>
  <c r="AA129" i="27"/>
  <c r="Y129" i="27"/>
  <c r="W129" i="27"/>
  <c r="U129" i="27"/>
  <c r="S129" i="27"/>
  <c r="Q129" i="27"/>
  <c r="O129" i="27"/>
  <c r="M129" i="27"/>
  <c r="K129" i="27"/>
  <c r="I129" i="27"/>
  <c r="BD130" i="27"/>
  <c r="BB130" i="27"/>
  <c r="AZ130" i="27"/>
  <c r="AX130" i="27"/>
  <c r="AV130" i="27"/>
  <c r="AT130" i="27"/>
  <c r="AR130" i="27"/>
  <c r="AP130" i="27"/>
  <c r="AN130" i="27"/>
  <c r="AL130" i="27"/>
  <c r="AJ130" i="27"/>
  <c r="AH130" i="27"/>
  <c r="AF130" i="27"/>
  <c r="AD130" i="27"/>
  <c r="AB130" i="27"/>
  <c r="Z130" i="27"/>
  <c r="X130" i="27"/>
  <c r="V130" i="27"/>
  <c r="T130" i="27"/>
  <c r="R130" i="27"/>
  <c r="P130" i="27"/>
  <c r="N130" i="27"/>
  <c r="L130" i="27"/>
  <c r="J130" i="27"/>
  <c r="BD129" i="27"/>
  <c r="BB129" i="27"/>
  <c r="AZ129" i="27"/>
  <c r="AX129" i="27"/>
  <c r="AV129" i="27"/>
  <c r="AT129" i="27"/>
  <c r="AR129" i="27"/>
  <c r="AP129" i="27"/>
  <c r="AN129" i="27"/>
  <c r="AL129" i="27"/>
  <c r="AJ129" i="27"/>
  <c r="AH129" i="27"/>
  <c r="AF129" i="27"/>
  <c r="AD129" i="27"/>
  <c r="AB129" i="27"/>
  <c r="Z129" i="27"/>
  <c r="X129" i="27"/>
  <c r="V129" i="27"/>
  <c r="T129" i="27"/>
  <c r="R129" i="27"/>
  <c r="P129" i="27"/>
  <c r="N129" i="27"/>
  <c r="L129" i="27"/>
  <c r="J129" i="27"/>
  <c r="BE132" i="27"/>
  <c r="BC132" i="27"/>
  <c r="BA132" i="27"/>
  <c r="AY132" i="27"/>
  <c r="AW132" i="27"/>
  <c r="AU132" i="27"/>
  <c r="AS132" i="27"/>
  <c r="AQ132" i="27"/>
  <c r="AO132" i="27"/>
  <c r="AM132" i="27"/>
  <c r="AK132" i="27"/>
  <c r="AI132" i="27"/>
  <c r="AG132" i="27"/>
  <c r="AE132" i="27"/>
  <c r="AC132" i="27"/>
  <c r="AA132" i="27"/>
  <c r="Y132" i="27"/>
  <c r="W132" i="27"/>
  <c r="U132" i="27"/>
  <c r="S132" i="27"/>
  <c r="Q132" i="27"/>
  <c r="O132" i="27"/>
  <c r="M132" i="27"/>
  <c r="K132" i="27"/>
  <c r="I132" i="27"/>
  <c r="BD132" i="27"/>
  <c r="BB132" i="27"/>
  <c r="AZ132" i="27"/>
  <c r="AX132" i="27"/>
  <c r="AV132" i="27"/>
  <c r="AT132" i="27"/>
  <c r="AR132" i="27"/>
  <c r="AP132" i="27"/>
  <c r="AN132" i="27"/>
  <c r="AL132" i="27"/>
  <c r="AJ132" i="27"/>
  <c r="AH132" i="27"/>
  <c r="AF132" i="27"/>
  <c r="AD132" i="27"/>
  <c r="AB132" i="27"/>
  <c r="Z132" i="27"/>
  <c r="X132" i="27"/>
  <c r="V132" i="27"/>
  <c r="T132" i="27"/>
  <c r="R132" i="27"/>
  <c r="P132" i="27"/>
  <c r="N132" i="27"/>
  <c r="L132" i="27"/>
  <c r="J132" i="27"/>
  <c r="BE135" i="27"/>
  <c r="BC135" i="27"/>
  <c r="BA135" i="27"/>
  <c r="AY135" i="27"/>
  <c r="AW135" i="27"/>
  <c r="AU135" i="27"/>
  <c r="AS135" i="27"/>
  <c r="AQ135" i="27"/>
  <c r="AO135" i="27"/>
  <c r="AM135" i="27"/>
  <c r="AK135" i="27"/>
  <c r="AI135" i="27"/>
  <c r="BB135" i="27"/>
  <c r="AX135" i="27"/>
  <c r="AT135" i="27"/>
  <c r="AP135" i="27"/>
  <c r="AL135" i="27"/>
  <c r="AH135" i="27"/>
  <c r="AF135" i="27"/>
  <c r="AD135" i="27"/>
  <c r="AB135" i="27"/>
  <c r="Z135" i="27"/>
  <c r="X135" i="27"/>
  <c r="V135" i="27"/>
  <c r="T135" i="27"/>
  <c r="R135" i="27"/>
  <c r="P135" i="27"/>
  <c r="N135" i="27"/>
  <c r="L135" i="27"/>
  <c r="J135" i="27"/>
  <c r="BD135" i="27"/>
  <c r="AZ135" i="27"/>
  <c r="AV135" i="27"/>
  <c r="AR135" i="27"/>
  <c r="AN135" i="27"/>
  <c r="AJ135" i="27"/>
  <c r="AG135" i="27"/>
  <c r="AE135" i="27"/>
  <c r="AC135" i="27"/>
  <c r="AA135" i="27"/>
  <c r="Y135" i="27"/>
  <c r="W135" i="27"/>
  <c r="U135" i="27"/>
  <c r="S135" i="27"/>
  <c r="Q135" i="27"/>
  <c r="O135" i="27"/>
  <c r="M135" i="27"/>
  <c r="K135" i="27"/>
  <c r="I135" i="27"/>
  <c r="BE136" i="27"/>
  <c r="BC136" i="27"/>
  <c r="BA136" i="27"/>
  <c r="AY136" i="27"/>
  <c r="AW136" i="27"/>
  <c r="AU136" i="27"/>
  <c r="AS136" i="27"/>
  <c r="BD136" i="27"/>
  <c r="BB136" i="27"/>
  <c r="AZ136" i="27"/>
  <c r="AX136" i="27"/>
  <c r="AV136" i="27"/>
  <c r="AT136" i="27"/>
  <c r="AR136" i="27"/>
  <c r="AP136" i="27"/>
  <c r="AN136" i="27"/>
  <c r="AL136" i="27"/>
  <c r="AJ136" i="27"/>
  <c r="AH136" i="27"/>
  <c r="AF136" i="27"/>
  <c r="AD136" i="27"/>
  <c r="AB136" i="27"/>
  <c r="Z136" i="27"/>
  <c r="X136" i="27"/>
  <c r="V136" i="27"/>
  <c r="T136" i="27"/>
  <c r="R136" i="27"/>
  <c r="P136" i="27"/>
  <c r="N136" i="27"/>
  <c r="L136" i="27"/>
  <c r="J136" i="27"/>
  <c r="AO136" i="27"/>
  <c r="AK136" i="27"/>
  <c r="AG136" i="27"/>
  <c r="AC136" i="27"/>
  <c r="Y136" i="27"/>
  <c r="U136" i="27"/>
  <c r="Q136" i="27"/>
  <c r="M136" i="27"/>
  <c r="I136" i="27"/>
  <c r="AQ136" i="27"/>
  <c r="AM136" i="27"/>
  <c r="AI136" i="27"/>
  <c r="AE136" i="27"/>
  <c r="AA136" i="27"/>
  <c r="W136" i="27"/>
  <c r="S136" i="27"/>
  <c r="O136" i="27"/>
  <c r="K136" i="27"/>
  <c r="BE139" i="27"/>
  <c r="BC139" i="27"/>
  <c r="BA139" i="27"/>
  <c r="AY139" i="27"/>
  <c r="AW139" i="27"/>
  <c r="AU139" i="27"/>
  <c r="AS139" i="27"/>
  <c r="AQ139" i="27"/>
  <c r="AO139" i="27"/>
  <c r="AM139" i="27"/>
  <c r="AK139" i="27"/>
  <c r="AI139" i="27"/>
  <c r="AG139" i="27"/>
  <c r="AE139" i="27"/>
  <c r="AC139" i="27"/>
  <c r="AA139" i="27"/>
  <c r="Y139" i="27"/>
  <c r="W139" i="27"/>
  <c r="U139" i="27"/>
  <c r="S139" i="27"/>
  <c r="Q139" i="27"/>
  <c r="O139" i="27"/>
  <c r="M139" i="27"/>
  <c r="K139" i="27"/>
  <c r="I139" i="27"/>
  <c r="BD139" i="27"/>
  <c r="BB139" i="27"/>
  <c r="AZ139" i="27"/>
  <c r="AX139" i="27"/>
  <c r="AV139" i="27"/>
  <c r="AT139" i="27"/>
  <c r="AR139" i="27"/>
  <c r="AP139" i="27"/>
  <c r="AN139" i="27"/>
  <c r="AL139" i="27"/>
  <c r="AJ139" i="27"/>
  <c r="AH139" i="27"/>
  <c r="AF139" i="27"/>
  <c r="AD139" i="27"/>
  <c r="AB139" i="27"/>
  <c r="Z139" i="27"/>
  <c r="X139" i="27"/>
  <c r="V139" i="27"/>
  <c r="T139" i="27"/>
  <c r="R139" i="27"/>
  <c r="P139" i="27"/>
  <c r="N139" i="27"/>
  <c r="L139" i="27"/>
  <c r="J139" i="27"/>
  <c r="BE141" i="27"/>
  <c r="BC141" i="27"/>
  <c r="BA141" i="27"/>
  <c r="AY141" i="27"/>
  <c r="AW141" i="27"/>
  <c r="AU141" i="27"/>
  <c r="AS141" i="27"/>
  <c r="AQ141" i="27"/>
  <c r="AO141" i="27"/>
  <c r="AM141" i="27"/>
  <c r="AK141" i="27"/>
  <c r="AI141" i="27"/>
  <c r="AG141" i="27"/>
  <c r="AE141" i="27"/>
  <c r="AC141" i="27"/>
  <c r="AA141" i="27"/>
  <c r="Y141" i="27"/>
  <c r="W141" i="27"/>
  <c r="U141" i="27"/>
  <c r="S141" i="27"/>
  <c r="Q141" i="27"/>
  <c r="O141" i="27"/>
  <c r="M141" i="27"/>
  <c r="K141" i="27"/>
  <c r="I141" i="27"/>
  <c r="BB141" i="27"/>
  <c r="AX141" i="27"/>
  <c r="AT141" i="27"/>
  <c r="AP141" i="27"/>
  <c r="AL141" i="27"/>
  <c r="AH141" i="27"/>
  <c r="AD141" i="27"/>
  <c r="Z141" i="27"/>
  <c r="V141" i="27"/>
  <c r="R141" i="27"/>
  <c r="N141" i="27"/>
  <c r="J141" i="27"/>
  <c r="BD141" i="27"/>
  <c r="AZ141" i="27"/>
  <c r="AV141" i="27"/>
  <c r="AR141" i="27"/>
  <c r="AN141" i="27"/>
  <c r="AJ141" i="27"/>
  <c r="AF141" i="27"/>
  <c r="AB141" i="27"/>
  <c r="X141" i="27"/>
  <c r="T141" i="27"/>
  <c r="P141" i="27"/>
  <c r="L141" i="27"/>
  <c r="BB140" i="27"/>
  <c r="AX140" i="27"/>
  <c r="AT140" i="27"/>
  <c r="AP140" i="27"/>
  <c r="AL140" i="27"/>
  <c r="AH140" i="27"/>
  <c r="AD140" i="27"/>
  <c r="Z140" i="27"/>
  <c r="AY140" i="27"/>
  <c r="AQ140" i="27"/>
  <c r="AI140" i="27"/>
  <c r="AA140" i="27"/>
  <c r="V140" i="27"/>
  <c r="R140" i="27"/>
  <c r="N140" i="27"/>
  <c r="J140" i="27"/>
  <c r="BA140" i="27"/>
  <c r="AS140" i="27"/>
  <c r="AK140" i="27"/>
  <c r="AC140" i="27"/>
  <c r="W140" i="27"/>
  <c r="S140" i="27"/>
  <c r="O140" i="27"/>
  <c r="K140" i="27"/>
  <c r="BD140" i="27"/>
  <c r="AZ140" i="27"/>
  <c r="AV140" i="27"/>
  <c r="AR140" i="27"/>
  <c r="AN140" i="27"/>
  <c r="AJ140" i="27"/>
  <c r="AF140" i="27"/>
  <c r="AB140" i="27"/>
  <c r="BC140" i="27"/>
  <c r="AU140" i="27"/>
  <c r="AM140" i="27"/>
  <c r="AE140" i="27"/>
  <c r="X140" i="27"/>
  <c r="T140" i="27"/>
  <c r="P140" i="27"/>
  <c r="L140" i="27"/>
  <c r="BE140" i="27"/>
  <c r="AW140" i="27"/>
  <c r="AO140" i="27"/>
  <c r="AG140" i="27"/>
  <c r="Y140" i="27"/>
  <c r="U140" i="27"/>
  <c r="Q140" i="27"/>
  <c r="M140" i="27"/>
  <c r="I140" i="27"/>
  <c r="BD148" i="27"/>
  <c r="BB148" i="27"/>
  <c r="AZ148" i="27"/>
  <c r="AX148" i="27"/>
  <c r="AV148" i="27"/>
  <c r="AT148" i="27"/>
  <c r="AR148" i="27"/>
  <c r="AP148" i="27"/>
  <c r="AN148" i="27"/>
  <c r="AL148" i="27"/>
  <c r="AJ148" i="27"/>
  <c r="AH148" i="27"/>
  <c r="AF148" i="27"/>
  <c r="AD148" i="27"/>
  <c r="AB148" i="27"/>
  <c r="Z148" i="27"/>
  <c r="X148" i="27"/>
  <c r="V148" i="27"/>
  <c r="T148" i="27"/>
  <c r="R148" i="27"/>
  <c r="P148" i="27"/>
  <c r="N148" i="27"/>
  <c r="L148" i="27"/>
  <c r="J148" i="27"/>
  <c r="BC148" i="27"/>
  <c r="AY148" i="27"/>
  <c r="AU148" i="27"/>
  <c r="AQ148" i="27"/>
  <c r="AM148" i="27"/>
  <c r="AI148" i="27"/>
  <c r="AE148" i="27"/>
  <c r="AA148" i="27"/>
  <c r="W148" i="27"/>
  <c r="S148" i="27"/>
  <c r="O148" i="27"/>
  <c r="K148" i="27"/>
  <c r="BE148" i="27"/>
  <c r="BA148" i="27"/>
  <c r="AW148" i="27"/>
  <c r="AS148" i="27"/>
  <c r="AO148" i="27"/>
  <c r="AK148" i="27"/>
  <c r="AG148" i="27"/>
  <c r="AC148" i="27"/>
  <c r="Y148" i="27"/>
  <c r="U148" i="27"/>
  <c r="Q148" i="27"/>
  <c r="M148" i="27"/>
  <c r="I148" i="27"/>
  <c r="H62" i="27"/>
  <c r="H64" i="27" s="1"/>
  <c r="BD146" i="27"/>
  <c r="BB146" i="27"/>
  <c r="AZ146" i="27"/>
  <c r="AX146" i="27"/>
  <c r="AV146" i="27"/>
  <c r="AT146" i="27"/>
  <c r="AR146" i="27"/>
  <c r="AP146" i="27"/>
  <c r="AN146" i="27"/>
  <c r="AL146" i="27"/>
  <c r="AJ146" i="27"/>
  <c r="AH146" i="27"/>
  <c r="AF146" i="27"/>
  <c r="AD146" i="27"/>
  <c r="AB146" i="27"/>
  <c r="Z146" i="27"/>
  <c r="X146" i="27"/>
  <c r="V146" i="27"/>
  <c r="T146" i="27"/>
  <c r="R146" i="27"/>
  <c r="P146" i="27"/>
  <c r="N146" i="27"/>
  <c r="L146" i="27"/>
  <c r="J146" i="27"/>
  <c r="BE146" i="27"/>
  <c r="BA146" i="27"/>
  <c r="AW146" i="27"/>
  <c r="AS146" i="27"/>
  <c r="AO146" i="27"/>
  <c r="AK146" i="27"/>
  <c r="AG146" i="27"/>
  <c r="AC146" i="27"/>
  <c r="Y146" i="27"/>
  <c r="U146" i="27"/>
  <c r="Q146" i="27"/>
  <c r="M146" i="27"/>
  <c r="I146" i="27"/>
  <c r="BC146" i="27"/>
  <c r="AY146" i="27"/>
  <c r="AU146" i="27"/>
  <c r="AQ146" i="27"/>
  <c r="AM146" i="27"/>
  <c r="AI146" i="27"/>
  <c r="AE146" i="27"/>
  <c r="AA146" i="27"/>
  <c r="W146" i="27"/>
  <c r="S146" i="27"/>
  <c r="O146" i="27"/>
  <c r="K146" i="27"/>
  <c r="BE138" i="27"/>
  <c r="BC138" i="27"/>
  <c r="BA138" i="27"/>
  <c r="AY138" i="27"/>
  <c r="AW138" i="27"/>
  <c r="AU138" i="27"/>
  <c r="AS138" i="27"/>
  <c r="AQ138" i="27"/>
  <c r="AO138" i="27"/>
  <c r="AM138" i="27"/>
  <c r="AK138" i="27"/>
  <c r="AI138" i="27"/>
  <c r="AG138" i="27"/>
  <c r="AE138" i="27"/>
  <c r="AC138" i="27"/>
  <c r="AA138" i="27"/>
  <c r="Y138" i="27"/>
  <c r="W138" i="27"/>
  <c r="U138" i="27"/>
  <c r="S138" i="27"/>
  <c r="Q138" i="27"/>
  <c r="O138" i="27"/>
  <c r="M138" i="27"/>
  <c r="K138" i="27"/>
  <c r="I138" i="27"/>
  <c r="BD138" i="27"/>
  <c r="BB138" i="27"/>
  <c r="AZ138" i="27"/>
  <c r="AX138" i="27"/>
  <c r="AV138" i="27"/>
  <c r="AT138" i="27"/>
  <c r="AR138" i="27"/>
  <c r="AP138" i="27"/>
  <c r="AN138" i="27"/>
  <c r="AL138" i="27"/>
  <c r="AJ138" i="27"/>
  <c r="AH138" i="27"/>
  <c r="AF138" i="27"/>
  <c r="AD138" i="27"/>
  <c r="AB138" i="27"/>
  <c r="Z138" i="27"/>
  <c r="X138" i="27"/>
  <c r="V138" i="27"/>
  <c r="T138" i="27"/>
  <c r="R138" i="27"/>
  <c r="P138" i="27"/>
  <c r="N138" i="27"/>
  <c r="L138" i="27"/>
  <c r="J138" i="27"/>
  <c r="BE145" i="27"/>
  <c r="BC145" i="27"/>
  <c r="BA145" i="27"/>
  <c r="AY145" i="27"/>
  <c r="AW145" i="27"/>
  <c r="AU145" i="27"/>
  <c r="AS145" i="27"/>
  <c r="AQ145" i="27"/>
  <c r="AO145" i="27"/>
  <c r="AM145" i="27"/>
  <c r="AK145" i="27"/>
  <c r="AI145" i="27"/>
  <c r="AG145" i="27"/>
  <c r="AE145" i="27"/>
  <c r="AC145" i="27"/>
  <c r="AA145" i="27"/>
  <c r="Y145" i="27"/>
  <c r="W145" i="27"/>
  <c r="U145" i="27"/>
  <c r="S145" i="27"/>
  <c r="Q145" i="27"/>
  <c r="O145" i="27"/>
  <c r="M145" i="27"/>
  <c r="K145" i="27"/>
  <c r="I145" i="27"/>
  <c r="BB145" i="27"/>
  <c r="AX145" i="27"/>
  <c r="AT145" i="27"/>
  <c r="AP145" i="27"/>
  <c r="AL145" i="27"/>
  <c r="AH145" i="27"/>
  <c r="AD145" i="27"/>
  <c r="Z145" i="27"/>
  <c r="V145" i="27"/>
  <c r="R145" i="27"/>
  <c r="N145" i="27"/>
  <c r="J145" i="27"/>
  <c r="BD145" i="27"/>
  <c r="AZ145" i="27"/>
  <c r="AV145" i="27"/>
  <c r="AR145" i="27"/>
  <c r="AN145" i="27"/>
  <c r="AJ145" i="27"/>
  <c r="AF145" i="27"/>
  <c r="AB145" i="27"/>
  <c r="X145" i="27"/>
  <c r="T145" i="27"/>
  <c r="P145" i="27"/>
  <c r="L145" i="27"/>
  <c r="BE149" i="27"/>
  <c r="BC149" i="27"/>
  <c r="BA149" i="27"/>
  <c r="AY149" i="27"/>
  <c r="AW149" i="27"/>
  <c r="AU149" i="27"/>
  <c r="AS149" i="27"/>
  <c r="AQ149" i="27"/>
  <c r="AO149" i="27"/>
  <c r="AM149" i="27"/>
  <c r="AK149" i="27"/>
  <c r="AI149" i="27"/>
  <c r="AG149" i="27"/>
  <c r="AE149" i="27"/>
  <c r="AC149" i="27"/>
  <c r="AA149" i="27"/>
  <c r="Y149" i="27"/>
  <c r="W149" i="27"/>
  <c r="U149" i="27"/>
  <c r="S149" i="27"/>
  <c r="Q149" i="27"/>
  <c r="O149" i="27"/>
  <c r="M149" i="27"/>
  <c r="K149" i="27"/>
  <c r="I149" i="27"/>
  <c r="BB149" i="27"/>
  <c r="AX149" i="27"/>
  <c r="AT149" i="27"/>
  <c r="AP149" i="27"/>
  <c r="AL149" i="27"/>
  <c r="AH149" i="27"/>
  <c r="AD149" i="27"/>
  <c r="Z149" i="27"/>
  <c r="V149" i="27"/>
  <c r="R149" i="27"/>
  <c r="N149" i="27"/>
  <c r="J149" i="27"/>
  <c r="BD149" i="27"/>
  <c r="AZ149" i="27"/>
  <c r="AV149" i="27"/>
  <c r="AR149" i="27"/>
  <c r="AN149" i="27"/>
  <c r="AJ149" i="27"/>
  <c r="AF149" i="27"/>
  <c r="AB149" i="27"/>
  <c r="X149" i="27"/>
  <c r="T149" i="27"/>
  <c r="P149" i="27"/>
  <c r="L149" i="27"/>
  <c r="BE131" i="27"/>
  <c r="BC131" i="27"/>
  <c r="BA131" i="27"/>
  <c r="AY131" i="27"/>
  <c r="AW131" i="27"/>
  <c r="AU131" i="27"/>
  <c r="AS131" i="27"/>
  <c r="AQ131" i="27"/>
  <c r="AO131" i="27"/>
  <c r="AM131" i="27"/>
  <c r="AK131" i="27"/>
  <c r="AI131" i="27"/>
  <c r="AG131" i="27"/>
  <c r="AE131" i="27"/>
  <c r="AC131" i="27"/>
  <c r="AA131" i="27"/>
  <c r="Y131" i="27"/>
  <c r="W131" i="27"/>
  <c r="U131" i="27"/>
  <c r="S131" i="27"/>
  <c r="Q131" i="27"/>
  <c r="O131" i="27"/>
  <c r="M131" i="27"/>
  <c r="K131" i="27"/>
  <c r="I131" i="27"/>
  <c r="BD131" i="27"/>
  <c r="BB131" i="27"/>
  <c r="AZ131" i="27"/>
  <c r="AX131" i="27"/>
  <c r="AV131" i="27"/>
  <c r="AT131" i="27"/>
  <c r="AR131" i="27"/>
  <c r="AP131" i="27"/>
  <c r="AN131" i="27"/>
  <c r="AL131" i="27"/>
  <c r="AJ131" i="27"/>
  <c r="AH131" i="27"/>
  <c r="AF131" i="27"/>
  <c r="AD131" i="27"/>
  <c r="AB131" i="27"/>
  <c r="Z131" i="27"/>
  <c r="X131" i="27"/>
  <c r="V131" i="27"/>
  <c r="T131" i="27"/>
  <c r="R131" i="27"/>
  <c r="P131" i="27"/>
  <c r="N131" i="27"/>
  <c r="L131" i="27"/>
  <c r="J131" i="27"/>
  <c r="BD133" i="27"/>
  <c r="BB133" i="27"/>
  <c r="AZ133" i="27"/>
  <c r="AX133" i="27"/>
  <c r="AV133" i="27"/>
  <c r="AT133" i="27"/>
  <c r="AR133" i="27"/>
  <c r="AP133" i="27"/>
  <c r="AN133" i="27"/>
  <c r="AL133" i="27"/>
  <c r="AJ133" i="27"/>
  <c r="AH133" i="27"/>
  <c r="AF133" i="27"/>
  <c r="AD133" i="27"/>
  <c r="AB133" i="27"/>
  <c r="Z133" i="27"/>
  <c r="X133" i="27"/>
  <c r="V133" i="27"/>
  <c r="T133" i="27"/>
  <c r="R133" i="27"/>
  <c r="P133" i="27"/>
  <c r="N133" i="27"/>
  <c r="L133" i="27"/>
  <c r="J133" i="27"/>
  <c r="BE133" i="27"/>
  <c r="BC133" i="27"/>
  <c r="BA133" i="27"/>
  <c r="AY133" i="27"/>
  <c r="AW133" i="27"/>
  <c r="AU133" i="27"/>
  <c r="AS133" i="27"/>
  <c r="AQ133" i="27"/>
  <c r="AO133" i="27"/>
  <c r="AM133" i="27"/>
  <c r="AK133" i="27"/>
  <c r="AI133" i="27"/>
  <c r="AG133" i="27"/>
  <c r="AE133" i="27"/>
  <c r="AC133" i="27"/>
  <c r="AA133" i="27"/>
  <c r="Y133" i="27"/>
  <c r="W133" i="27"/>
  <c r="U133" i="27"/>
  <c r="S133" i="27"/>
  <c r="Q133" i="27"/>
  <c r="O133" i="27"/>
  <c r="M133" i="27"/>
  <c r="K133" i="27"/>
  <c r="I133" i="27"/>
  <c r="BE134" i="27"/>
  <c r="BC134" i="27"/>
  <c r="BA134" i="27"/>
  <c r="AY134" i="27"/>
  <c r="AW134" i="27"/>
  <c r="AU134" i="27"/>
  <c r="AS134" i="27"/>
  <c r="AQ134" i="27"/>
  <c r="AO134" i="27"/>
  <c r="AM134" i="27"/>
  <c r="AK134" i="27"/>
  <c r="AI134" i="27"/>
  <c r="AG134" i="27"/>
  <c r="AE134" i="27"/>
  <c r="AC134" i="27"/>
  <c r="AA134" i="27"/>
  <c r="Y134" i="27"/>
  <c r="W134" i="27"/>
  <c r="U134" i="27"/>
  <c r="S134" i="27"/>
  <c r="Q134" i="27"/>
  <c r="O134" i="27"/>
  <c r="M134" i="27"/>
  <c r="K134" i="27"/>
  <c r="I134" i="27"/>
  <c r="BD134" i="27"/>
  <c r="BB134" i="27"/>
  <c r="AZ134" i="27"/>
  <c r="AX134" i="27"/>
  <c r="AV134" i="27"/>
  <c r="AT134" i="27"/>
  <c r="AR134" i="27"/>
  <c r="AP134" i="27"/>
  <c r="AN134" i="27"/>
  <c r="AL134" i="27"/>
  <c r="AJ134" i="27"/>
  <c r="AH134" i="27"/>
  <c r="AF134" i="27"/>
  <c r="AD134" i="27"/>
  <c r="AB134" i="27"/>
  <c r="Z134" i="27"/>
  <c r="X134" i="27"/>
  <c r="V134" i="27"/>
  <c r="T134" i="27"/>
  <c r="R134" i="27"/>
  <c r="P134" i="27"/>
  <c r="N134" i="27"/>
  <c r="L134" i="27"/>
  <c r="J134" i="27"/>
  <c r="BD137" i="27"/>
  <c r="BB137" i="27"/>
  <c r="AZ137" i="27"/>
  <c r="AX137" i="27"/>
  <c r="AV137" i="27"/>
  <c r="AT137" i="27"/>
  <c r="AR137" i="27"/>
  <c r="AP137" i="27"/>
  <c r="AN137" i="27"/>
  <c r="AL137" i="27"/>
  <c r="AJ137" i="27"/>
  <c r="AH137" i="27"/>
  <c r="AF137" i="27"/>
  <c r="AD137" i="27"/>
  <c r="AB137" i="27"/>
  <c r="Z137" i="27"/>
  <c r="X137" i="27"/>
  <c r="V137" i="27"/>
  <c r="T137" i="27"/>
  <c r="R137" i="27"/>
  <c r="P137" i="27"/>
  <c r="N137" i="27"/>
  <c r="L137" i="27"/>
  <c r="J137" i="27"/>
  <c r="BE137" i="27"/>
  <c r="BC137" i="27"/>
  <c r="BA137" i="27"/>
  <c r="AY137" i="27"/>
  <c r="AW137" i="27"/>
  <c r="AU137" i="27"/>
  <c r="AS137" i="27"/>
  <c r="AQ137" i="27"/>
  <c r="AO137" i="27"/>
  <c r="AM137" i="27"/>
  <c r="AK137" i="27"/>
  <c r="AI137" i="27"/>
  <c r="AG137" i="27"/>
  <c r="AE137" i="27"/>
  <c r="AC137" i="27"/>
  <c r="AA137" i="27"/>
  <c r="Y137" i="27"/>
  <c r="W137" i="27"/>
  <c r="U137" i="27"/>
  <c r="S137" i="27"/>
  <c r="Q137" i="27"/>
  <c r="O137" i="27"/>
  <c r="M137" i="27"/>
  <c r="K137" i="27"/>
  <c r="I137" i="27"/>
  <c r="BD144" i="27"/>
  <c r="BB144" i="27"/>
  <c r="AZ144" i="27"/>
  <c r="AX144" i="27"/>
  <c r="AV144" i="27"/>
  <c r="AT144" i="27"/>
  <c r="AR144" i="27"/>
  <c r="AP144" i="27"/>
  <c r="AN144" i="27"/>
  <c r="AL144" i="27"/>
  <c r="AJ144" i="27"/>
  <c r="AH144" i="27"/>
  <c r="AF144" i="27"/>
  <c r="AD144" i="27"/>
  <c r="AB144" i="27"/>
  <c r="Z144" i="27"/>
  <c r="X144" i="27"/>
  <c r="V144" i="27"/>
  <c r="T144" i="27"/>
  <c r="R144" i="27"/>
  <c r="P144" i="27"/>
  <c r="N144" i="27"/>
  <c r="L144" i="27"/>
  <c r="J144" i="27"/>
  <c r="BC144" i="27"/>
  <c r="AY144" i="27"/>
  <c r="AU144" i="27"/>
  <c r="AQ144" i="27"/>
  <c r="AM144" i="27"/>
  <c r="AI144" i="27"/>
  <c r="AE144" i="27"/>
  <c r="AA144" i="27"/>
  <c r="W144" i="27"/>
  <c r="S144" i="27"/>
  <c r="O144" i="27"/>
  <c r="K144" i="27"/>
  <c r="BE144" i="27"/>
  <c r="BA144" i="27"/>
  <c r="AW144" i="27"/>
  <c r="AS144" i="27"/>
  <c r="AO144" i="27"/>
  <c r="AK144" i="27"/>
  <c r="AG144" i="27"/>
  <c r="AC144" i="27"/>
  <c r="Y144" i="27"/>
  <c r="U144" i="27"/>
  <c r="Q144" i="27"/>
  <c r="M144" i="27"/>
  <c r="I144" i="27"/>
  <c r="I63" i="37" l="1"/>
  <c r="I64" i="37"/>
  <c r="J62" i="37"/>
  <c r="J64" i="36"/>
  <c r="K62" i="36"/>
  <c r="J63" i="36"/>
  <c r="H63" i="34"/>
  <c r="H64" i="34"/>
  <c r="I62" i="34"/>
  <c r="J64" i="32"/>
  <c r="K62" i="32"/>
  <c r="J63" i="32"/>
  <c r="J64" i="33"/>
  <c r="K62" i="33"/>
  <c r="J63" i="33"/>
  <c r="I63" i="35"/>
  <c r="I64" i="35"/>
  <c r="J62" i="35"/>
  <c r="H64" i="31"/>
  <c r="I62" i="31"/>
  <c r="H63" i="31"/>
  <c r="K62" i="30"/>
  <c r="J63" i="30"/>
  <c r="J64" i="30"/>
  <c r="O127" i="27"/>
  <c r="AD127" i="27" s="1"/>
  <c r="AC127" i="27"/>
  <c r="BF137" i="27"/>
  <c r="BF140" i="27"/>
  <c r="H63" i="29"/>
  <c r="I62" i="29"/>
  <c r="H64" i="29"/>
  <c r="BF135" i="27"/>
  <c r="I62" i="27"/>
  <c r="I64" i="27" s="1"/>
  <c r="BF133" i="27"/>
  <c r="BF149" i="27"/>
  <c r="BF138" i="27"/>
  <c r="BF139" i="27"/>
  <c r="BF136" i="27"/>
  <c r="BF129" i="27"/>
  <c r="BF147" i="27"/>
  <c r="BF142" i="27"/>
  <c r="BF144" i="27"/>
  <c r="BF134" i="27"/>
  <c r="BF131" i="27"/>
  <c r="BF145" i="27"/>
  <c r="BF146" i="27"/>
  <c r="BF148" i="27"/>
  <c r="BF141" i="27"/>
  <c r="BF132" i="27"/>
  <c r="BF130" i="27"/>
  <c r="BF143" i="27"/>
  <c r="J63" i="37" l="1"/>
  <c r="J64" i="37"/>
  <c r="K62" i="37"/>
  <c r="L62" i="36"/>
  <c r="K64" i="36"/>
  <c r="K63" i="36"/>
  <c r="J64" i="35"/>
  <c r="K62" i="35"/>
  <c r="J63" i="35"/>
  <c r="L62" i="33"/>
  <c r="K63" i="33"/>
  <c r="K64" i="33"/>
  <c r="I64" i="34"/>
  <c r="J62" i="34"/>
  <c r="I63" i="34"/>
  <c r="L62" i="32"/>
  <c r="K63" i="32"/>
  <c r="K64" i="32"/>
  <c r="K63" i="30"/>
  <c r="K64" i="30"/>
  <c r="L62" i="30"/>
  <c r="J62" i="31"/>
  <c r="I63" i="31"/>
  <c r="I64" i="31"/>
  <c r="I64" i="29"/>
  <c r="I63" i="29"/>
  <c r="J62" i="29"/>
  <c r="J62" i="27"/>
  <c r="J64" i="27" s="1"/>
  <c r="L63" i="36" l="1"/>
  <c r="M62" i="36"/>
  <c r="L64" i="36"/>
  <c r="K64" i="37"/>
  <c r="L62" i="37"/>
  <c r="K63" i="37"/>
  <c r="K62" i="34"/>
  <c r="J63" i="34"/>
  <c r="J64" i="34"/>
  <c r="M62" i="32"/>
  <c r="L63" i="32"/>
  <c r="L64" i="32"/>
  <c r="K64" i="35"/>
  <c r="K63" i="35"/>
  <c r="L62" i="35"/>
  <c r="L63" i="33"/>
  <c r="L64" i="33"/>
  <c r="M62" i="33"/>
  <c r="J63" i="31"/>
  <c r="K62" i="31"/>
  <c r="J64" i="31"/>
  <c r="L63" i="30"/>
  <c r="L64" i="30"/>
  <c r="M62" i="30"/>
  <c r="J63" i="29"/>
  <c r="K62" i="29"/>
  <c r="J64" i="29"/>
  <c r="K62" i="27"/>
  <c r="K64" i="27" s="1"/>
  <c r="M63" i="36" l="1"/>
  <c r="M64" i="36"/>
  <c r="N62" i="36"/>
  <c r="M62" i="37"/>
  <c r="L63" i="37"/>
  <c r="L64" i="37"/>
  <c r="M63" i="33"/>
  <c r="M64" i="33"/>
  <c r="N62" i="33"/>
  <c r="M63" i="32"/>
  <c r="M64" i="32"/>
  <c r="N62" i="32"/>
  <c r="L64" i="35"/>
  <c r="L63" i="35"/>
  <c r="M62" i="35"/>
  <c r="K63" i="34"/>
  <c r="K64" i="34"/>
  <c r="L62" i="34"/>
  <c r="M64" i="30"/>
  <c r="N62" i="30"/>
  <c r="M63" i="30"/>
  <c r="K63" i="31"/>
  <c r="K64" i="31"/>
  <c r="L62" i="31"/>
  <c r="K64" i="29"/>
  <c r="K63" i="29"/>
  <c r="L62" i="29"/>
  <c r="L62" i="27"/>
  <c r="L64" i="27" s="1"/>
  <c r="N64" i="36" l="1"/>
  <c r="O62" i="36"/>
  <c r="N63" i="36"/>
  <c r="M63" i="37"/>
  <c r="M64" i="37"/>
  <c r="N62" i="37"/>
  <c r="N64" i="33"/>
  <c r="O62" i="33"/>
  <c r="N63" i="33"/>
  <c r="L63" i="34"/>
  <c r="L64" i="34"/>
  <c r="M62" i="34"/>
  <c r="N64" i="32"/>
  <c r="N63" i="32"/>
  <c r="O62" i="32"/>
  <c r="M64" i="35"/>
  <c r="N62" i="35"/>
  <c r="M63" i="35"/>
  <c r="L64" i="31"/>
  <c r="M62" i="31"/>
  <c r="L63" i="31"/>
  <c r="O62" i="30"/>
  <c r="N63" i="30"/>
  <c r="N64" i="30"/>
  <c r="L63" i="29"/>
  <c r="M62" i="29"/>
  <c r="L64" i="29"/>
  <c r="M62" i="27"/>
  <c r="M64" i="27" s="1"/>
  <c r="N63" i="37" l="1"/>
  <c r="N64" i="37"/>
  <c r="O62" i="37"/>
  <c r="P62" i="36"/>
  <c r="O63" i="36"/>
  <c r="O64" i="36"/>
  <c r="M64" i="34"/>
  <c r="N62" i="34"/>
  <c r="M63" i="34"/>
  <c r="P62" i="33"/>
  <c r="O63" i="33"/>
  <c r="O64" i="33"/>
  <c r="O62" i="35"/>
  <c r="N63" i="35"/>
  <c r="N64" i="35"/>
  <c r="P62" i="32"/>
  <c r="O64" i="32"/>
  <c r="O63" i="32"/>
  <c r="O63" i="30"/>
  <c r="P62" i="30"/>
  <c r="O64" i="30"/>
  <c r="N62" i="31"/>
  <c r="M64" i="31"/>
  <c r="M63" i="31"/>
  <c r="M64" i="29"/>
  <c r="M63" i="29"/>
  <c r="N62" i="29"/>
  <c r="N62" i="27"/>
  <c r="N64" i="27" s="1"/>
  <c r="P63" i="36" l="1"/>
  <c r="P64" i="36"/>
  <c r="Q62" i="36"/>
  <c r="O64" i="37"/>
  <c r="P62" i="37"/>
  <c r="O63" i="37"/>
  <c r="O64" i="35"/>
  <c r="O63" i="35"/>
  <c r="P62" i="35"/>
  <c r="P63" i="33"/>
  <c r="P64" i="33"/>
  <c r="Q62" i="33"/>
  <c r="P63" i="32"/>
  <c r="P64" i="32"/>
  <c r="Q62" i="32"/>
  <c r="O62" i="34"/>
  <c r="N63" i="34"/>
  <c r="N64" i="34"/>
  <c r="N63" i="31"/>
  <c r="N64" i="31"/>
  <c r="O62" i="31"/>
  <c r="P63" i="30"/>
  <c r="P64" i="30"/>
  <c r="Q62" i="30"/>
  <c r="N63" i="29"/>
  <c r="O62" i="29"/>
  <c r="N64" i="29"/>
  <c r="O62" i="27"/>
  <c r="O64" i="27" s="1"/>
  <c r="Q63" i="36" l="1"/>
  <c r="Q64" i="36"/>
  <c r="R62" i="36"/>
  <c r="Q62" i="37"/>
  <c r="P63" i="37"/>
  <c r="P64" i="37"/>
  <c r="P64" i="35"/>
  <c r="P63" i="35"/>
  <c r="Q62" i="35"/>
  <c r="O63" i="34"/>
  <c r="O64" i="34"/>
  <c r="P62" i="34"/>
  <c r="Q63" i="33"/>
  <c r="Q64" i="33"/>
  <c r="R62" i="33"/>
  <c r="Q63" i="32"/>
  <c r="Q64" i="32"/>
  <c r="R62" i="32"/>
  <c r="O63" i="31"/>
  <c r="O64" i="31"/>
  <c r="P62" i="31"/>
  <c r="Q64" i="30"/>
  <c r="R62" i="30"/>
  <c r="Q63" i="30"/>
  <c r="O64" i="29"/>
  <c r="O63" i="29"/>
  <c r="P62" i="29"/>
  <c r="P62" i="27"/>
  <c r="P64" i="27" s="1"/>
  <c r="Q63" i="37" l="1"/>
  <c r="Q64" i="37"/>
  <c r="R62" i="37"/>
  <c r="R64" i="36"/>
  <c r="S62" i="36"/>
  <c r="R63" i="36"/>
  <c r="R64" i="33"/>
  <c r="S62" i="33"/>
  <c r="R63" i="33"/>
  <c r="R64" i="32"/>
  <c r="S62" i="32"/>
  <c r="R63" i="32"/>
  <c r="Q64" i="35"/>
  <c r="R62" i="35"/>
  <c r="Q63" i="35"/>
  <c r="P63" i="34"/>
  <c r="P64" i="34"/>
  <c r="Q62" i="34"/>
  <c r="P64" i="31"/>
  <c r="Q62" i="31"/>
  <c r="P63" i="31"/>
  <c r="S62" i="30"/>
  <c r="R63" i="30"/>
  <c r="R64" i="30"/>
  <c r="P63" i="29"/>
  <c r="Q62" i="29"/>
  <c r="P64" i="29"/>
  <c r="Q62" i="27"/>
  <c r="Q64" i="27" s="1"/>
  <c r="R63" i="37" l="1"/>
  <c r="R64" i="37"/>
  <c r="S62" i="37"/>
  <c r="T62" i="36"/>
  <c r="S64" i="36"/>
  <c r="S63" i="36"/>
  <c r="Q64" i="34"/>
  <c r="R62" i="34"/>
  <c r="Q63" i="34"/>
  <c r="R64" i="35"/>
  <c r="S62" i="35"/>
  <c r="R63" i="35"/>
  <c r="T62" i="33"/>
  <c r="S63" i="33"/>
  <c r="S64" i="33"/>
  <c r="T62" i="32"/>
  <c r="S64" i="32"/>
  <c r="S63" i="32"/>
  <c r="S63" i="30"/>
  <c r="S64" i="30"/>
  <c r="T62" i="30"/>
  <c r="R62" i="31"/>
  <c r="Q63" i="31"/>
  <c r="Q64" i="31"/>
  <c r="Q64" i="29"/>
  <c r="Q63" i="29"/>
  <c r="R62" i="29"/>
  <c r="R62" i="27"/>
  <c r="R64" i="27" s="1"/>
  <c r="U62" i="36" l="1"/>
  <c r="T63" i="36"/>
  <c r="T64" i="36"/>
  <c r="S64" i="37"/>
  <c r="T62" i="37"/>
  <c r="S63" i="37"/>
  <c r="T63" i="33"/>
  <c r="T64" i="33"/>
  <c r="U62" i="33"/>
  <c r="U62" i="32"/>
  <c r="T63" i="32"/>
  <c r="T64" i="32"/>
  <c r="S62" i="34"/>
  <c r="R63" i="34"/>
  <c r="R64" i="34"/>
  <c r="S63" i="35"/>
  <c r="T62" i="35"/>
  <c r="S64" i="35"/>
  <c r="R63" i="31"/>
  <c r="S62" i="31"/>
  <c r="R64" i="31"/>
  <c r="T63" i="30"/>
  <c r="T64" i="30"/>
  <c r="U62" i="30"/>
  <c r="R63" i="29"/>
  <c r="S62" i="29"/>
  <c r="R64" i="29"/>
  <c r="S62" i="27"/>
  <c r="S64" i="27" s="1"/>
  <c r="U62" i="37" l="1"/>
  <c r="T63" i="37"/>
  <c r="T64" i="37"/>
  <c r="U63" i="36"/>
  <c r="U64" i="36"/>
  <c r="V62" i="36"/>
  <c r="U63" i="32"/>
  <c r="U64" i="32"/>
  <c r="V62" i="32"/>
  <c r="T64" i="35"/>
  <c r="T63" i="35"/>
  <c r="U62" i="35"/>
  <c r="S63" i="34"/>
  <c r="S64" i="34"/>
  <c r="T62" i="34"/>
  <c r="U63" i="33"/>
  <c r="U64" i="33"/>
  <c r="V62" i="33"/>
  <c r="U64" i="30"/>
  <c r="V62" i="30"/>
  <c r="U63" i="30"/>
  <c r="S63" i="31"/>
  <c r="S64" i="31"/>
  <c r="T62" i="31"/>
  <c r="S64" i="29"/>
  <c r="S63" i="29"/>
  <c r="T62" i="29"/>
  <c r="T62" i="27"/>
  <c r="T64" i="27" s="1"/>
  <c r="V64" i="36" l="1"/>
  <c r="V63" i="36"/>
  <c r="W62" i="36"/>
  <c r="U63" i="37"/>
  <c r="U64" i="37"/>
  <c r="V62" i="37"/>
  <c r="V64" i="33"/>
  <c r="W62" i="33"/>
  <c r="V63" i="33"/>
  <c r="V64" i="32"/>
  <c r="W62" i="32"/>
  <c r="V63" i="32"/>
  <c r="U64" i="35"/>
  <c r="U63" i="35"/>
  <c r="V62" i="35"/>
  <c r="T63" i="34"/>
  <c r="T64" i="34"/>
  <c r="U62" i="34"/>
  <c r="T64" i="31"/>
  <c r="U62" i="31"/>
  <c r="T63" i="31"/>
  <c r="W62" i="30"/>
  <c r="V63" i="30"/>
  <c r="V64" i="30"/>
  <c r="T63" i="29"/>
  <c r="U62" i="29"/>
  <c r="T64" i="29"/>
  <c r="U62" i="27"/>
  <c r="U64" i="27" s="1"/>
  <c r="X62" i="36" l="1"/>
  <c r="W64" i="36"/>
  <c r="W63" i="36"/>
  <c r="V63" i="37"/>
  <c r="V64" i="37"/>
  <c r="W62" i="37"/>
  <c r="U64" i="34"/>
  <c r="V62" i="34"/>
  <c r="U63" i="34"/>
  <c r="X62" i="33"/>
  <c r="W63" i="33"/>
  <c r="W64" i="33"/>
  <c r="W62" i="35"/>
  <c r="V64" i="35"/>
  <c r="V63" i="35"/>
  <c r="X62" i="32"/>
  <c r="W63" i="32"/>
  <c r="W64" i="32"/>
  <c r="W63" i="30"/>
  <c r="W64" i="30"/>
  <c r="X62" i="30"/>
  <c r="V62" i="31"/>
  <c r="U64" i="31"/>
  <c r="U63" i="31"/>
  <c r="U64" i="29"/>
  <c r="U63" i="29"/>
  <c r="V62" i="29"/>
  <c r="V62" i="27"/>
  <c r="V64" i="27" s="1"/>
  <c r="W64" i="37" l="1"/>
  <c r="X62" i="37"/>
  <c r="W63" i="37"/>
  <c r="X63" i="36"/>
  <c r="Y62" i="36"/>
  <c r="X64" i="36"/>
  <c r="W63" i="35"/>
  <c r="W64" i="35"/>
  <c r="X62" i="35"/>
  <c r="Y62" i="32"/>
  <c r="X63" i="32"/>
  <c r="X64" i="32"/>
  <c r="W62" i="34"/>
  <c r="V63" i="34"/>
  <c r="V64" i="34"/>
  <c r="X63" i="33"/>
  <c r="X64" i="33"/>
  <c r="Y62" i="33"/>
  <c r="V63" i="31"/>
  <c r="V64" i="31"/>
  <c r="W62" i="31"/>
  <c r="X63" i="30"/>
  <c r="X64" i="30"/>
  <c r="Y62" i="30"/>
  <c r="V63" i="29"/>
  <c r="W62" i="29"/>
  <c r="V64" i="29"/>
  <c r="W62" i="27"/>
  <c r="W64" i="27" s="1"/>
  <c r="Y62" i="37" l="1"/>
  <c r="X63" i="37"/>
  <c r="X64" i="37"/>
  <c r="Y63" i="36"/>
  <c r="Y64" i="36"/>
  <c r="Z62" i="36"/>
  <c r="Y63" i="32"/>
  <c r="Y64" i="32"/>
  <c r="Z62" i="32"/>
  <c r="W63" i="34"/>
  <c r="W64" i="34"/>
  <c r="X62" i="34"/>
  <c r="X64" i="35"/>
  <c r="Y62" i="35"/>
  <c r="X63" i="35"/>
  <c r="Y63" i="33"/>
  <c r="Y64" i="33"/>
  <c r="Z62" i="33"/>
  <c r="Y64" i="30"/>
  <c r="Z62" i="30"/>
  <c r="Y63" i="30"/>
  <c r="W63" i="31"/>
  <c r="W64" i="31"/>
  <c r="X62" i="31"/>
  <c r="W64" i="29"/>
  <c r="W63" i="29"/>
  <c r="X62" i="29"/>
  <c r="X62" i="27"/>
  <c r="X64" i="27" s="1"/>
  <c r="Z64" i="36" l="1"/>
  <c r="AA62" i="36"/>
  <c r="Z63" i="36"/>
  <c r="Y63" i="37"/>
  <c r="Y64" i="37"/>
  <c r="Z62" i="37"/>
  <c r="Z64" i="33"/>
  <c r="AA62" i="33"/>
  <c r="Z63" i="33"/>
  <c r="Y64" i="35"/>
  <c r="Y63" i="35"/>
  <c r="Z62" i="35"/>
  <c r="Z64" i="32"/>
  <c r="AA62" i="32"/>
  <c r="Z63" i="32"/>
  <c r="X63" i="34"/>
  <c r="X64" i="34"/>
  <c r="Y62" i="34"/>
  <c r="X64" i="31"/>
  <c r="Y62" i="31"/>
  <c r="X63" i="31"/>
  <c r="AA62" i="30"/>
  <c r="Z63" i="30"/>
  <c r="Z64" i="30"/>
  <c r="X63" i="29"/>
  <c r="Y62" i="29"/>
  <c r="X64" i="29"/>
  <c r="Y62" i="27"/>
  <c r="Y64" i="27" s="1"/>
  <c r="Z63" i="37" l="1"/>
  <c r="Z64" i="37"/>
  <c r="AA62" i="37"/>
  <c r="AB62" i="36"/>
  <c r="AA63" i="36"/>
  <c r="AA64" i="36"/>
  <c r="Y64" i="34"/>
  <c r="Z62" i="34"/>
  <c r="Y63" i="34"/>
  <c r="AB62" i="32"/>
  <c r="AA64" i="32"/>
  <c r="AA63" i="32"/>
  <c r="Z64" i="35"/>
  <c r="Z63" i="35"/>
  <c r="AA62" i="35"/>
  <c r="AB62" i="33"/>
  <c r="AA63" i="33"/>
  <c r="AA64" i="33"/>
  <c r="AA63" i="30"/>
  <c r="AA64" i="30"/>
  <c r="AB62" i="30"/>
  <c r="Z62" i="31"/>
  <c r="Y63" i="31"/>
  <c r="Y64" i="31"/>
  <c r="Y64" i="29"/>
  <c r="Y63" i="29"/>
  <c r="Z62" i="29"/>
  <c r="Z62" i="27"/>
  <c r="Z64" i="27" s="1"/>
  <c r="AB63" i="36" l="1"/>
  <c r="AB64" i="36"/>
  <c r="AC62" i="36"/>
  <c r="AA64" i="37"/>
  <c r="AB62" i="37"/>
  <c r="AA63" i="37"/>
  <c r="AB63" i="32"/>
  <c r="AB64" i="32"/>
  <c r="AC62" i="32"/>
  <c r="AB63" i="33"/>
  <c r="AB64" i="33"/>
  <c r="AC62" i="33"/>
  <c r="AA62" i="34"/>
  <c r="Z63" i="34"/>
  <c r="Z64" i="34"/>
  <c r="AA63" i="35"/>
  <c r="AA64" i="35"/>
  <c r="AB62" i="35"/>
  <c r="Z63" i="31"/>
  <c r="AA62" i="31"/>
  <c r="Z64" i="31"/>
  <c r="AB63" i="30"/>
  <c r="AB64" i="30"/>
  <c r="AC62" i="30"/>
  <c r="Z63" i="29"/>
  <c r="AA62" i="29"/>
  <c r="Z64" i="29"/>
  <c r="AA62" i="27"/>
  <c r="AA64" i="27" s="1"/>
  <c r="AC63" i="36" l="1"/>
  <c r="AC64" i="36"/>
  <c r="AC62" i="37"/>
  <c r="AB63" i="37"/>
  <c r="AB64" i="37"/>
  <c r="AC63" i="33"/>
  <c r="AC64" i="33"/>
  <c r="AB64" i="35"/>
  <c r="AB63" i="35"/>
  <c r="AC62" i="35"/>
  <c r="AA63" i="34"/>
  <c r="AA64" i="34"/>
  <c r="AB62" i="34"/>
  <c r="AC63" i="32"/>
  <c r="AC64" i="32"/>
  <c r="AC64" i="30"/>
  <c r="AC63" i="30"/>
  <c r="AA63" i="31"/>
  <c r="AA64" i="31"/>
  <c r="AB62" i="31"/>
  <c r="AA64" i="29"/>
  <c r="AA63" i="29"/>
  <c r="AB62" i="29"/>
  <c r="AB62" i="27"/>
  <c r="AB64" i="27" s="1"/>
  <c r="AC63" i="37" l="1"/>
  <c r="AC64" i="37"/>
  <c r="AB63" i="34"/>
  <c r="AB64" i="34"/>
  <c r="AC62" i="34"/>
  <c r="AC64" i="35"/>
  <c r="AC63" i="35"/>
  <c r="AB64" i="31"/>
  <c r="AC62" i="31"/>
  <c r="AB63" i="31"/>
  <c r="AB63" i="29"/>
  <c r="AC62" i="29"/>
  <c r="AB64" i="29"/>
  <c r="AC62" i="27"/>
  <c r="AC64" i="27" s="1"/>
  <c r="AC64" i="34" l="1"/>
  <c r="AC63" i="34"/>
  <c r="AC64" i="31"/>
  <c r="AC63" i="31"/>
  <c r="AC64" i="29"/>
  <c r="AC63" i="29"/>
  <c r="N50" i="21"/>
  <c r="N62" i="21"/>
  <c r="D46" i="21"/>
  <c r="A3" i="22" l="1"/>
  <c r="A82" i="21" l="1"/>
  <c r="A81" i="21"/>
  <c r="A80" i="21"/>
  <c r="S74" i="21" l="1"/>
  <c r="S76" i="21"/>
  <c r="S75" i="21"/>
  <c r="M100" i="21"/>
  <c r="H100" i="21"/>
  <c r="C100" i="21"/>
  <c r="A78" i="21"/>
  <c r="A77" i="21"/>
  <c r="D83" i="21" s="1"/>
  <c r="A76" i="21"/>
  <c r="E62" i="21"/>
  <c r="A59" i="21"/>
  <c r="E20" i="21"/>
  <c r="D20" i="21"/>
  <c r="D19" i="21"/>
  <c r="D18" i="21"/>
  <c r="D17" i="21"/>
  <c r="Q31" i="27"/>
  <c r="N63" i="27"/>
  <c r="O63" i="27"/>
  <c r="D63" i="27"/>
  <c r="Z63" i="27"/>
  <c r="C63" i="27"/>
  <c r="F63" i="27"/>
  <c r="G63" i="27"/>
  <c r="K63" i="27"/>
  <c r="Q63" i="27"/>
  <c r="H63" i="27"/>
  <c r="L63" i="27"/>
  <c r="Y63" i="27"/>
  <c r="Q27" i="27"/>
  <c r="Q26" i="27"/>
  <c r="J63" i="27"/>
  <c r="P63" i="27"/>
  <c r="V63" i="27"/>
  <c r="Q30" i="27"/>
  <c r="AB63" i="27"/>
  <c r="AC63" i="27"/>
  <c r="U63" i="27"/>
  <c r="I63" i="27"/>
  <c r="M63" i="27"/>
  <c r="S63" i="27"/>
  <c r="W63" i="27"/>
  <c r="AA63" i="27"/>
  <c r="E63" i="27"/>
  <c r="R63" i="27"/>
  <c r="X63" i="27"/>
  <c r="T63" i="27"/>
  <c r="Q25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00000000-0006-0000-0200-000001000000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00000000-0006-0000-0200-000002000000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00000000-0006-0000-0200-000003000000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00000000-0006-0000-0200-000004000000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00000000-0006-0000-0300-000001000000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00000000-0006-0000-0300-000002000000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00000000-0006-0000-0300-000003000000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00000000-0006-0000-0300-000004000000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DFD23FC9-6ED0-4468-B7B4-9834387B24C4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494630D7-FBFE-4224-BBC7-A1BECAAC7CF8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26BF7965-8715-4AF0-9A78-4F2DC9941F00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7F6B3EFF-CCF3-4FA6-9919-43E3EA2B9314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BBF1BA7B-5EF6-479E-B5CD-FEF4799FC122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108B84F3-CE38-4418-8B3E-2263F1D1E6C1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C43384B3-BB48-4EF9-9BD6-EA2685533E9F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840B78FF-E268-4DFE-B39A-A87BA5748E82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559AF20F-EDB5-42A1-85BA-890637B0AC71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E6C28F04-6E9B-4685-8C59-1526FF169E00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665F45DF-9005-4957-BB4F-24B215FD1F32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6FB42200-003A-44A8-B27B-06203731977A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BC47C309-EDC6-4BD7-8091-D1013E6E8AD4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4CC1BDA6-FCA9-48FC-A498-3BFD69804EEE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D868F901-A8DA-4286-B0A8-DC994BDBFE9E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B2662391-00B5-45BE-9501-E0E78E8E9028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60CF8C73-1A4D-46B6-AA83-3ECCEE092C6F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2911D630-CFAB-4674-83FB-C0E7A5BECB63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D3B6DD34-8C6E-45E3-96BD-301C02001126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E4CF14B1-41FC-49BC-8690-6127B1A16B05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DB34422F-C02A-42F9-A858-E6EBA43566BC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30F30770-E49E-414A-9C9A-06F11893CBF0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2BAC60E9-503D-4C13-ABB8-84E532F3208D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56D3BE60-1B57-4044-B358-10CAB67C99CA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35D8884E-CF88-4537-ABEF-191F5BC21F27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1507969D-3748-4042-B72C-79FD3A32C1E6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B4470E3F-6761-44D8-8DCE-403ACB0D839F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BE2DBB6D-A4ED-4ED4-93CA-45E67C3B32EA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Régis DARDELIN</author>
  </authors>
  <commentList>
    <comment ref="N21" authorId="0" shapeId="0" xr:uid="{A08413AD-AA2C-4F8C-9368-FE2452A6F0D9}">
      <text>
        <r>
          <rPr>
            <sz val="12"/>
            <color indexed="81"/>
            <rFont val="Tahoma"/>
            <family val="2"/>
          </rPr>
          <t>Evalue l'écart type d'une population en se basant sur un échantillon de cette population. L'écart type est une mesure de la dispersion des valeurs par rapport à la moyenne (valeur moyenne).</t>
        </r>
      </text>
    </comment>
    <comment ref="N24" authorId="0" shapeId="0" xr:uid="{327748E9-5B72-4DE2-B135-DAAE7ABC9ABE}">
      <text>
        <r>
          <rPr>
            <sz val="12"/>
            <color indexed="81"/>
            <rFont val="Tahoma"/>
            <family val="2"/>
          </rPr>
          <t xml:space="preserve">Le kurtosis caractérise la forme de pic ou l'aplatissement relatifs d'une distribution comparée à une distribution normale. Un kurtosis positif indique une distribution relativement pointue, tandis qu'un kurtosis négatif signale une distribution relativement aplatie.
</t>
        </r>
      </text>
    </comment>
    <comment ref="N26" authorId="0" shapeId="0" xr:uid="{BDD46147-D3DC-44B0-AB1D-E761F9A0DDD8}">
      <text>
        <r>
          <rPr>
            <sz val="12"/>
            <color indexed="81"/>
            <rFont val="Tahoma"/>
            <family val="2"/>
          </rPr>
          <t xml:space="preserve">Capabilité de votre processus : c’est son aptitude à faire des pièces bonnes. Contrairement à la capabilité machine, la capabilité processus prend en compte l’ensemble des causes de variation du processus (les 5M).
Cp = (Ts – Ti) / 6s
Nota : Ts et Ti = max &amp; min spec ; s = Std deviation (ecartype).
Si Cp est inférieur à 1,33, le processus est non capable ; si Cp compris entre 1,33 et 1,67, le processus est juste capable ; si Cp est supérieur à 1,67, le processus est capable.
</t>
        </r>
      </text>
    </comment>
    <comment ref="N27" authorId="0" shapeId="0" xr:uid="{32993A44-CAB2-47A9-9572-2A8D424E0248}">
      <text>
        <r>
          <rPr>
            <sz val="12"/>
            <color indexed="81"/>
            <rFont val="Tahoma"/>
            <family val="2"/>
          </rPr>
          <t xml:space="preserve">Cpk qui prend en compte le décentrage de la production par rapport à la valeur à viser :
Cpk = min((Ts – x) / 3s ; (x – Ti) / 3s)
Nota : Ts et Ti = max &amp; min spec ; x = Average (moy) ; s = Std deviation (ecartype).
Si Cpk est inférieur à 1, le processus est non capable ; si Cpk est compris entre 1 et 1,33, le processus est juste capable ; si Cpk est supérieur à 1,33, le processus est capable.
</t>
        </r>
      </text>
    </comment>
  </commentList>
</comments>
</file>

<file path=xl/sharedStrings.xml><?xml version="1.0" encoding="utf-8"?>
<sst xmlns="http://schemas.openxmlformats.org/spreadsheetml/2006/main" count="807" uniqueCount="156">
  <si>
    <t xml:space="preserve">Désignation :          </t>
  </si>
  <si>
    <t>Norme ou texte de référence :</t>
  </si>
  <si>
    <t>Température :</t>
  </si>
  <si>
    <t>Hygrométrie :</t>
  </si>
  <si>
    <t>Zone Industrielle de Mérignan</t>
  </si>
  <si>
    <t>45240 LA FERTE ST AUBIN</t>
  </si>
  <si>
    <t>DELIVRE A :</t>
  </si>
  <si>
    <t>°C</t>
  </si>
  <si>
    <t>Conditions d'environnement :</t>
  </si>
  <si>
    <t xml:space="preserve">DATE DE VERIFICATION : </t>
  </si>
  <si>
    <t>Raccordement :</t>
  </si>
  <si>
    <t>Validité :</t>
  </si>
  <si>
    <t>/</t>
  </si>
  <si>
    <t>METHODES ET CONDITIONS DE MESURE :</t>
  </si>
  <si>
    <t>INCERTITUDES :</t>
  </si>
  <si>
    <t>Ce document ne peut être utilisé en lieu et place d'un certificat d'étalonnage.
La reproduction de ce constat n'est autorisée que sous la forme de fac-similé photographique intégral.
Ce constat de vérification est conforme à la NFX 07-011.</t>
  </si>
  <si>
    <t>Remarque(s) :</t>
  </si>
  <si>
    <t>EFFECTUEE PAR :</t>
  </si>
  <si>
    <t>%</t>
  </si>
  <si>
    <t>mail : contact@metrodem.fr</t>
  </si>
  <si>
    <t>RAPPORT D'ESSAI DIMENSIONNEL</t>
  </si>
  <si>
    <t xml:space="preserve">Quantité livrée : </t>
  </si>
  <si>
    <t>PM70</t>
  </si>
  <si>
    <t>20 ± 2</t>
  </si>
  <si>
    <t>50 ± 20</t>
  </si>
  <si>
    <t>Date d'émission du rapport :</t>
  </si>
  <si>
    <t>IDENTIFICATION DU MATERIEL PRESENTE POUR ESSAI :</t>
  </si>
  <si>
    <t>RAPPORT D'ESSAI DIMENSIONNEL (suite)</t>
  </si>
  <si>
    <t>Dans le cas d'essais non spécifiques,la méthode utilisée relève de notre procédure interne PM70.</t>
  </si>
  <si>
    <t xml:space="preserve">Pour le cas d'essais spécifiques,la méthode utilisée sera décrite ci-dessous,avec accord préalable </t>
  </si>
  <si>
    <t>du demandeur.</t>
  </si>
  <si>
    <t>Moyen :</t>
  </si>
  <si>
    <t>Il est impossible de déterminer avec exactitude, l'incertitude de mesure d'une machine tridimensionnelle,</t>
  </si>
  <si>
    <t>ceci compte tenu du nombre important de sources d'incertitude (type de tête de palpage, types de palpeurs,</t>
  </si>
  <si>
    <t>longueur et pression des palpeurs, machine tridimensionnelle manuelle ou commande numérique, etc…)</t>
  </si>
  <si>
    <t xml:space="preserve">Toutefois il est necessaire d'indiquer la précision de mesure dans le volume machine utilisé, afin de </t>
  </si>
  <si>
    <t>valider les résultats de mesure en limite d'une spécification.</t>
  </si>
  <si>
    <t xml:space="preserve">Estimation Incertitude de Mesurage </t>
  </si>
  <si>
    <t>200 mm</t>
  </si>
  <si>
    <t>400 mm</t>
  </si>
  <si>
    <t>500 mm</t>
  </si>
  <si>
    <t>Information sur E.M.T. pour Machine à Mesurer Tridimensionnelle MITUTOYO EURO C-A7106</t>
  </si>
  <si>
    <t>(Erreur Maximale Tolérée) M.P.E. = (2.9 + 4L / 1000) µm</t>
  </si>
  <si>
    <t>Une estimation raisonnable est calculée ci-dessous, en utilisant une méthode d'analyse appropriée et en</t>
  </si>
  <si>
    <t>prenant en compte toutes les composantes de l'incertitude qui ont une importance dans la situation donnée.</t>
  </si>
  <si>
    <t>mm</t>
  </si>
  <si>
    <t>CONDITIONS DE MESURES :</t>
  </si>
  <si>
    <t>Procédure de mesures :</t>
  </si>
  <si>
    <t>Date de la mesure :</t>
  </si>
  <si>
    <t>Acier</t>
  </si>
  <si>
    <t>Fonte</t>
  </si>
  <si>
    <t>&gt;</t>
  </si>
  <si>
    <t>Aluminium</t>
  </si>
  <si>
    <t>Plastique</t>
  </si>
  <si>
    <t>MOYEN(S) DE MESURES UTILISE(S) :</t>
  </si>
  <si>
    <t>pages</t>
  </si>
  <si>
    <t>Ce document comprend</t>
  </si>
  <si>
    <t>Le responsable des mesures :</t>
  </si>
  <si>
    <t>J. LANOUX</t>
  </si>
  <si>
    <t>R. RAVIER</t>
  </si>
  <si>
    <t>T. BODY</t>
  </si>
  <si>
    <t>T. RUCHETON</t>
  </si>
  <si>
    <t xml:space="preserve">Date de réception du produit présenté pour essai : </t>
  </si>
  <si>
    <t>Code Client</t>
  </si>
  <si>
    <t>N° DE RAPPORT A NOTER</t>
  </si>
  <si>
    <t>Tolérance de fabrication et Norme de référence non fournies. Tenir compte des résultats obtenus.</t>
  </si>
  <si>
    <t>CONFORME au plan de définition</t>
  </si>
  <si>
    <t>NON CONFORME au plan de définition</t>
  </si>
  <si>
    <t>N° PAGE A CHANGER</t>
  </si>
  <si>
    <t>Liste client dans l'ordre alphabétique</t>
  </si>
  <si>
    <t>INCERTITUDES SUR MMT MITUTOYO</t>
  </si>
  <si>
    <t>24 heures minimum</t>
  </si>
  <si>
    <t>Spécifications :</t>
  </si>
  <si>
    <t>CONFORME à la norme de référence</t>
  </si>
  <si>
    <t>NON CONFORME à la norme de référence</t>
  </si>
  <si>
    <t>Jugement :</t>
  </si>
  <si>
    <t>STABILISATION DU MATERIEL SOUMIS AUX ESSAIS :</t>
  </si>
  <si>
    <t>22-24 Rue Denis Papin</t>
  </si>
  <si>
    <t>Tél : 02 38 64 81 00</t>
  </si>
  <si>
    <t>Laboratoire</t>
  </si>
  <si>
    <t>AJOUTER LES ETALONS NECESSAIRES</t>
  </si>
  <si>
    <t>Machine de mesure tridimensionnelle MITUTOYO EURO-C APEX 7106 (MMT01)</t>
  </si>
  <si>
    <t>CE N° 23042101-OMA</t>
  </si>
  <si>
    <t>Plan de définition :</t>
  </si>
  <si>
    <t>Indice :</t>
  </si>
  <si>
    <t>Supprimer le plan de contrôle non utilisé</t>
  </si>
  <si>
    <t>PLAN DE CONTRÔLE</t>
  </si>
  <si>
    <t>Réf. Plan :</t>
  </si>
  <si>
    <t>5</t>
  </si>
  <si>
    <t xml:space="preserve">Quantité mesurée : </t>
  </si>
  <si>
    <t>pièces</t>
  </si>
  <si>
    <t>Etude Capabilité</t>
  </si>
  <si>
    <t>Cote soumise à capabilité :</t>
  </si>
  <si>
    <t>Cote Maxi :</t>
  </si>
  <si>
    <t>Désignation :</t>
  </si>
  <si>
    <t>Cote Mini :</t>
  </si>
  <si>
    <t>Tolérances :</t>
  </si>
  <si>
    <t xml:space="preserve">Unité </t>
  </si>
  <si>
    <t>Sup. :</t>
  </si>
  <si>
    <t>Inf. :</t>
  </si>
  <si>
    <t>Emp. N° :</t>
  </si>
  <si>
    <t>Cote N° :</t>
  </si>
  <si>
    <t xml:space="preserve">  Moyen de mesure utilisé :</t>
  </si>
  <si>
    <t>3 D Machine</t>
  </si>
  <si>
    <t>OBSERVATIONS :</t>
  </si>
  <si>
    <t>Max</t>
  </si>
  <si>
    <t>Min</t>
  </si>
  <si>
    <t>RESULTATS :</t>
  </si>
  <si>
    <t>Qté Echantillon</t>
  </si>
  <si>
    <t>Moyenne</t>
  </si>
  <si>
    <t>Ecart Type</t>
  </si>
  <si>
    <t>Maxi Valeur</t>
  </si>
  <si>
    <t>Mini Valeur</t>
  </si>
  <si>
    <t>Kurtosis</t>
  </si>
  <si>
    <t>Etendue</t>
  </si>
  <si>
    <t>Cp</t>
  </si>
  <si>
    <t>CpK</t>
  </si>
  <si>
    <t>Théorique Maxi</t>
  </si>
  <si>
    <t>Théorique Mini</t>
  </si>
  <si>
    <t xml:space="preserve"> +3S</t>
  </si>
  <si>
    <t xml:space="preserve"> -3S</t>
  </si>
  <si>
    <t>Nbre pièces HT Inf.</t>
  </si>
  <si>
    <t>Nbre pièces HT Sup.</t>
  </si>
  <si>
    <t>LSL</t>
  </si>
  <si>
    <t>USL</t>
  </si>
  <si>
    <t>Valeur X</t>
  </si>
  <si>
    <t>Courbe de gauss</t>
  </si>
  <si>
    <t>Fréquence</t>
  </si>
  <si>
    <t>Intervalle</t>
  </si>
  <si>
    <t>Cote soumise à capabilité</t>
  </si>
  <si>
    <t>Tolérance Supérieure</t>
  </si>
  <si>
    <t>Tolérance Inférieure</t>
  </si>
  <si>
    <t>Val.(1-25)</t>
  </si>
  <si>
    <t>Val.(26-50)</t>
  </si>
  <si>
    <t>Maxi :</t>
  </si>
  <si>
    <t>Nominal :</t>
  </si>
  <si>
    <t>Mini :</t>
  </si>
  <si>
    <t>Moyenne :</t>
  </si>
  <si>
    <t>Cp :</t>
  </si>
  <si>
    <t>Cpk :</t>
  </si>
  <si>
    <t>Cm :</t>
  </si>
  <si>
    <t>Cmk :</t>
  </si>
  <si>
    <t>Sigma esti. :</t>
  </si>
  <si>
    <t>Sigma réel :</t>
  </si>
  <si>
    <t>Nb échantil. :</t>
  </si>
  <si>
    <t>Médiane :</t>
  </si>
  <si>
    <t>Mini valeur :</t>
  </si>
  <si>
    <t>Maxi valeur :</t>
  </si>
  <si>
    <t>Etendue :</t>
  </si>
  <si>
    <t>Kurtosis :</t>
  </si>
  <si>
    <t>Variance :</t>
  </si>
  <si>
    <t>HT inférieur :</t>
  </si>
  <si>
    <t>HT supérieur :</t>
  </si>
  <si>
    <t>Dist. Norm.</t>
  </si>
  <si>
    <t>Somme</t>
  </si>
  <si>
    <t xml:space="preserve">N°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</si>
</sst>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0.0"/>
    <numFmt numFmtId="165" formatCode="_-* #,##0.00\ [$€]_-;\-* #,##0.00\ [$€]_-;_-* &quot;-&quot;??\ [$€]_-;_-@_-"/>
    <numFmt numFmtId="166" formatCode="0.0000"/>
    <numFmt numFmtId="167" formatCode="&quot;+/-&quot;0.0000&quot; µm&quot;"/>
    <numFmt numFmtId="168" formatCode="&quot;+/-&quot;0.0000&quot; mm&quot;"/>
    <numFmt numFmtId="169" formatCode="mm/yyyy"/>
    <numFmt numFmtId="170" formatCode="[$-40C]d\ mmmm\ yyyy;@"/>
    <numFmt numFmtId="171" formatCode="&quot;R &quot;0.0"/>
    <numFmt numFmtId="172" formatCode="0.000"/>
    <numFmt numFmtId="173" formatCode="#,##0&quot; ppm&quot;"/>
    <numFmt numFmtId="174" formatCode="0.00000%"/>
    <numFmt numFmtId="175" formatCode="0.000%"/>
    <numFmt numFmtId="176" formatCode="[Red][&lt;1.33]\ 0.000;;0.000"/>
    <numFmt numFmtId="177" formatCode=".00%"/>
    <numFmt numFmtId="178" formatCode="[Red][&lt;1.67]\ 0.000;;0.000"/>
    <numFmt numFmtId="179" formatCode="[Red][&gt;1]\ 0;[Red][=1]\ 0;General"/>
    <numFmt numFmtId="180" formatCode="&quot;Moyenne&quot;"/>
    <numFmt numFmtId="181" formatCode="&quot;+3 Sigmas&quot;"/>
    <numFmt numFmtId="182" formatCode="00\°"/>
  </numFmts>
  <fonts count="60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sz val="12"/>
      <name val="Helv"/>
    </font>
    <font>
      <sz val="11"/>
      <name val="Arial"/>
      <family val="2"/>
    </font>
    <font>
      <b/>
      <sz val="12"/>
      <name val="Helv"/>
    </font>
    <font>
      <b/>
      <sz val="11"/>
      <name val="Arial"/>
      <family val="2"/>
    </font>
    <font>
      <b/>
      <u/>
      <sz val="11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u/>
      <sz val="11"/>
      <name val="Bernhard Modern Roman"/>
      <family val="1"/>
    </font>
    <font>
      <u/>
      <sz val="10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b/>
      <sz val="9"/>
      <name val="Arial"/>
      <family val="2"/>
    </font>
    <font>
      <sz val="10"/>
      <color rgb="FF777777"/>
      <name val="Arial"/>
      <family val="2"/>
    </font>
    <font>
      <b/>
      <sz val="12"/>
      <color rgb="FFC00000"/>
      <name val="Arial"/>
      <family val="2"/>
    </font>
    <font>
      <u/>
      <sz val="10"/>
      <color theme="10"/>
      <name val="Arial"/>
      <family val="2"/>
    </font>
    <font>
      <sz val="10"/>
      <color theme="10"/>
      <name val="Arial"/>
      <family val="2"/>
    </font>
    <font>
      <sz val="8"/>
      <color indexed="12"/>
      <name val="Arial"/>
      <family val="2"/>
    </font>
    <font>
      <sz val="10"/>
      <color rgb="FFC00000"/>
      <name val="Arial"/>
      <family val="2"/>
    </font>
    <font>
      <b/>
      <sz val="10"/>
      <name val="Helv"/>
    </font>
    <font>
      <b/>
      <sz val="14"/>
      <color rgb="FFFF0000"/>
      <name val="Arial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u/>
      <sz val="11"/>
      <name val="Arial"/>
      <family val="2"/>
    </font>
    <font>
      <sz val="10"/>
      <name val="Helv"/>
    </font>
    <font>
      <sz val="11"/>
      <color theme="0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22"/>
      <name val="Arial"/>
      <family val="2"/>
    </font>
    <font>
      <b/>
      <sz val="28"/>
      <color indexed="17"/>
      <name val="Arial"/>
      <family val="2"/>
    </font>
    <font>
      <b/>
      <sz val="20"/>
      <color indexed="17"/>
      <name val="Arial"/>
      <family val="2"/>
    </font>
    <font>
      <b/>
      <sz val="20"/>
      <color indexed="12"/>
      <name val="Arial"/>
      <family val="2"/>
    </font>
    <font>
      <b/>
      <sz val="14"/>
      <color indexed="17"/>
      <name val="Arial"/>
      <family val="2"/>
    </font>
    <font>
      <b/>
      <sz val="12"/>
      <color indexed="17"/>
      <name val="Arial"/>
      <family val="2"/>
    </font>
    <font>
      <b/>
      <sz val="18"/>
      <color indexed="9"/>
      <name val="Arial"/>
      <family val="2"/>
    </font>
    <font>
      <b/>
      <sz val="9"/>
      <color indexed="9"/>
      <name val="Arial"/>
      <family val="2"/>
    </font>
    <font>
      <sz val="12"/>
      <color indexed="8"/>
      <name val="Arial"/>
      <family val="2"/>
    </font>
    <font>
      <sz val="12"/>
      <name val="Arial"/>
      <family val="2"/>
    </font>
    <font>
      <b/>
      <sz val="9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10"/>
      <name val="Arial"/>
      <family val="2"/>
    </font>
    <font>
      <sz val="10"/>
      <color indexed="9"/>
      <name val="Arial"/>
      <family val="2"/>
    </font>
    <font>
      <sz val="7"/>
      <color indexed="9"/>
      <name val="Arial"/>
      <family val="2"/>
    </font>
    <font>
      <b/>
      <sz val="14"/>
      <color indexed="10"/>
      <name val="Arial"/>
      <family val="2"/>
    </font>
    <font>
      <i/>
      <sz val="11"/>
      <color indexed="23"/>
      <name val="Arial"/>
      <family val="2"/>
    </font>
    <font>
      <sz val="8"/>
      <color indexed="10"/>
      <name val="Arial"/>
      <family val="2"/>
    </font>
    <font>
      <b/>
      <u/>
      <sz val="10"/>
      <name val="Arial"/>
      <family val="2"/>
    </font>
    <font>
      <sz val="11"/>
      <color indexed="17"/>
      <name val="Arial"/>
      <family val="2"/>
    </font>
    <font>
      <i/>
      <sz val="10"/>
      <name val="Arial"/>
      <family val="2"/>
    </font>
    <font>
      <sz val="12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7"/>
      </bottom>
      <diagonal/>
    </border>
    <border>
      <left/>
      <right/>
      <top style="medium">
        <color indexed="17"/>
      </top>
      <bottom style="medium">
        <color indexed="17"/>
      </bottom>
      <diagonal/>
    </border>
    <border>
      <left/>
      <right/>
      <top/>
      <bottom style="medium">
        <color indexed="57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</borders>
  <cellStyleXfs count="11">
    <xf numFmtId="0" fontId="0" fillId="0" borderId="0"/>
    <xf numFmtId="165" fontId="1" fillId="0" borderId="0" applyFont="0" applyFill="0" applyBorder="0" applyAlignment="0" applyProtection="0"/>
    <xf numFmtId="0" fontId="11" fillId="0" borderId="0"/>
    <xf numFmtId="0" fontId="9" fillId="0" borderId="0"/>
    <xf numFmtId="0" fontId="23" fillId="0" borderId="0" applyNumberFormat="0" applyFill="0" applyBorder="0" applyAlignment="0" applyProtection="0"/>
    <xf numFmtId="0" fontId="34" fillId="0" borderId="0"/>
    <xf numFmtId="0" fontId="1" fillId="0" borderId="0"/>
    <xf numFmtId="0" fontId="1" fillId="0" borderId="0"/>
    <xf numFmtId="0" fontId="10" fillId="0" borderId="0"/>
    <xf numFmtId="0" fontId="34" fillId="0" borderId="0"/>
    <xf numFmtId="9" fontId="1" fillId="0" borderId="0" applyFont="0" applyFill="0" applyBorder="0" applyAlignment="0" applyProtection="0"/>
  </cellStyleXfs>
  <cellXfs count="321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7" fillId="2" borderId="0" xfId="0" applyFont="1" applyFill="1" applyAlignment="1">
      <alignment horizontal="center" wrapText="1"/>
    </xf>
    <xf numFmtId="0" fontId="6" fillId="2" borderId="0" xfId="0" applyFont="1" applyFill="1" applyAlignment="1">
      <alignment horizontal="center" vertical="center"/>
    </xf>
    <xf numFmtId="0" fontId="10" fillId="0" borderId="0" xfId="3" applyFont="1" applyAlignment="1">
      <alignment vertical="center"/>
    </xf>
    <xf numFmtId="0" fontId="12" fillId="0" borderId="0" xfId="2" applyFont="1" applyAlignment="1">
      <alignment horizontal="left" vertical="center"/>
    </xf>
    <xf numFmtId="167" fontId="10" fillId="0" borderId="0" xfId="2" applyNumberFormat="1" applyFont="1" applyAlignment="1">
      <alignment horizontal="center" vertical="center"/>
    </xf>
    <xf numFmtId="168" fontId="8" fillId="0" borderId="0" xfId="2" applyNumberFormat="1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0" fillId="0" borderId="4" xfId="0" applyBorder="1" applyAlignment="1">
      <alignment vertical="center"/>
    </xf>
    <xf numFmtId="0" fontId="18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69" fontId="7" fillId="0" borderId="0" xfId="0" applyNumberFormat="1" applyFont="1" applyAlignment="1">
      <alignment horizontal="center" vertical="center"/>
    </xf>
    <xf numFmtId="169" fontId="7" fillId="0" borderId="0" xfId="0" quotePrefix="1" applyNumberFormat="1" applyFont="1" applyAlignment="1">
      <alignment horizontal="left" vertical="center"/>
    </xf>
    <xf numFmtId="0" fontId="24" fillId="0" borderId="0" xfId="4" applyFont="1" applyBorder="1" applyAlignment="1" applyProtection="1">
      <alignment horizontal="center" vertical="center"/>
    </xf>
    <xf numFmtId="0" fontId="25" fillId="0" borderId="0" xfId="4" applyFont="1" applyBorder="1" applyAlignment="1" applyProtection="1">
      <alignment horizontal="center" vertical="center"/>
    </xf>
    <xf numFmtId="0" fontId="25" fillId="2" borderId="0" xfId="4" applyFont="1" applyFill="1" applyBorder="1" applyAlignment="1" applyProtection="1">
      <alignment horizontal="center" vertical="center"/>
    </xf>
    <xf numFmtId="0" fontId="18" fillId="3" borderId="0" xfId="0" applyFont="1" applyFill="1" applyAlignment="1">
      <alignment vertical="center"/>
    </xf>
    <xf numFmtId="0" fontId="26" fillId="0" borderId="0" xfId="0" applyFont="1" applyAlignment="1">
      <alignment vertical="center"/>
    </xf>
    <xf numFmtId="164" fontId="2" fillId="0" borderId="0" xfId="0" applyNumberFormat="1" applyFont="1" applyAlignment="1">
      <alignment horizontal="left" vertical="center"/>
    </xf>
    <xf numFmtId="0" fontId="27" fillId="0" borderId="4" xfId="0" applyFont="1" applyBorder="1" applyAlignment="1" applyProtection="1">
      <alignment horizontal="center"/>
      <protection locked="0"/>
    </xf>
    <xf numFmtId="0" fontId="20" fillId="4" borderId="4" xfId="0" applyFont="1" applyFill="1" applyBorder="1" applyAlignment="1">
      <alignment horizont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4" xfId="0" applyFont="1" applyBorder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168" fontId="2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168" fontId="8" fillId="0" borderId="0" xfId="2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2" fillId="0" borderId="0" xfId="2" quotePrefix="1" applyFont="1" applyAlignment="1">
      <alignment horizontal="left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5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" fillId="2" borderId="0" xfId="0" quotePrefix="1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left" vertical="center"/>
    </xf>
    <xf numFmtId="14" fontId="1" fillId="0" borderId="0" xfId="0" applyNumberFormat="1" applyFont="1" applyAlignment="1">
      <alignment vertical="center"/>
    </xf>
    <xf numFmtId="49" fontId="1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wrapText="1"/>
    </xf>
    <xf numFmtId="0" fontId="7" fillId="0" borderId="0" xfId="0" applyFont="1" applyAlignment="1">
      <alignment horizontal="center" vertical="center" wrapText="1"/>
    </xf>
    <xf numFmtId="0" fontId="1" fillId="0" borderId="0" xfId="4" applyFont="1" applyBorder="1" applyAlignment="1" applyProtection="1">
      <alignment horizontal="center" vertical="center"/>
    </xf>
    <xf numFmtId="164" fontId="2" fillId="0" borderId="0" xfId="0" applyNumberFormat="1" applyFont="1" applyAlignment="1">
      <alignment vertical="center"/>
    </xf>
    <xf numFmtId="0" fontId="13" fillId="0" borderId="0" xfId="3" applyFont="1" applyAlignment="1">
      <alignment vertical="center"/>
    </xf>
    <xf numFmtId="168" fontId="15" fillId="0" borderId="0" xfId="2" applyNumberFormat="1" applyFont="1" applyAlignment="1">
      <alignment vertical="center"/>
    </xf>
    <xf numFmtId="0" fontId="16" fillId="0" borderId="0" xfId="3" applyFont="1" applyAlignment="1">
      <alignment vertical="center"/>
    </xf>
    <xf numFmtId="166" fontId="1" fillId="0" borderId="4" xfId="0" applyNumberFormat="1" applyFont="1" applyBorder="1" applyAlignment="1" applyProtection="1">
      <alignment horizontal="center"/>
      <protection locked="0"/>
    </xf>
    <xf numFmtId="0" fontId="3" fillId="2" borderId="0" xfId="0" applyFont="1" applyFill="1" applyAlignment="1">
      <alignment vertical="center"/>
    </xf>
    <xf numFmtId="0" fontId="4" fillId="0" borderId="0" xfId="0" applyFont="1" applyAlignment="1">
      <alignment horizontal="center" vertical="center"/>
    </xf>
    <xf numFmtId="0" fontId="10" fillId="0" borderId="0" xfId="3" applyFont="1" applyAlignment="1">
      <alignment horizontal="left" vertical="center"/>
    </xf>
    <xf numFmtId="168" fontId="15" fillId="0" borderId="0" xfId="2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quotePrefix="1" applyFont="1" applyAlignment="1">
      <alignment vertical="center"/>
    </xf>
    <xf numFmtId="169" fontId="7" fillId="0" borderId="0" xfId="0" quotePrefix="1" applyNumberFormat="1" applyFont="1" applyAlignment="1">
      <alignment vertical="center"/>
    </xf>
    <xf numFmtId="17" fontId="7" fillId="0" borderId="0" xfId="0" applyNumberFormat="1" applyFont="1" applyAlignment="1">
      <alignment horizontal="left" vertical="center"/>
    </xf>
    <xf numFmtId="17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 wrapText="1"/>
    </xf>
    <xf numFmtId="0" fontId="12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164" fontId="12" fillId="0" borderId="0" xfId="0" applyNumberFormat="1" applyFont="1" applyAlignment="1">
      <alignment horizontal="left" vertical="center"/>
    </xf>
    <xf numFmtId="49" fontId="10" fillId="2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49" fontId="10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0" borderId="0" xfId="0" applyFont="1" applyAlignment="1">
      <alignment vertical="center"/>
    </xf>
    <xf numFmtId="0" fontId="12" fillId="2" borderId="0" xfId="0" applyFont="1" applyFill="1" applyAlignment="1">
      <alignment horizontal="right" vertical="center"/>
    </xf>
    <xf numFmtId="0" fontId="29" fillId="2" borderId="0" xfId="0" applyFont="1" applyFill="1" applyAlignment="1">
      <alignment horizontal="left" vertical="center"/>
    </xf>
    <xf numFmtId="169" fontId="10" fillId="0" borderId="0" xfId="0" quotePrefix="1" applyNumberFormat="1" applyFont="1" applyAlignment="1">
      <alignment horizontal="left" vertical="center"/>
    </xf>
    <xf numFmtId="0" fontId="30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0" fillId="0" borderId="0" xfId="0" applyFont="1" applyAlignment="1">
      <alignment horizontal="right" vertical="center"/>
    </xf>
    <xf numFmtId="168" fontId="31" fillId="0" borderId="0" xfId="2" applyNumberFormat="1" applyFont="1" applyAlignment="1">
      <alignment horizontal="center" vertical="center"/>
    </xf>
    <xf numFmtId="168" fontId="12" fillId="0" borderId="0" xfId="2" applyNumberFormat="1" applyFont="1" applyAlignment="1">
      <alignment vertical="center"/>
    </xf>
    <xf numFmtId="0" fontId="10" fillId="0" borderId="0" xfId="2" applyFont="1" applyAlignment="1">
      <alignment vertical="center"/>
    </xf>
    <xf numFmtId="0" fontId="33" fillId="0" borderId="0" xfId="0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34" fillId="0" borderId="0" xfId="5" applyAlignment="1">
      <alignment horizontal="center"/>
    </xf>
    <xf numFmtId="0" fontId="34" fillId="0" borderId="0" xfId="5"/>
    <xf numFmtId="0" fontId="1" fillId="0" borderId="0" xfId="6"/>
    <xf numFmtId="0" fontId="31" fillId="5" borderId="0" xfId="6" applyFont="1" applyFill="1"/>
    <xf numFmtId="0" fontId="1" fillId="5" borderId="0" xfId="6" applyFill="1"/>
    <xf numFmtId="0" fontId="15" fillId="0" borderId="0" xfId="5" applyFont="1" applyAlignment="1">
      <alignment horizontal="center"/>
    </xf>
    <xf numFmtId="0" fontId="7" fillId="0" borderId="0" xfId="5" applyFont="1"/>
    <xf numFmtId="2" fontId="7" fillId="0" borderId="5" xfId="5" applyNumberFormat="1" applyFont="1" applyBorder="1" applyAlignment="1">
      <alignment horizontal="center" vertical="center"/>
    </xf>
    <xf numFmtId="2" fontId="7" fillId="0" borderId="6" xfId="5" applyNumberFormat="1" applyFont="1" applyBorder="1" applyAlignment="1">
      <alignment horizontal="center" vertical="center"/>
    </xf>
    <xf numFmtId="1" fontId="18" fillId="0" borderId="6" xfId="5" applyNumberFormat="1" applyFont="1" applyBorder="1" applyAlignment="1">
      <alignment horizontal="center" vertical="center"/>
    </xf>
    <xf numFmtId="2" fontId="18" fillId="0" borderId="6" xfId="5" applyNumberFormat="1" applyFont="1" applyBorder="1" applyAlignment="1">
      <alignment horizontal="center" vertical="center"/>
    </xf>
    <xf numFmtId="2" fontId="7" fillId="0" borderId="7" xfId="5" applyNumberFormat="1" applyFont="1" applyBorder="1" applyAlignment="1">
      <alignment horizontal="center" vertical="center"/>
    </xf>
    <xf numFmtId="0" fontId="19" fillId="0" borderId="0" xfId="5" applyFont="1" applyAlignment="1">
      <alignment horizontal="center" vertical="center"/>
    </xf>
    <xf numFmtId="0" fontId="7" fillId="0" borderId="0" xfId="5" applyFont="1" applyAlignment="1">
      <alignment vertical="center"/>
    </xf>
    <xf numFmtId="2" fontId="7" fillId="0" borderId="8" xfId="5" applyNumberFormat="1" applyFont="1" applyBorder="1" applyAlignment="1">
      <alignment horizontal="center" vertical="center"/>
    </xf>
    <xf numFmtId="2" fontId="7" fillId="0" borderId="0" xfId="5" applyNumberFormat="1" applyFont="1" applyAlignment="1">
      <alignment horizontal="center" vertical="center"/>
    </xf>
    <xf numFmtId="1" fontId="18" fillId="0" borderId="0" xfId="5" applyNumberFormat="1" applyFont="1" applyAlignment="1">
      <alignment horizontal="center" vertical="center"/>
    </xf>
    <xf numFmtId="2" fontId="18" fillId="0" borderId="0" xfId="5" applyNumberFormat="1" applyFont="1" applyAlignment="1">
      <alignment horizontal="center" vertical="center"/>
    </xf>
    <xf numFmtId="2" fontId="7" fillId="0" borderId="9" xfId="5" applyNumberFormat="1" applyFont="1" applyBorder="1" applyAlignment="1">
      <alignment horizontal="center" vertical="center"/>
    </xf>
    <xf numFmtId="2" fontId="7" fillId="0" borderId="10" xfId="5" applyNumberFormat="1" applyFont="1" applyBorder="1" applyAlignment="1">
      <alignment horizontal="center" vertical="center"/>
    </xf>
    <xf numFmtId="2" fontId="7" fillId="0" borderId="1" xfId="5" applyNumberFormat="1" applyFont="1" applyBorder="1" applyAlignment="1">
      <alignment horizontal="center" vertical="center"/>
    </xf>
    <xf numFmtId="1" fontId="18" fillId="0" borderId="1" xfId="5" applyNumberFormat="1" applyFont="1" applyBorder="1" applyAlignment="1">
      <alignment horizontal="center" vertical="center"/>
    </xf>
    <xf numFmtId="2" fontId="18" fillId="0" borderId="1" xfId="5" applyNumberFormat="1" applyFont="1" applyBorder="1" applyAlignment="1">
      <alignment horizontal="center" vertical="center"/>
    </xf>
    <xf numFmtId="2" fontId="7" fillId="0" borderId="11" xfId="5" applyNumberFormat="1" applyFont="1" applyBorder="1" applyAlignment="1">
      <alignment horizontal="center" vertical="center"/>
    </xf>
    <xf numFmtId="0" fontId="1" fillId="0" borderId="0" xfId="7"/>
    <xf numFmtId="0" fontId="35" fillId="2" borderId="0" xfId="0" applyFont="1" applyFill="1" applyAlignment="1">
      <alignment vertical="center"/>
    </xf>
    <xf numFmtId="0" fontId="35" fillId="2" borderId="0" xfId="0" applyFont="1" applyFill="1" applyAlignment="1">
      <alignment horizontal="left" vertical="center"/>
    </xf>
    <xf numFmtId="0" fontId="10" fillId="0" borderId="0" xfId="8" applyAlignment="1">
      <alignment vertical="center"/>
    </xf>
    <xf numFmtId="0" fontId="10" fillId="3" borderId="0" xfId="8" applyFill="1" applyAlignment="1">
      <alignment vertical="center"/>
    </xf>
    <xf numFmtId="0" fontId="38" fillId="0" borderId="0" xfId="8" applyFont="1" applyAlignment="1">
      <alignment horizontal="centerContinuous" vertical="center"/>
    </xf>
    <xf numFmtId="0" fontId="10" fillId="0" borderId="0" xfId="8" applyAlignment="1">
      <alignment horizontal="centerContinuous" vertical="center"/>
    </xf>
    <xf numFmtId="0" fontId="1" fillId="0" borderId="0" xfId="8" applyFont="1" applyAlignment="1">
      <alignment horizontal="centerContinuous" vertical="center"/>
    </xf>
    <xf numFmtId="0" fontId="36" fillId="0" borderId="0" xfId="8" applyFont="1" applyAlignment="1">
      <alignment horizontal="right" vertical="center"/>
    </xf>
    <xf numFmtId="0" fontId="41" fillId="0" borderId="0" xfId="8" applyFont="1" applyAlignment="1">
      <alignment horizontal="center" vertical="center"/>
    </xf>
    <xf numFmtId="0" fontId="43" fillId="0" borderId="0" xfId="8" applyFont="1" applyAlignment="1">
      <alignment vertical="center"/>
    </xf>
    <xf numFmtId="2" fontId="6" fillId="6" borderId="13" xfId="8" applyNumberFormat="1" applyFont="1" applyFill="1" applyBorder="1" applyAlignment="1">
      <alignment horizontal="center" vertical="center"/>
    </xf>
    <xf numFmtId="2" fontId="6" fillId="6" borderId="15" xfId="8" applyNumberFormat="1" applyFont="1" applyFill="1" applyBorder="1" applyAlignment="1">
      <alignment horizontal="center" vertical="center"/>
    </xf>
    <xf numFmtId="0" fontId="20" fillId="0" borderId="0" xfId="8" applyFont="1" applyAlignment="1">
      <alignment vertical="center"/>
    </xf>
    <xf numFmtId="0" fontId="4" fillId="2" borderId="0" xfId="8" applyFont="1" applyFill="1" applyAlignment="1">
      <alignment horizontal="center" vertical="center"/>
    </xf>
    <xf numFmtId="2" fontId="10" fillId="0" borderId="0" xfId="8" applyNumberFormat="1" applyAlignment="1" applyProtection="1">
      <alignment vertical="center"/>
      <protection hidden="1"/>
    </xf>
    <xf numFmtId="2" fontId="10" fillId="0" borderId="0" xfId="8" applyNumberFormat="1" applyAlignment="1">
      <alignment vertical="center"/>
    </xf>
    <xf numFmtId="0" fontId="10" fillId="0" borderId="0" xfId="8" applyAlignment="1" applyProtection="1">
      <alignment vertical="center"/>
      <protection hidden="1"/>
    </xf>
    <xf numFmtId="1" fontId="44" fillId="7" borderId="4" xfId="8" quotePrefix="1" applyNumberFormat="1" applyFont="1" applyFill="1" applyBorder="1" applyAlignment="1">
      <alignment horizontal="center" vertical="center"/>
    </xf>
    <xf numFmtId="0" fontId="1" fillId="0" borderId="0" xfId="7" applyAlignment="1">
      <alignment horizontal="center"/>
    </xf>
    <xf numFmtId="172" fontId="46" fillId="8" borderId="16" xfId="8" applyNumberFormat="1" applyFont="1" applyFill="1" applyBorder="1" applyAlignment="1" applyProtection="1">
      <alignment horizontal="center" vertical="center"/>
      <protection locked="0"/>
    </xf>
    <xf numFmtId="172" fontId="47" fillId="6" borderId="17" xfId="8" applyNumberFormat="1" applyFont="1" applyFill="1" applyBorder="1" applyAlignment="1" applyProtection="1">
      <alignment horizontal="center" vertical="center"/>
      <protection locked="0"/>
    </xf>
    <xf numFmtId="172" fontId="46" fillId="8" borderId="17" xfId="8" applyNumberFormat="1" applyFont="1" applyFill="1" applyBorder="1" applyAlignment="1" applyProtection="1">
      <alignment horizontal="center" vertical="center"/>
      <protection locked="0"/>
    </xf>
    <xf numFmtId="0" fontId="44" fillId="7" borderId="4" xfId="8" applyFont="1" applyFill="1" applyBorder="1" applyAlignment="1">
      <alignment horizontal="center" vertical="center"/>
    </xf>
    <xf numFmtId="172" fontId="46" fillId="8" borderId="19" xfId="8" applyNumberFormat="1" applyFont="1" applyFill="1" applyBorder="1" applyAlignment="1" applyProtection="1">
      <alignment horizontal="center" vertical="center"/>
      <protection locked="0"/>
    </xf>
    <xf numFmtId="172" fontId="47" fillId="6" borderId="20" xfId="8" applyNumberFormat="1" applyFont="1" applyFill="1" applyBorder="1" applyAlignment="1" applyProtection="1">
      <alignment horizontal="center" vertical="center"/>
      <protection locked="0"/>
    </xf>
    <xf numFmtId="172" fontId="46" fillId="8" borderId="20" xfId="8" applyNumberFormat="1" applyFont="1" applyFill="1" applyBorder="1" applyAlignment="1" applyProtection="1">
      <alignment horizontal="center" vertical="center"/>
      <protection locked="0"/>
    </xf>
    <xf numFmtId="0" fontId="44" fillId="7" borderId="4" xfId="8" quotePrefix="1" applyFont="1" applyFill="1" applyBorder="1" applyAlignment="1">
      <alignment horizontal="center" vertical="center"/>
    </xf>
    <xf numFmtId="172" fontId="46" fillId="8" borderId="22" xfId="8" applyNumberFormat="1" applyFont="1" applyFill="1" applyBorder="1" applyAlignment="1" applyProtection="1">
      <alignment horizontal="center" vertical="center"/>
      <protection locked="0"/>
    </xf>
    <xf numFmtId="172" fontId="47" fillId="6" borderId="23" xfId="8" applyNumberFormat="1" applyFont="1" applyFill="1" applyBorder="1" applyAlignment="1" applyProtection="1">
      <alignment horizontal="center" vertical="center"/>
      <protection locked="0"/>
    </xf>
    <xf numFmtId="172" fontId="46" fillId="8" borderId="23" xfId="8" applyNumberFormat="1" applyFont="1" applyFill="1" applyBorder="1" applyAlignment="1" applyProtection="1">
      <alignment horizontal="center" vertical="center"/>
      <protection locked="0"/>
    </xf>
    <xf numFmtId="2" fontId="48" fillId="0" borderId="0" xfId="8" applyNumberFormat="1" applyFont="1" applyAlignment="1">
      <alignment horizontal="center" vertical="center"/>
    </xf>
    <xf numFmtId="172" fontId="48" fillId="0" borderId="0" xfId="8" applyNumberFormat="1" applyFont="1" applyAlignment="1">
      <alignment horizontal="center" vertical="center"/>
    </xf>
    <xf numFmtId="0" fontId="3" fillId="0" borderId="0" xfId="8" applyFont="1" applyAlignment="1">
      <alignment horizontal="centerContinuous" vertical="center"/>
    </xf>
    <xf numFmtId="172" fontId="48" fillId="0" borderId="0" xfId="8" applyNumberFormat="1" applyFont="1" applyAlignment="1" applyProtection="1">
      <alignment horizontal="centerContinuous" vertical="center"/>
      <protection hidden="1"/>
    </xf>
    <xf numFmtId="2" fontId="48" fillId="0" borderId="0" xfId="8" applyNumberFormat="1" applyFont="1" applyAlignment="1" applyProtection="1">
      <alignment horizontal="centerContinuous" vertical="center"/>
      <protection hidden="1"/>
    </xf>
    <xf numFmtId="0" fontId="10" fillId="0" borderId="0" xfId="8" applyAlignment="1" applyProtection="1">
      <alignment horizontal="centerContinuous" vertical="center"/>
      <protection hidden="1"/>
    </xf>
    <xf numFmtId="2" fontId="49" fillId="0" borderId="0" xfId="8" applyNumberFormat="1" applyFont="1" applyAlignment="1">
      <alignment horizontal="left" vertical="center"/>
    </xf>
    <xf numFmtId="0" fontId="50" fillId="0" borderId="0" xfId="8" applyFont="1" applyAlignment="1" applyProtection="1">
      <alignment horizontal="centerContinuous" vertical="center"/>
      <protection hidden="1"/>
    </xf>
    <xf numFmtId="0" fontId="50" fillId="2" borderId="0" xfId="8" applyFont="1" applyFill="1" applyAlignment="1" applyProtection="1">
      <alignment horizontal="centerContinuous" vertical="center"/>
      <protection hidden="1"/>
    </xf>
    <xf numFmtId="2" fontId="51" fillId="2" borderId="0" xfId="8" applyNumberFormat="1" applyFont="1" applyFill="1" applyAlignment="1" applyProtection="1">
      <alignment horizontal="centerContinuous" vertical="center"/>
      <protection hidden="1"/>
    </xf>
    <xf numFmtId="0" fontId="51" fillId="2" borderId="0" xfId="8" applyFont="1" applyFill="1" applyAlignment="1" applyProtection="1">
      <alignment horizontal="centerContinuous" vertical="center"/>
      <protection hidden="1"/>
    </xf>
    <xf numFmtId="0" fontId="51" fillId="0" borderId="0" xfId="8" applyFont="1" applyAlignment="1" applyProtection="1">
      <alignment horizontal="centerContinuous" vertical="center"/>
      <protection hidden="1"/>
    </xf>
    <xf numFmtId="0" fontId="50" fillId="0" borderId="0" xfId="8" applyFont="1" applyAlignment="1" applyProtection="1">
      <alignment vertical="center"/>
      <protection hidden="1"/>
    </xf>
    <xf numFmtId="0" fontId="50" fillId="2" borderId="0" xfId="8" applyFont="1" applyFill="1" applyAlignment="1" applyProtection="1">
      <alignment vertical="center"/>
      <protection hidden="1"/>
    </xf>
    <xf numFmtId="0" fontId="51" fillId="2" borderId="0" xfId="8" applyFont="1" applyFill="1" applyAlignment="1" applyProtection="1">
      <alignment vertical="center"/>
      <protection hidden="1"/>
    </xf>
    <xf numFmtId="166" fontId="51" fillId="2" borderId="0" xfId="8" applyNumberFormat="1" applyFont="1" applyFill="1" applyAlignment="1" applyProtection="1">
      <alignment horizontal="center" vertical="center"/>
      <protection hidden="1"/>
    </xf>
    <xf numFmtId="0" fontId="51" fillId="0" borderId="0" xfId="8" applyFont="1" applyAlignment="1" applyProtection="1">
      <alignment vertical="center"/>
      <protection hidden="1"/>
    </xf>
    <xf numFmtId="0" fontId="52" fillId="2" borderId="0" xfId="8" applyFont="1" applyFill="1" applyAlignment="1" applyProtection="1">
      <alignment horizontal="right" vertical="center"/>
      <protection hidden="1"/>
    </xf>
    <xf numFmtId="166" fontId="19" fillId="2" borderId="0" xfId="8" applyNumberFormat="1" applyFont="1" applyFill="1" applyAlignment="1" applyProtection="1">
      <alignment horizontal="center" vertical="center"/>
      <protection hidden="1"/>
    </xf>
    <xf numFmtId="0" fontId="19" fillId="2" borderId="0" xfId="8" applyFont="1" applyFill="1" applyAlignment="1" applyProtection="1">
      <alignment horizontal="center" vertical="center"/>
      <protection hidden="1"/>
    </xf>
    <xf numFmtId="0" fontId="6" fillId="0" borderId="4" xfId="8" applyFont="1" applyBorder="1" applyAlignment="1">
      <alignment horizontal="left" vertical="center"/>
    </xf>
    <xf numFmtId="0" fontId="6" fillId="0" borderId="2" xfId="8" applyFont="1" applyBorder="1" applyAlignment="1">
      <alignment horizontal="left" vertical="center"/>
    </xf>
    <xf numFmtId="0" fontId="6" fillId="0" borderId="3" xfId="8" applyFont="1" applyBorder="1" applyAlignment="1">
      <alignment horizontal="left" vertical="center"/>
    </xf>
    <xf numFmtId="0" fontId="6" fillId="0" borderId="12" xfId="8" applyFont="1" applyBorder="1" applyAlignment="1">
      <alignment horizontal="left" vertical="center"/>
    </xf>
    <xf numFmtId="166" fontId="55" fillId="2" borderId="0" xfId="8" applyNumberFormat="1" applyFont="1" applyFill="1" applyAlignment="1" applyProtection="1">
      <alignment horizontal="center" vertical="center"/>
      <protection hidden="1"/>
    </xf>
    <xf numFmtId="0" fontId="10" fillId="0" borderId="4" xfId="8" applyBorder="1" applyAlignment="1">
      <alignment horizontal="center" vertical="center"/>
    </xf>
    <xf numFmtId="172" fontId="10" fillId="0" borderId="3" xfId="8" applyNumberFormat="1" applyBorder="1" applyAlignment="1">
      <alignment vertical="center"/>
    </xf>
    <xf numFmtId="172" fontId="10" fillId="0" borderId="4" xfId="8" applyNumberFormat="1" applyBorder="1" applyAlignment="1">
      <alignment vertical="center"/>
    </xf>
    <xf numFmtId="166" fontId="10" fillId="0" borderId="4" xfId="8" applyNumberFormat="1" applyBorder="1" applyAlignment="1">
      <alignment vertical="center"/>
    </xf>
    <xf numFmtId="1" fontId="10" fillId="0" borderId="4" xfId="8" quotePrefix="1" applyNumberFormat="1" applyBorder="1" applyAlignment="1">
      <alignment vertical="center"/>
    </xf>
    <xf numFmtId="174" fontId="10" fillId="3" borderId="0" xfId="10" applyNumberFormat="1" applyFont="1" applyFill="1" applyAlignment="1">
      <alignment vertical="center"/>
    </xf>
    <xf numFmtId="175" fontId="10" fillId="3" borderId="0" xfId="10" applyNumberFormat="1" applyFont="1" applyFill="1" applyAlignment="1">
      <alignment vertical="center"/>
    </xf>
    <xf numFmtId="0" fontId="1" fillId="0" borderId="0" xfId="7" applyProtection="1">
      <protection hidden="1"/>
    </xf>
    <xf numFmtId="0" fontId="1" fillId="0" borderId="0" xfId="7" applyAlignment="1" applyProtection="1">
      <alignment horizontal="center"/>
      <protection hidden="1"/>
    </xf>
    <xf numFmtId="0" fontId="1" fillId="0" borderId="0" xfId="7" quotePrefix="1" applyAlignment="1" applyProtection="1">
      <alignment horizontal="left"/>
      <protection hidden="1"/>
    </xf>
    <xf numFmtId="166" fontId="1" fillId="0" borderId="0" xfId="7" applyNumberFormat="1" applyProtection="1">
      <protection hidden="1"/>
    </xf>
    <xf numFmtId="172" fontId="1" fillId="0" borderId="0" xfId="7" applyNumberFormat="1" applyAlignment="1" applyProtection="1">
      <alignment horizontal="center"/>
      <protection locked="0"/>
    </xf>
    <xf numFmtId="0" fontId="1" fillId="0" borderId="0" xfId="7" applyProtection="1">
      <protection locked="0"/>
    </xf>
    <xf numFmtId="0" fontId="1" fillId="0" borderId="25" xfId="7" applyBorder="1" applyAlignment="1">
      <alignment horizontal="center"/>
    </xf>
    <xf numFmtId="0" fontId="1" fillId="0" borderId="26" xfId="7" applyBorder="1"/>
    <xf numFmtId="0" fontId="1" fillId="0" borderId="27" xfId="7" applyBorder="1"/>
    <xf numFmtId="0" fontId="1" fillId="0" borderId="28" xfId="7" applyBorder="1" applyAlignment="1">
      <alignment horizontal="center"/>
    </xf>
    <xf numFmtId="0" fontId="1" fillId="0" borderId="0" xfId="7" applyAlignment="1">
      <alignment horizontal="right"/>
    </xf>
    <xf numFmtId="172" fontId="1" fillId="0" borderId="0" xfId="7" applyNumberFormat="1" applyAlignment="1">
      <alignment horizontal="center"/>
    </xf>
    <xf numFmtId="0" fontId="1" fillId="0" borderId="29" xfId="7" applyBorder="1"/>
    <xf numFmtId="2" fontId="1" fillId="0" borderId="0" xfId="7" applyNumberFormat="1"/>
    <xf numFmtId="2" fontId="1" fillId="0" borderId="0" xfId="7" applyNumberFormat="1" applyAlignment="1">
      <alignment horizontal="center"/>
    </xf>
    <xf numFmtId="0" fontId="1" fillId="0" borderId="30" xfId="7" applyBorder="1" applyAlignment="1">
      <alignment horizontal="center"/>
    </xf>
    <xf numFmtId="172" fontId="1" fillId="0" borderId="0" xfId="7" applyNumberFormat="1" applyAlignment="1">
      <alignment horizontal="left"/>
    </xf>
    <xf numFmtId="1" fontId="1" fillId="0" borderId="0" xfId="7" applyNumberFormat="1" applyAlignment="1">
      <alignment horizontal="center" vertical="center"/>
    </xf>
    <xf numFmtId="0" fontId="1" fillId="0" borderId="0" xfId="7" applyAlignment="1">
      <alignment horizontal="left"/>
    </xf>
    <xf numFmtId="166" fontId="1" fillId="0" borderId="0" xfId="7" applyNumberFormat="1" applyAlignment="1">
      <alignment horizontal="left"/>
    </xf>
    <xf numFmtId="0" fontId="14" fillId="0" borderId="0" xfId="7" applyFont="1" applyAlignment="1">
      <alignment horizontal="left"/>
    </xf>
    <xf numFmtId="176" fontId="1" fillId="0" borderId="0" xfId="7" applyNumberFormat="1" applyAlignment="1">
      <alignment horizontal="left"/>
    </xf>
    <xf numFmtId="0" fontId="58" fillId="0" borderId="0" xfId="7" applyFont="1" applyAlignment="1">
      <alignment horizontal="center"/>
    </xf>
    <xf numFmtId="172" fontId="1" fillId="0" borderId="0" xfId="7" applyNumberFormat="1"/>
    <xf numFmtId="177" fontId="1" fillId="0" borderId="0" xfId="7" applyNumberFormat="1"/>
    <xf numFmtId="178" fontId="1" fillId="0" borderId="0" xfId="7" applyNumberFormat="1" applyAlignment="1">
      <alignment horizontal="left"/>
    </xf>
    <xf numFmtId="2" fontId="1" fillId="0" borderId="0" xfId="7" applyNumberFormat="1" applyAlignment="1">
      <alignment horizontal="left"/>
    </xf>
    <xf numFmtId="179" fontId="1" fillId="0" borderId="0" xfId="7" applyNumberFormat="1" applyAlignment="1">
      <alignment horizontal="left"/>
    </xf>
    <xf numFmtId="0" fontId="1" fillId="0" borderId="29" xfId="7" applyBorder="1" applyAlignment="1">
      <alignment horizontal="center"/>
    </xf>
    <xf numFmtId="172" fontId="7" fillId="0" borderId="0" xfId="7" applyNumberFormat="1" applyFont="1" applyAlignment="1">
      <alignment horizontal="center"/>
    </xf>
    <xf numFmtId="0" fontId="58" fillId="0" borderId="0" xfId="7" applyFont="1" applyAlignment="1">
      <alignment horizontal="left"/>
    </xf>
    <xf numFmtId="0" fontId="1" fillId="0" borderId="32" xfId="7" applyBorder="1" applyAlignment="1">
      <alignment horizontal="center"/>
    </xf>
    <xf numFmtId="172" fontId="7" fillId="0" borderId="34" xfId="7" applyNumberFormat="1" applyFont="1" applyBorder="1" applyAlignment="1">
      <alignment horizontal="center"/>
    </xf>
    <xf numFmtId="0" fontId="1" fillId="0" borderId="34" xfId="7" applyBorder="1" applyAlignment="1">
      <alignment horizontal="center"/>
    </xf>
    <xf numFmtId="1" fontId="1" fillId="0" borderId="34" xfId="7" applyNumberFormat="1" applyBorder="1" applyAlignment="1">
      <alignment horizontal="center" vertical="center"/>
    </xf>
    <xf numFmtId="180" fontId="7" fillId="0" borderId="0" xfId="7" applyNumberFormat="1" applyFont="1" applyAlignment="1">
      <alignment horizontal="center"/>
    </xf>
    <xf numFmtId="0" fontId="1" fillId="0" borderId="0" xfId="7" quotePrefix="1" applyAlignment="1">
      <alignment horizontal="center"/>
    </xf>
    <xf numFmtId="0" fontId="14" fillId="0" borderId="0" xfId="7" applyFont="1"/>
    <xf numFmtId="181" fontId="1" fillId="0" borderId="0" xfId="7" applyNumberFormat="1" applyAlignment="1">
      <alignment horizontal="center"/>
    </xf>
    <xf numFmtId="0" fontId="5" fillId="0" borderId="0" xfId="8" applyFont="1" applyAlignment="1">
      <alignment vertical="center"/>
    </xf>
    <xf numFmtId="16" fontId="45" fillId="0" borderId="4" xfId="8" applyNumberFormat="1" applyFont="1" applyBorder="1" applyAlignment="1">
      <alignment horizontal="center" vertical="center"/>
    </xf>
    <xf numFmtId="0" fontId="45" fillId="0" borderId="4" xfId="8" applyFont="1" applyBorder="1" applyAlignment="1">
      <alignment horizontal="center" vertical="center"/>
    </xf>
    <xf numFmtId="172" fontId="46" fillId="0" borderId="17" xfId="8" applyNumberFormat="1" applyFont="1" applyBorder="1" applyAlignment="1" applyProtection="1">
      <alignment horizontal="center" vertical="center"/>
      <protection locked="0"/>
    </xf>
    <xf numFmtId="172" fontId="46" fillId="0" borderId="18" xfId="8" applyNumberFormat="1" applyFont="1" applyBorder="1" applyAlignment="1" applyProtection="1">
      <alignment horizontal="center" vertical="center"/>
      <protection locked="0"/>
    </xf>
    <xf numFmtId="172" fontId="46" fillId="0" borderId="20" xfId="8" applyNumberFormat="1" applyFont="1" applyBorder="1" applyAlignment="1" applyProtection="1">
      <alignment horizontal="center" vertical="center"/>
      <protection locked="0"/>
    </xf>
    <xf numFmtId="172" fontId="46" fillId="0" borderId="21" xfId="8" applyNumberFormat="1" applyFont="1" applyBorder="1" applyAlignment="1" applyProtection="1">
      <alignment horizontal="center" vertical="center"/>
      <protection locked="0"/>
    </xf>
    <xf numFmtId="172" fontId="47" fillId="0" borderId="20" xfId="8" applyNumberFormat="1" applyFont="1" applyBorder="1" applyAlignment="1" applyProtection="1">
      <alignment horizontal="center" vertical="center"/>
      <protection locked="0"/>
    </xf>
    <xf numFmtId="172" fontId="47" fillId="0" borderId="21" xfId="8" applyNumberFormat="1" applyFont="1" applyBorder="1" applyAlignment="1" applyProtection="1">
      <alignment horizontal="center" vertical="center"/>
      <protection locked="0"/>
    </xf>
    <xf numFmtId="172" fontId="46" fillId="0" borderId="23" xfId="8" applyNumberFormat="1" applyFont="1" applyBorder="1" applyAlignment="1" applyProtection="1">
      <alignment horizontal="center" vertical="center"/>
      <protection locked="0"/>
    </xf>
    <xf numFmtId="172" fontId="47" fillId="0" borderId="23" xfId="8" applyNumberFormat="1" applyFont="1" applyBorder="1" applyAlignment="1" applyProtection="1">
      <alignment horizontal="center" vertical="center"/>
      <protection locked="0"/>
    </xf>
    <xf numFmtId="172" fontId="47" fillId="0" borderId="24" xfId="8" applyNumberFormat="1" applyFont="1" applyBorder="1" applyAlignment="1" applyProtection="1">
      <alignment horizontal="center" vertical="center"/>
      <protection locked="0"/>
    </xf>
    <xf numFmtId="0" fontId="6" fillId="0" borderId="5" xfId="8" applyFont="1" applyBorder="1" applyAlignment="1">
      <alignment horizontal="left" vertical="center"/>
    </xf>
    <xf numFmtId="0" fontId="6" fillId="0" borderId="6" xfId="8" applyFont="1" applyBorder="1" applyAlignment="1">
      <alignment horizontal="left" vertical="center"/>
    </xf>
    <xf numFmtId="0" fontId="6" fillId="0" borderId="7" xfId="8" applyFont="1" applyBorder="1" applyAlignment="1">
      <alignment horizontal="left" vertical="center"/>
    </xf>
    <xf numFmtId="0" fontId="4" fillId="0" borderId="6" xfId="8" applyFont="1" applyBorder="1" applyAlignment="1">
      <alignment horizontal="left" vertical="center"/>
    </xf>
    <xf numFmtId="172" fontId="46" fillId="9" borderId="35" xfId="8" applyNumberFormat="1" applyFont="1" applyFill="1" applyBorder="1" applyAlignment="1" applyProtection="1">
      <alignment horizontal="center" vertical="center"/>
      <protection locked="0"/>
    </xf>
    <xf numFmtId="172" fontId="47" fillId="9" borderId="36" xfId="8" applyNumberFormat="1" applyFont="1" applyFill="1" applyBorder="1" applyAlignment="1" applyProtection="1">
      <alignment horizontal="center" vertical="center"/>
      <protection locked="0"/>
    </xf>
    <xf numFmtId="172" fontId="46" fillId="9" borderId="36" xfId="8" applyNumberFormat="1" applyFont="1" applyFill="1" applyBorder="1" applyAlignment="1" applyProtection="1">
      <alignment horizontal="center" vertical="center"/>
      <protection locked="0"/>
    </xf>
    <xf numFmtId="172" fontId="1" fillId="10" borderId="31" xfId="7" applyNumberFormat="1" applyFill="1" applyBorder="1" applyAlignment="1" applyProtection="1">
      <alignment horizontal="center"/>
      <protection locked="0"/>
    </xf>
    <xf numFmtId="172" fontId="1" fillId="11" borderId="31" xfId="7" applyNumberFormat="1" applyFill="1" applyBorder="1" applyAlignment="1" applyProtection="1">
      <alignment horizontal="center"/>
      <protection locked="0"/>
    </xf>
    <xf numFmtId="172" fontId="1" fillId="11" borderId="33" xfId="7" applyNumberFormat="1" applyFill="1" applyBorder="1" applyAlignment="1" applyProtection="1">
      <alignment horizontal="center"/>
      <protection locked="0"/>
    </xf>
    <xf numFmtId="172" fontId="1" fillId="12" borderId="31" xfId="7" applyNumberFormat="1" applyFill="1" applyBorder="1" applyAlignment="1" applyProtection="1">
      <alignment horizontal="center"/>
      <protection locked="0"/>
    </xf>
    <xf numFmtId="172" fontId="1" fillId="12" borderId="33" xfId="7" applyNumberFormat="1" applyFill="1" applyBorder="1" applyAlignment="1" applyProtection="1">
      <alignment horizontal="center"/>
      <protection locked="0"/>
    </xf>
    <xf numFmtId="172" fontId="1" fillId="13" borderId="31" xfId="7" applyNumberFormat="1" applyFill="1" applyBorder="1" applyAlignment="1" applyProtection="1">
      <alignment horizontal="center"/>
      <protection locked="0"/>
    </xf>
    <xf numFmtId="0" fontId="10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168" fontId="2" fillId="0" borderId="0" xfId="2" applyNumberFormat="1" applyFont="1" applyAlignment="1">
      <alignment horizontal="center" vertical="center"/>
    </xf>
    <xf numFmtId="168" fontId="12" fillId="0" borderId="0" xfId="2" applyNumberFormat="1" applyFont="1" applyAlignment="1">
      <alignment horizontal="center" vertical="center"/>
    </xf>
    <xf numFmtId="168" fontId="32" fillId="0" borderId="0" xfId="2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4" fontId="10" fillId="2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/>
    </xf>
    <xf numFmtId="169" fontId="10" fillId="0" borderId="0" xfId="0" quotePrefix="1" applyNumberFormat="1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70" fontId="1" fillId="0" borderId="0" xfId="0" applyNumberFormat="1" applyFont="1" applyAlignment="1">
      <alignment horizontal="left" vertical="center"/>
    </xf>
    <xf numFmtId="49" fontId="1" fillId="2" borderId="0" xfId="0" applyNumberFormat="1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12" fillId="0" borderId="10" xfId="5" applyFont="1" applyBorder="1" applyAlignment="1">
      <alignment horizontal="center" vertical="center"/>
    </xf>
    <xf numFmtId="0" fontId="12" fillId="0" borderId="1" xfId="5" applyFont="1" applyBorder="1" applyAlignment="1">
      <alignment horizontal="center" vertical="center"/>
    </xf>
    <xf numFmtId="0" fontId="12" fillId="0" borderId="11" xfId="5" applyFont="1" applyBorder="1" applyAlignment="1">
      <alignment horizontal="center" vertical="center"/>
    </xf>
    <xf numFmtId="0" fontId="5" fillId="0" borderId="0" xfId="8" applyFont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56" fillId="0" borderId="0" xfId="7" applyFont="1" applyAlignment="1">
      <alignment horizontal="center"/>
    </xf>
    <xf numFmtId="0" fontId="57" fillId="6" borderId="4" xfId="8" applyFont="1" applyFill="1" applyBorder="1" applyAlignment="1">
      <alignment horizontal="center" vertical="center"/>
    </xf>
    <xf numFmtId="172" fontId="4" fillId="0" borderId="2" xfId="8" applyNumberFormat="1" applyFont="1" applyBorder="1" applyAlignment="1" applyProtection="1">
      <alignment horizontal="center" vertical="center"/>
      <protection hidden="1"/>
    </xf>
    <xf numFmtId="172" fontId="4" fillId="0" borderId="3" xfId="8" applyNumberFormat="1" applyFont="1" applyBorder="1" applyAlignment="1" applyProtection="1">
      <alignment horizontal="center" vertical="center"/>
      <protection hidden="1"/>
    </xf>
    <xf numFmtId="1" fontId="53" fillId="0" borderId="2" xfId="8" applyNumberFormat="1" applyFont="1" applyBorder="1" applyAlignment="1" applyProtection="1">
      <alignment horizontal="center" vertical="center"/>
      <protection hidden="1"/>
    </xf>
    <xf numFmtId="1" fontId="53" fillId="0" borderId="3" xfId="8" applyNumberFormat="1" applyFont="1" applyBorder="1" applyAlignment="1" applyProtection="1">
      <alignment horizontal="center" vertical="center"/>
      <protection hidden="1"/>
    </xf>
    <xf numFmtId="1" fontId="53" fillId="0" borderId="5" xfId="8" applyNumberFormat="1" applyFont="1" applyBorder="1" applyAlignment="1" applyProtection="1">
      <alignment horizontal="center" vertical="center"/>
      <protection hidden="1"/>
    </xf>
    <xf numFmtId="1" fontId="53" fillId="0" borderId="7" xfId="8" applyNumberFormat="1" applyFont="1" applyBorder="1" applyAlignment="1" applyProtection="1">
      <alignment horizontal="center" vertical="center"/>
      <protection hidden="1"/>
    </xf>
    <xf numFmtId="173" fontId="53" fillId="0" borderId="6" xfId="8" applyNumberFormat="1" applyFont="1" applyBorder="1" applyAlignment="1" applyProtection="1">
      <alignment horizontal="center" vertical="center"/>
      <protection hidden="1"/>
    </xf>
    <xf numFmtId="173" fontId="54" fillId="0" borderId="0" xfId="8" applyNumberFormat="1" applyFont="1" applyAlignment="1" applyProtection="1">
      <alignment horizontal="center" vertical="center"/>
      <protection locked="0" hidden="1"/>
    </xf>
    <xf numFmtId="0" fontId="6" fillId="0" borderId="4" xfId="8" applyFont="1" applyBorder="1" applyAlignment="1">
      <alignment horizontal="left" vertical="center"/>
    </xf>
    <xf numFmtId="172" fontId="4" fillId="0" borderId="4" xfId="8" applyNumberFormat="1" applyFont="1" applyBorder="1" applyAlignment="1" applyProtection="1">
      <alignment horizontal="center" vertical="center"/>
      <protection hidden="1"/>
    </xf>
    <xf numFmtId="172" fontId="53" fillId="0" borderId="4" xfId="8" applyNumberFormat="1" applyFont="1" applyBorder="1" applyAlignment="1" applyProtection="1">
      <alignment horizontal="center" vertical="center"/>
      <protection hidden="1"/>
    </xf>
    <xf numFmtId="0" fontId="2" fillId="0" borderId="0" xfId="7" applyFont="1" applyAlignment="1">
      <alignment horizontal="center"/>
    </xf>
    <xf numFmtId="0" fontId="2" fillId="0" borderId="0" xfId="7" applyFont="1" applyAlignment="1">
      <alignment horizontal="right"/>
    </xf>
    <xf numFmtId="1" fontId="4" fillId="0" borderId="4" xfId="8" applyNumberFormat="1" applyFont="1" applyBorder="1" applyAlignment="1" applyProtection="1">
      <alignment horizontal="center" vertical="center"/>
      <protection hidden="1"/>
    </xf>
    <xf numFmtId="0" fontId="42" fillId="0" borderId="0" xfId="8" applyFont="1" applyAlignment="1">
      <alignment horizontal="left" vertical="center"/>
    </xf>
    <xf numFmtId="0" fontId="42" fillId="0" borderId="0" xfId="8" applyFont="1" applyAlignment="1">
      <alignment horizontal="center" vertical="center"/>
    </xf>
    <xf numFmtId="0" fontId="4" fillId="6" borderId="14" xfId="8" applyFont="1" applyFill="1" applyBorder="1" applyAlignment="1" applyProtection="1">
      <alignment horizontal="center" vertical="center"/>
      <protection locked="0"/>
    </xf>
    <xf numFmtId="0" fontId="42" fillId="0" borderId="0" xfId="8" applyFont="1" applyAlignment="1">
      <alignment horizontal="right" vertical="center"/>
    </xf>
    <xf numFmtId="49" fontId="6" fillId="6" borderId="14" xfId="8" applyNumberFormat="1" applyFont="1" applyFill="1" applyBorder="1" applyAlignment="1" applyProtection="1">
      <alignment horizontal="center" vertical="center"/>
      <protection locked="0"/>
    </xf>
    <xf numFmtId="0" fontId="34" fillId="0" borderId="14" xfId="9" applyBorder="1"/>
    <xf numFmtId="0" fontId="6" fillId="6" borderId="14" xfId="8" quotePrefix="1" applyFont="1" applyFill="1" applyBorder="1" applyAlignment="1" applyProtection="1">
      <alignment horizontal="center" vertical="center"/>
      <protection locked="0"/>
    </xf>
    <xf numFmtId="0" fontId="6" fillId="6" borderId="14" xfId="8" applyFont="1" applyFill="1" applyBorder="1" applyAlignment="1" applyProtection="1">
      <alignment horizontal="center" vertical="center"/>
      <protection locked="0"/>
    </xf>
    <xf numFmtId="0" fontId="6" fillId="6" borderId="13" xfId="8" applyFont="1" applyFill="1" applyBorder="1" applyAlignment="1" applyProtection="1">
      <alignment horizontal="center" vertical="center"/>
      <protection locked="0"/>
    </xf>
    <xf numFmtId="0" fontId="42" fillId="0" borderId="0" xfId="8" applyFont="1" applyAlignment="1" applyProtection="1">
      <alignment horizontal="left" vertical="center"/>
      <protection hidden="1"/>
    </xf>
    <xf numFmtId="0" fontId="42" fillId="6" borderId="13" xfId="8" applyFont="1" applyFill="1" applyBorder="1" applyAlignment="1" applyProtection="1">
      <alignment horizontal="left" vertical="center"/>
      <protection locked="0"/>
    </xf>
    <xf numFmtId="2" fontId="49" fillId="0" borderId="0" xfId="8" applyNumberFormat="1" applyFont="1" applyAlignment="1">
      <alignment horizontal="left" vertical="center"/>
    </xf>
    <xf numFmtId="2" fontId="4" fillId="6" borderId="13" xfId="8" applyNumberFormat="1" applyFont="1" applyFill="1" applyBorder="1" applyAlignment="1" applyProtection="1">
      <alignment horizontal="center" vertical="center"/>
      <protection locked="0"/>
    </xf>
    <xf numFmtId="49" fontId="6" fillId="6" borderId="13" xfId="8" applyNumberFormat="1" applyFont="1" applyFill="1" applyBorder="1" applyAlignment="1" applyProtection="1">
      <alignment horizontal="center" vertical="center"/>
      <protection locked="0"/>
    </xf>
    <xf numFmtId="171" fontId="4" fillId="6" borderId="13" xfId="8" applyNumberFormat="1" applyFont="1" applyFill="1" applyBorder="1" applyAlignment="1" applyProtection="1">
      <alignment horizontal="center" vertical="center"/>
      <protection locked="0"/>
    </xf>
    <xf numFmtId="2" fontId="4" fillId="6" borderId="14" xfId="8" applyNumberFormat="1" applyFont="1" applyFill="1" applyBorder="1" applyAlignment="1" applyProtection="1">
      <alignment horizontal="center" vertical="center"/>
      <protection locked="0"/>
    </xf>
    <xf numFmtId="0" fontId="39" fillId="0" borderId="0" xfId="8" applyFont="1" applyAlignment="1">
      <alignment horizontal="center" vertical="center"/>
    </xf>
    <xf numFmtId="0" fontId="36" fillId="0" borderId="0" xfId="8" applyFont="1" applyAlignment="1">
      <alignment horizontal="left" vertical="center"/>
    </xf>
    <xf numFmtId="0" fontId="40" fillId="0" borderId="0" xfId="8" applyFont="1" applyAlignment="1">
      <alignment horizontal="center" vertical="center"/>
    </xf>
    <xf numFmtId="0" fontId="36" fillId="0" borderId="0" xfId="8" applyFont="1" applyAlignment="1">
      <alignment horizontal="center" vertical="center"/>
    </xf>
    <xf numFmtId="15" fontId="37" fillId="0" borderId="0" xfId="8" applyNumberFormat="1" applyFont="1" applyAlignment="1">
      <alignment horizontal="left" vertical="center"/>
    </xf>
    <xf numFmtId="182" fontId="4" fillId="6" borderId="13" xfId="8" applyNumberFormat="1" applyFont="1" applyFill="1" applyBorder="1" applyAlignment="1" applyProtection="1">
      <alignment horizontal="center" vertical="center"/>
      <protection locked="0"/>
    </xf>
  </cellXfs>
  <cellStyles count="11">
    <cellStyle name="Euro" xfId="1" xr:uid="{00000000-0005-0000-0000-000000000000}"/>
    <cellStyle name="Lien hypertexte" xfId="4" builtinId="8"/>
    <cellStyle name="Normal" xfId="0" builtinId="0"/>
    <cellStyle name="Normal 2" xfId="7" xr:uid="{00000000-0005-0000-0000-000003000000}"/>
    <cellStyle name="Normal 3" xfId="9" xr:uid="{00000000-0005-0000-0000-000004000000}"/>
    <cellStyle name="Normal_capabilte COMEP PRS2" xfId="8" xr:uid="{00000000-0005-0000-0000-000005000000}"/>
    <cellStyle name="Normal_FICHTECH_1" xfId="2" xr:uid="{00000000-0005-0000-0000-000006000000}"/>
    <cellStyle name="Normal_Methode1" xfId="3" xr:uid="{00000000-0005-0000-0000-000007000000}"/>
    <cellStyle name="Normal_Rapport d'essai-1 pièce 2" xfId="6" xr:uid="{00000000-0005-0000-0000-000008000000}"/>
    <cellStyle name="Normal_RD_vierge NIPPLE" xfId="5" xr:uid="{00000000-0005-0000-0000-000009000000}"/>
    <cellStyle name="Pourcentage 2" xfId="10" xr:uid="{00000000-0005-0000-0000-00000A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77777"/>
      <color rgb="FF808080"/>
      <color rgb="FFB2B2B2"/>
      <color rgb="FFC0C0C0"/>
      <color rgb="FF96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45"/>
          <c:y val="7.9881656804734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58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CA03-4B38-91E9-9FBC0639FE93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CA03-4B38-91E9-9FBC0639FE93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CA03-4B38-91E9-9FBC0639FE93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CA03-4B38-91E9-9FBC0639FE93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CA03-4B38-91E9-9FBC0639FE93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CA03-4B38-91E9-9FBC0639FE93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CA03-4B38-91E9-9FBC0639FE93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CA03-4B38-91E9-9FBC0639FE93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CA03-4B38-91E9-9FBC0639FE93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CA03-4B38-91E9-9FBC0639FE93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CA03-4B38-91E9-9FBC0639FE93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CA03-4B38-91E9-9FBC0639FE93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CA03-4B38-91E9-9FBC0639FE93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CA03-4B38-91E9-9FBC0639FE93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CA03-4B38-91E9-9FBC0639FE93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CA03-4B38-91E9-9FBC0639FE93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CA03-4B38-91E9-9FBC0639FE93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CA03-4B38-91E9-9FBC0639FE93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CA03-4B38-91E9-9FBC0639FE93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CA03-4B38-91E9-9FBC0639FE93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4-CA03-4B38-91E9-9FBC0639FE93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CA03-4B38-91E9-9FBC0639FE93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6-CA03-4B38-91E9-9FBC0639FE93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CA03-4B38-91E9-9FBC0639FE93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8-CA03-4B38-91E9-9FBC0639FE93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CA03-4B38-91E9-9FBC0639FE93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Capa!$C$62:$AC$62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Capa!$C$64:$AC$64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A03-4B38-91E9-9FBC0639F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691712"/>
        <c:axId val="94693248"/>
      </c:barChart>
      <c:catAx>
        <c:axId val="94691712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93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9324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4691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45"/>
          <c:y val="2.7237354085603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Capa!$C$62:$AC$62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Capa!$C$63:$AC$63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4AC-4E6C-B431-94480D58B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63808"/>
        <c:axId val="94665344"/>
      </c:lineChart>
      <c:catAx>
        <c:axId val="94663808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6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6534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4663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78"/>
          <c:y val="7.988165680473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69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A003-4472-ACF1-10F4DBF8379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003-4472-ACF1-10F4DBF83798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A003-4472-ACF1-10F4DBF83798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003-4472-ACF1-10F4DBF83798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A003-4472-ACF1-10F4DBF83798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A003-4472-ACF1-10F4DBF83798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A003-4472-ACF1-10F4DBF83798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A003-4472-ACF1-10F4DBF83798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A003-4472-ACF1-10F4DBF8379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A003-4472-ACF1-10F4DBF83798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A003-4472-ACF1-10F4DBF83798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A003-4472-ACF1-10F4DBF83798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A003-4472-ACF1-10F4DBF83798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A003-4472-ACF1-10F4DBF83798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A003-4472-ACF1-10F4DBF83798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A003-4472-ACF1-10F4DBF83798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A003-4472-ACF1-10F4DBF83798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A003-4472-ACF1-10F4DBF83798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A003-4472-ACF1-10F4DBF83798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A003-4472-ACF1-10F4DBF83798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4-A003-4472-ACF1-10F4DBF83798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A003-4472-ACF1-10F4DBF83798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6-A003-4472-ACF1-10F4DBF83798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A003-4472-ACF1-10F4DBF83798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8-A003-4472-ACF1-10F4DBF83798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A003-4472-ACF1-10F4DBF83798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'Capa (2)'!$C$64:$AC$64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003-4472-ACF1-10F4DBF83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417088"/>
        <c:axId val="97418624"/>
      </c:barChart>
      <c:catAx>
        <c:axId val="97417088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418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41862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7417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67"/>
          <c:y val="2.723735408560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8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'Capa (2)'!$C$63:$AC$63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A50-47AB-B8E3-A9D3CE260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38336"/>
        <c:axId val="97382784"/>
      </c:lineChart>
      <c:catAx>
        <c:axId val="97438336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382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38278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7438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45"/>
          <c:y val="7.9881656804734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58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945-421B-8237-930FD83D2A4A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945-421B-8237-930FD83D2A4A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945-421B-8237-930FD83D2A4A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945-421B-8237-930FD83D2A4A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945-421B-8237-930FD83D2A4A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9945-421B-8237-930FD83D2A4A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9945-421B-8237-930FD83D2A4A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9945-421B-8237-930FD83D2A4A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9945-421B-8237-930FD83D2A4A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9945-421B-8237-930FD83D2A4A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9945-421B-8237-930FD83D2A4A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9945-421B-8237-930FD83D2A4A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9945-421B-8237-930FD83D2A4A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9945-421B-8237-930FD83D2A4A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9945-421B-8237-930FD83D2A4A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9945-421B-8237-930FD83D2A4A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9945-421B-8237-930FD83D2A4A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9945-421B-8237-930FD83D2A4A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9945-421B-8237-930FD83D2A4A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9945-421B-8237-930FD83D2A4A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9945-421B-8237-930FD83D2A4A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9945-421B-8237-930FD83D2A4A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9945-421B-8237-930FD83D2A4A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9945-421B-8237-930FD83D2A4A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9945-421B-8237-930FD83D2A4A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9945-421B-8237-930FD83D2A4A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'Capa (3)'!$C$62:$AC$62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(3)'!$C$64:$AC$64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945-421B-8237-930FD83D2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691712"/>
        <c:axId val="94693248"/>
      </c:barChart>
      <c:catAx>
        <c:axId val="94691712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93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9324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4691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45"/>
          <c:y val="2.7237354085603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'Capa (3)'!$C$62:$AC$62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(3)'!$C$63:$AC$63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62-4D14-A01F-47BF84AD8E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63808"/>
        <c:axId val="94665344"/>
      </c:lineChart>
      <c:catAx>
        <c:axId val="94663808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6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6534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4663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78"/>
          <c:y val="7.988165680473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69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34F-4C99-B309-3127EB508F16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34F-4C99-B309-3127EB508F16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34F-4C99-B309-3127EB508F16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34F-4C99-B309-3127EB508F16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34F-4C99-B309-3127EB508F16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34F-4C99-B309-3127EB508F16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34F-4C99-B309-3127EB508F16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734F-4C99-B309-3127EB508F16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734F-4C99-B309-3127EB508F16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734F-4C99-B309-3127EB508F16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734F-4C99-B309-3127EB508F16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734F-4C99-B309-3127EB508F16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734F-4C99-B309-3127EB508F16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734F-4C99-B309-3127EB508F16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734F-4C99-B309-3127EB508F16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734F-4C99-B309-3127EB508F16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734F-4C99-B309-3127EB508F16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734F-4C99-B309-3127EB508F16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734F-4C99-B309-3127EB508F16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734F-4C99-B309-3127EB508F16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734F-4C99-B309-3127EB508F16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734F-4C99-B309-3127EB508F16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734F-4C99-B309-3127EB508F16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734F-4C99-B309-3127EB508F16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734F-4C99-B309-3127EB508F16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734F-4C99-B309-3127EB508F16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'Capa (4)'!$C$64:$AC$64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734F-4C99-B309-3127EB508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417088"/>
        <c:axId val="97418624"/>
      </c:barChart>
      <c:catAx>
        <c:axId val="97417088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418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41862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7417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67"/>
          <c:y val="2.723735408560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8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'Capa (4)'!$C$63:$AC$63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5E2-49AB-87F6-ADCD0B9FF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38336"/>
        <c:axId val="97382784"/>
      </c:lineChart>
      <c:catAx>
        <c:axId val="97438336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382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38278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7438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45"/>
          <c:y val="7.9881656804734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58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8FE-4EF5-962F-04D0D5DCB67D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D8FE-4EF5-962F-04D0D5DCB67D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D8FE-4EF5-962F-04D0D5DCB67D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D8FE-4EF5-962F-04D0D5DCB67D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D8FE-4EF5-962F-04D0D5DCB67D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D8FE-4EF5-962F-04D0D5DCB67D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D8FE-4EF5-962F-04D0D5DCB67D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D8FE-4EF5-962F-04D0D5DCB67D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D8FE-4EF5-962F-04D0D5DCB67D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D8FE-4EF5-962F-04D0D5DCB67D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D8FE-4EF5-962F-04D0D5DCB67D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D8FE-4EF5-962F-04D0D5DCB67D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D8FE-4EF5-962F-04D0D5DCB67D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D8FE-4EF5-962F-04D0D5DCB67D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D8FE-4EF5-962F-04D0D5DCB67D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D8FE-4EF5-962F-04D0D5DCB67D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D8FE-4EF5-962F-04D0D5DCB67D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D8FE-4EF5-962F-04D0D5DCB67D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D8FE-4EF5-962F-04D0D5DCB67D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D8FE-4EF5-962F-04D0D5DCB67D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D8FE-4EF5-962F-04D0D5DCB67D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D8FE-4EF5-962F-04D0D5DCB67D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D8FE-4EF5-962F-04D0D5DCB67D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D8FE-4EF5-962F-04D0D5DCB67D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D8FE-4EF5-962F-04D0D5DCB67D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D8FE-4EF5-962F-04D0D5DCB67D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'Capa (5)'!$C$62:$AC$62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(5)'!$C$64:$AC$64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D8FE-4EF5-962F-04D0D5DCB6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691712"/>
        <c:axId val="94693248"/>
      </c:barChart>
      <c:catAx>
        <c:axId val="94691712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93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9324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4691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45"/>
          <c:y val="2.7237354085603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'Capa (5)'!$C$62:$AC$62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(5)'!$C$63:$AC$63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A99-4A0E-A7C4-18B580427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63808"/>
        <c:axId val="94665344"/>
      </c:lineChart>
      <c:catAx>
        <c:axId val="94663808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6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6534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4663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78"/>
          <c:y val="7.988165680473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69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D2A-40BC-9577-C884EA5B0D5E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D2A-40BC-9577-C884EA5B0D5E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D2A-40BC-9577-C884EA5B0D5E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D2A-40BC-9577-C884EA5B0D5E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D2A-40BC-9577-C884EA5B0D5E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D2A-40BC-9577-C884EA5B0D5E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D2A-40BC-9577-C884EA5B0D5E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D2A-40BC-9577-C884EA5B0D5E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0D2A-40BC-9577-C884EA5B0D5E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0D2A-40BC-9577-C884EA5B0D5E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0D2A-40BC-9577-C884EA5B0D5E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0D2A-40BC-9577-C884EA5B0D5E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0D2A-40BC-9577-C884EA5B0D5E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0D2A-40BC-9577-C884EA5B0D5E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0D2A-40BC-9577-C884EA5B0D5E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0D2A-40BC-9577-C884EA5B0D5E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0D2A-40BC-9577-C884EA5B0D5E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0D2A-40BC-9577-C884EA5B0D5E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0D2A-40BC-9577-C884EA5B0D5E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0D2A-40BC-9577-C884EA5B0D5E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0D2A-40BC-9577-C884EA5B0D5E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0D2A-40BC-9577-C884EA5B0D5E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0D2A-40BC-9577-C884EA5B0D5E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0D2A-40BC-9577-C884EA5B0D5E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0D2A-40BC-9577-C884EA5B0D5E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0D2A-40BC-9577-C884EA5B0D5E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'Capa (6)'!$C$64:$AC$64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D2A-40BC-9577-C884EA5B0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417088"/>
        <c:axId val="97418624"/>
      </c:barChart>
      <c:catAx>
        <c:axId val="97417088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418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41862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7417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67"/>
          <c:y val="2.723735408560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8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'Capa (6)'!$C$63:$AC$63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350-43B0-A0CC-06BC79029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38336"/>
        <c:axId val="97382784"/>
      </c:lineChart>
      <c:catAx>
        <c:axId val="97438336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382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38278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7438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45"/>
          <c:y val="7.9881656804734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58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8E9D-4DF0-B7BF-0A1678E7E1C4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8E9D-4DF0-B7BF-0A1678E7E1C4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8E9D-4DF0-B7BF-0A1678E7E1C4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8E9D-4DF0-B7BF-0A1678E7E1C4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8E9D-4DF0-B7BF-0A1678E7E1C4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8E9D-4DF0-B7BF-0A1678E7E1C4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8E9D-4DF0-B7BF-0A1678E7E1C4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8E9D-4DF0-B7BF-0A1678E7E1C4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8E9D-4DF0-B7BF-0A1678E7E1C4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8E9D-4DF0-B7BF-0A1678E7E1C4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8E9D-4DF0-B7BF-0A1678E7E1C4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8E9D-4DF0-B7BF-0A1678E7E1C4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8E9D-4DF0-B7BF-0A1678E7E1C4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8E9D-4DF0-B7BF-0A1678E7E1C4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8E9D-4DF0-B7BF-0A1678E7E1C4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8E9D-4DF0-B7BF-0A1678E7E1C4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8E9D-4DF0-B7BF-0A1678E7E1C4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8E9D-4DF0-B7BF-0A1678E7E1C4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8E9D-4DF0-B7BF-0A1678E7E1C4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8E9D-4DF0-B7BF-0A1678E7E1C4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8E9D-4DF0-B7BF-0A1678E7E1C4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8E9D-4DF0-B7BF-0A1678E7E1C4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8E9D-4DF0-B7BF-0A1678E7E1C4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8E9D-4DF0-B7BF-0A1678E7E1C4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8E9D-4DF0-B7BF-0A1678E7E1C4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8E9D-4DF0-B7BF-0A1678E7E1C4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'Capa (7)'!$C$62:$AC$62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(7)'!$C$64:$AC$64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8E9D-4DF0-B7BF-0A1678E7E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691712"/>
        <c:axId val="94693248"/>
      </c:barChart>
      <c:catAx>
        <c:axId val="94691712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93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9324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4691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45"/>
          <c:y val="2.7237354085603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'Capa (7)'!$C$62:$AC$62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(7)'!$C$63:$AC$63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BA6-4CE8-BA7A-8C7362C96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63808"/>
        <c:axId val="94665344"/>
      </c:lineChart>
      <c:catAx>
        <c:axId val="94663808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6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6534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4663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78"/>
          <c:y val="7.988165680473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69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02F3-4CEC-903E-8BCF8F2EA5C8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02F3-4CEC-903E-8BCF8F2EA5C8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02F3-4CEC-903E-8BCF8F2EA5C8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02F3-4CEC-903E-8BCF8F2EA5C8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02F3-4CEC-903E-8BCF8F2EA5C8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02F3-4CEC-903E-8BCF8F2EA5C8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02F3-4CEC-903E-8BCF8F2EA5C8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02F3-4CEC-903E-8BCF8F2EA5C8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02F3-4CEC-903E-8BCF8F2EA5C8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02F3-4CEC-903E-8BCF8F2EA5C8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02F3-4CEC-903E-8BCF8F2EA5C8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02F3-4CEC-903E-8BCF8F2EA5C8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02F3-4CEC-903E-8BCF8F2EA5C8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02F3-4CEC-903E-8BCF8F2EA5C8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02F3-4CEC-903E-8BCF8F2EA5C8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02F3-4CEC-903E-8BCF8F2EA5C8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02F3-4CEC-903E-8BCF8F2EA5C8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02F3-4CEC-903E-8BCF8F2EA5C8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02F3-4CEC-903E-8BCF8F2EA5C8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02F3-4CEC-903E-8BCF8F2EA5C8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02F3-4CEC-903E-8BCF8F2EA5C8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02F3-4CEC-903E-8BCF8F2EA5C8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02F3-4CEC-903E-8BCF8F2EA5C8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02F3-4CEC-903E-8BCF8F2EA5C8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02F3-4CEC-903E-8BCF8F2EA5C8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02F3-4CEC-903E-8BCF8F2EA5C8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'Capa (8)'!$C$64:$AC$64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2F3-4CEC-903E-8BCF8F2EA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417088"/>
        <c:axId val="97418624"/>
      </c:barChart>
      <c:catAx>
        <c:axId val="97417088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418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41862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7417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67"/>
          <c:y val="2.723735408560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8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'Capa (8)'!$C$63:$AC$63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EC1-408B-84C2-68C9AC5A9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38336"/>
        <c:axId val="97382784"/>
      </c:lineChart>
      <c:catAx>
        <c:axId val="97438336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382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38278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7438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45"/>
          <c:y val="7.98816568047344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58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7ED6-4824-9CE0-19EEEADC89B1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7ED6-4824-9CE0-19EEEADC89B1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7ED6-4824-9CE0-19EEEADC89B1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7ED6-4824-9CE0-19EEEADC89B1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7ED6-4824-9CE0-19EEEADC89B1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7ED6-4824-9CE0-19EEEADC89B1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7ED6-4824-9CE0-19EEEADC89B1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7ED6-4824-9CE0-19EEEADC89B1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7ED6-4824-9CE0-19EEEADC89B1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7ED6-4824-9CE0-19EEEADC89B1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7ED6-4824-9CE0-19EEEADC89B1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7ED6-4824-9CE0-19EEEADC89B1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7ED6-4824-9CE0-19EEEADC89B1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7ED6-4824-9CE0-19EEEADC89B1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7ED6-4824-9CE0-19EEEADC89B1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7ED6-4824-9CE0-19EEEADC89B1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7ED6-4824-9CE0-19EEEADC89B1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7ED6-4824-9CE0-19EEEADC89B1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7ED6-4824-9CE0-19EEEADC89B1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7ED6-4824-9CE0-19EEEADC89B1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7ED6-4824-9CE0-19EEEADC89B1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7ED6-4824-9CE0-19EEEADC89B1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7ED6-4824-9CE0-19EEEADC89B1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7ED6-4824-9CE0-19EEEADC89B1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7ED6-4824-9CE0-19EEEADC89B1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7ED6-4824-9CE0-19EEEADC89B1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'Capa (9)'!$C$62:$AC$62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(9)'!$C$64:$AC$64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7ED6-4824-9CE0-19EEEADC8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4691712"/>
        <c:axId val="94693248"/>
      </c:barChart>
      <c:catAx>
        <c:axId val="94691712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93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93248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46917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45"/>
          <c:y val="2.72373540856036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61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'Capa (9)'!$C$62:$AC$62</c:f>
              <c:numCache>
                <c:formatCode>0.000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cat>
          <c:val>
            <c:numRef>
              <c:f>'Capa (9)'!$C$63:$AC$63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41D-4691-9DEB-597356863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63808"/>
        <c:axId val="94665344"/>
      </c:lineChart>
      <c:catAx>
        <c:axId val="94663808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46653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466534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466380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HISTOGRAMME</a:t>
            </a:r>
          </a:p>
        </c:rich>
      </c:tx>
      <c:layout>
        <c:manualLayout>
          <c:xMode val="edge"/>
          <c:yMode val="edge"/>
          <c:x val="0.43885898094260678"/>
          <c:y val="7.988165680473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521793214080727E-3"/>
          <c:y val="0.15976331360946969"/>
          <c:w val="0.98097891167609963"/>
          <c:h val="0.69230769230769262"/>
        </c:manualLayout>
      </c:layout>
      <c:barChart>
        <c:barDir val="col"/>
        <c:grouping val="clustered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E25-4E44-853B-3D9254D133C5}"/>
              </c:ext>
            </c:extLst>
          </c:dPt>
          <c:dPt>
            <c:idx val="2"/>
            <c:invertIfNegative val="0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E25-4E44-853B-3D9254D133C5}"/>
              </c:ext>
            </c:extLst>
          </c:dPt>
          <c:dPt>
            <c:idx val="3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4E25-4E44-853B-3D9254D133C5}"/>
              </c:ext>
            </c:extLst>
          </c:dPt>
          <c:dPt>
            <c:idx val="4"/>
            <c:invertIfNegative val="0"/>
            <c:bubble3D val="0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4E25-4E44-853B-3D9254D133C5}"/>
              </c:ext>
            </c:extLst>
          </c:dPt>
          <c:dPt>
            <c:idx val="5"/>
            <c:invertIfNegative val="0"/>
            <c:bubble3D val="0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4E25-4E44-853B-3D9254D133C5}"/>
              </c:ext>
            </c:extLst>
          </c:dPt>
          <c:dPt>
            <c:idx val="6"/>
            <c:invertIfNegative val="0"/>
            <c:bubble3D val="0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4E25-4E44-853B-3D9254D133C5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4E25-4E44-853B-3D9254D133C5}"/>
              </c:ext>
            </c:extLst>
          </c:dPt>
          <c:dPt>
            <c:idx val="8"/>
            <c:invertIfNegative val="0"/>
            <c:bubble3D val="0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4E25-4E44-853B-3D9254D133C5}"/>
              </c:ext>
            </c:extLst>
          </c:dPt>
          <c:dPt>
            <c:idx val="9"/>
            <c:invertIfNegative val="0"/>
            <c:bubble3D val="0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4E25-4E44-853B-3D9254D133C5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3-4E25-4E44-853B-3D9254D133C5}"/>
              </c:ext>
            </c:extLst>
          </c:dPt>
          <c:dPt>
            <c:idx val="11"/>
            <c:invertIfNegative val="0"/>
            <c:bubble3D val="0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5-4E25-4E44-853B-3D9254D133C5}"/>
              </c:ext>
            </c:extLst>
          </c:dPt>
          <c:dPt>
            <c:idx val="12"/>
            <c:invertIfNegative val="0"/>
            <c:bubble3D val="0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7-4E25-4E44-853B-3D9254D133C5}"/>
              </c:ext>
            </c:extLst>
          </c:dPt>
          <c:dPt>
            <c:idx val="13"/>
            <c:invertIfNegative val="0"/>
            <c:bubble3D val="0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9-4E25-4E44-853B-3D9254D133C5}"/>
              </c:ext>
            </c:extLst>
          </c:dPt>
          <c:dPt>
            <c:idx val="14"/>
            <c:invertIfNegative val="0"/>
            <c:bubble3D val="0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B-4E25-4E44-853B-3D9254D133C5}"/>
              </c:ext>
            </c:extLst>
          </c:dPt>
          <c:dPt>
            <c:idx val="15"/>
            <c:invertIfNegative val="0"/>
            <c:bubble3D val="0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D-4E25-4E44-853B-3D9254D133C5}"/>
              </c:ext>
            </c:extLst>
          </c:dPt>
          <c:dPt>
            <c:idx val="16"/>
            <c:invertIfNegative val="0"/>
            <c:bubble3D val="0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F-4E25-4E44-853B-3D9254D133C5}"/>
              </c:ext>
            </c:extLst>
          </c:dPt>
          <c:dPt>
            <c:idx val="17"/>
            <c:invertIfNegative val="0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1-4E25-4E44-853B-3D9254D133C5}"/>
              </c:ext>
            </c:extLst>
          </c:dPt>
          <c:dPt>
            <c:idx val="18"/>
            <c:invertIfNegative val="0"/>
            <c:bubble3D val="0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3-4E25-4E44-853B-3D9254D133C5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5-4E25-4E44-853B-3D9254D133C5}"/>
              </c:ext>
            </c:extLst>
          </c:dPt>
          <c:dPt>
            <c:idx val="20"/>
            <c:invertIfNegative val="0"/>
            <c:bubble3D val="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7-4E25-4E44-853B-3D9254D133C5}"/>
              </c:ext>
            </c:extLst>
          </c:dPt>
          <c:dPt>
            <c:idx val="21"/>
            <c:invertIfNegative val="0"/>
            <c:bubble3D val="0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9-4E25-4E44-853B-3D9254D133C5}"/>
              </c:ext>
            </c:extLst>
          </c:dPt>
          <c:dPt>
            <c:idx val="22"/>
            <c:invertIfNegative val="0"/>
            <c:bubble3D val="0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B-4E25-4E44-853B-3D9254D133C5}"/>
              </c:ext>
            </c:extLst>
          </c:dPt>
          <c:dPt>
            <c:idx val="23"/>
            <c:invertIfNegative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D-4E25-4E44-853B-3D9254D133C5}"/>
              </c:ext>
            </c:extLst>
          </c:dPt>
          <c:dPt>
            <c:idx val="24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2F-4E25-4E44-853B-3D9254D133C5}"/>
              </c:ext>
            </c:extLst>
          </c:dPt>
          <c:dPt>
            <c:idx val="25"/>
            <c:invertIfNegative val="0"/>
            <c:bubble3D val="0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1-4E25-4E44-853B-3D9254D133C5}"/>
              </c:ext>
            </c:extLst>
          </c:dPt>
          <c:dPt>
            <c:idx val="26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33-4E25-4E44-853B-3D9254D133C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'Capa (10)'!$C$64:$AC$64</c:f>
              <c:numCache>
                <c:formatCode>0</c:formatCode>
                <c:ptCount val="27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4E25-4E44-853B-3D9254D13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417088"/>
        <c:axId val="97418624"/>
      </c:barChart>
      <c:catAx>
        <c:axId val="97417088"/>
        <c:scaling>
          <c:orientation val="minMax"/>
        </c:scaling>
        <c:delete val="0"/>
        <c:axPos val="b"/>
        <c:numFmt formatCode="0.0000_);[Red]\(0.0000\)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4186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41862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ln w="9525">
            <a:noFill/>
          </a:ln>
        </c:spPr>
        <c:crossAx val="97417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DE GAUSS</a:t>
            </a:r>
          </a:p>
        </c:rich>
      </c:tx>
      <c:layout>
        <c:manualLayout>
          <c:xMode val="edge"/>
          <c:yMode val="edge"/>
          <c:x val="0.43699731903485767"/>
          <c:y val="2.723735408560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4128686327077733E-2"/>
          <c:y val="0.19844357976653695"/>
          <c:w val="0.96916890080428952"/>
          <c:h val="0.60700389105058983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'Capa (10)'!$C$63:$AC$63</c:f>
              <c:numCache>
                <c:formatCode>0.0000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EC6-49BB-B11A-22D00E6F6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38336"/>
        <c:axId val="97382784"/>
      </c:lineChart>
      <c:catAx>
        <c:axId val="97438336"/>
        <c:scaling>
          <c:orientation val="minMax"/>
        </c:scaling>
        <c:delete val="0"/>
        <c:axPos val="b"/>
        <c:numFmt formatCode="0.0000_);[Red]\(0.0000\)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973827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97382784"/>
        <c:scaling>
          <c:orientation val="minMax"/>
        </c:scaling>
        <c:delete val="1"/>
        <c:axPos val="r"/>
        <c:numFmt formatCode="0.0000" sourceLinked="1"/>
        <c:majorTickMark val="out"/>
        <c:minorTickMark val="none"/>
        <c:tickLblPos val="none"/>
        <c:crossAx val="974383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 orientation="landscape" horizontalDpi="300" verticalDpi="300"/>
  </c:printSettings>
  <c:userShapes r:id="rId1"/>
</c:chartSpace>
</file>

<file path=xl/ctrlProps/ctrlProp1.xml><?xml version="1.0" encoding="utf-8"?>
<formControlPr xmlns="http://schemas.microsoft.com/office/spreadsheetml/2009/9/main" objectType="Drop" dropStyle="combo" dx="22" fmlaLink="$W$96" fmlaRange="$T$98:$T$102" noThreeD="1" sel="5" val="0"/>
</file>

<file path=xl/ctrlProps/ctrlProp2.xml><?xml version="1.0" encoding="utf-8"?>
<formControlPr xmlns="http://schemas.microsoft.com/office/spreadsheetml/2009/9/main" objectType="Drop" dropStyle="combo" dx="22" fmlaLink="$U$52" fmlaRange="$T$51:$T$53" noThreeD="1" sel="2" val="0"/>
</file>

<file path=xl/ctrlProps/ctrlProp3.xml><?xml version="1.0" encoding="utf-8"?>
<formControlPr xmlns="http://schemas.microsoft.com/office/spreadsheetml/2009/9/main" objectType="Drop" dropStyle="combo" dx="22" fmlaLink="$U$63" fmlaRange="$T$62:$T$65" noThreeD="1" sel="3" val="0"/>
</file>

<file path=xl/ctrlProps/ctrlProp4.xml><?xml version="1.0" encoding="utf-8"?>
<formControlPr xmlns="http://schemas.microsoft.com/office/spreadsheetml/2009/9/main" objectType="Drop" dropStyle="combo" dx="22" fmlaLink="$T$39" fmlaRange="$T$43:$T$48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5372100" y="381000"/>
          <a:ext cx="0" cy="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fr-F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CONSTAT DE VERIFICATION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43</xdr:row>
      <xdr:rowOff>152400</xdr:rowOff>
    </xdr:from>
    <xdr:to>
      <xdr:col>12</xdr:col>
      <xdr:colOff>0</xdr:colOff>
      <xdr:row>46</xdr:row>
      <xdr:rowOff>152400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5372100" y="8153400"/>
          <a:ext cx="0" cy="5715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Température indiquée par la chaîne de référence.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: Température lue sur l'indicateur.</a:t>
          </a: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TL - TE</a:t>
          </a: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: Ecart entre la température indiquée par la chaîne de référence et la température lue sur l'indicateur.</a:t>
          </a:r>
        </a:p>
      </xdr:txBody>
    </xdr:sp>
    <xdr:clientData/>
  </xdr:twoCellAnchor>
  <xdr:twoCellAnchor>
    <xdr:from>
      <xdr:col>16</xdr:col>
      <xdr:colOff>581025</xdr:colOff>
      <xdr:row>10</xdr:row>
      <xdr:rowOff>57150</xdr:rowOff>
    </xdr:from>
    <xdr:to>
      <xdr:col>16</xdr:col>
      <xdr:colOff>581025</xdr:colOff>
      <xdr:row>55</xdr:row>
      <xdr:rowOff>161925</xdr:rowOff>
    </xdr:to>
    <xdr:sp macro="" textlink="">
      <xdr:nvSpPr>
        <xdr:cNvPr id="5" name="Text Box 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7934325" y="1962150"/>
          <a:ext cx="0" cy="905827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étalon : 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Indication donnée par la sonde de température de référence positionnée dans l'équipement.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Espace de travail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Partie du volume intérieur de l'enceinte dans laquelle les conditions d'environnement spécifiées sont maintenues dans les erreurs maximales tolérées.</a:t>
          </a: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Température de l'air dans l'équipement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Moyenne arithmétique des mesurages de la température de l'air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Valeur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entrée sur le régulateur pour obtenir la condition désirée.</a:t>
          </a:r>
        </a:p>
        <a:p>
          <a:pPr algn="l" rtl="0">
            <a:defRPr sz="1000"/>
          </a:pPr>
          <a:endParaRPr lang="fr-FR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Ecart de consigne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de consigne et la valeur moyenne étalon mesurée dans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Indicateur d'environnement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Equipement associé au système de régulation affichant les paramètres internes de l'équipement.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 d'indication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entre la valeur moyenne de l'indicateur d'environnement et la valeur moyenne étalon mesurée dans l'espace de travail.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maximale, entre les moyennes des mesures de chaque point de l'espace de travail.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 qui caractérise, en un point de l'espace de travail, les variations d'un paramètre d'environnement dans le temps.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Stabilité maximale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Plus grande valeur des stabilités déterminée, pendant la durée des mesures.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Homogénéité + stabilité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Différence maximale entre toutes les mesures relevées pendant le durée des mesures. 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Régime établi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Etat atteint par l'environnement quand les écarts, entre les valeurs en chaque point de l'espace de travail et la valeur de consigne, sont stabilisés pour chacun des paramètres d'environnement.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Erreurs maximales tolérées (EMT) :</a:t>
          </a: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Valeurs extrêmes d'une erreur tolérées par les spécifications, règlements, etc., pour un instrument de mesure donné.</a:t>
          </a:r>
        </a:p>
        <a:p>
          <a:pPr algn="l" rtl="0">
            <a:defRPr sz="1000"/>
          </a:pPr>
          <a:endParaRPr lang="fr-FR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6" name="Text Box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8" name="Text Box 1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9" name="Text Box 1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0" name="Text Box 1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1" name="Text Box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12</xdr:col>
      <xdr:colOff>0</xdr:colOff>
      <xdr:row>18</xdr:row>
      <xdr:rowOff>9525</xdr:rowOff>
    </xdr:to>
    <xdr:sp macro="" textlink="">
      <xdr:nvSpPr>
        <xdr:cNvPr id="12" name="Text Box 1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537210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13</xdr:col>
      <xdr:colOff>0</xdr:colOff>
      <xdr:row>15</xdr:row>
      <xdr:rowOff>85725</xdr:rowOff>
    </xdr:from>
    <xdr:to>
      <xdr:col>13</xdr:col>
      <xdr:colOff>0</xdr:colOff>
      <xdr:row>18</xdr:row>
      <xdr:rowOff>9525</xdr:rowOff>
    </xdr:to>
    <xdr:sp macro="" textlink="">
      <xdr:nvSpPr>
        <xdr:cNvPr id="13" name="Text Box 1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58197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12</xdr:col>
      <xdr:colOff>0</xdr:colOff>
      <xdr:row>15</xdr:row>
      <xdr:rowOff>85725</xdr:rowOff>
    </xdr:from>
    <xdr:to>
      <xdr:col>12</xdr:col>
      <xdr:colOff>0</xdr:colOff>
      <xdr:row>18</xdr:row>
      <xdr:rowOff>9525</xdr:rowOff>
    </xdr:to>
    <xdr:sp macro="" textlink="">
      <xdr:nvSpPr>
        <xdr:cNvPr id="14" name="Text Box 16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537210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5" name="Text Box 2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6" name="Text Box 2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7" name="Text Box 2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18" name="Text Box 2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19" name="Text Box 2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0" name="Text Box 3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1" name="Text Box 3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2" name="Text Box 3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23" name="Text Box 33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4" name="Text Box 34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5" name="Text Box 3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6" name="Text Box 36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7" name="Text Box 37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28" name="Text Box 3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29" name="Text Box 39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30" name="Text Box 40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10</xdr:col>
      <xdr:colOff>0</xdr:colOff>
      <xdr:row>18</xdr:row>
      <xdr:rowOff>9525</xdr:rowOff>
    </xdr:to>
    <xdr:sp macro="" textlink="">
      <xdr:nvSpPr>
        <xdr:cNvPr id="31" name="Text Box 4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4476750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11</xdr:col>
      <xdr:colOff>0</xdr:colOff>
      <xdr:row>15</xdr:row>
      <xdr:rowOff>85725</xdr:rowOff>
    </xdr:from>
    <xdr:to>
      <xdr:col>11</xdr:col>
      <xdr:colOff>0</xdr:colOff>
      <xdr:row>18</xdr:row>
      <xdr:rowOff>9525</xdr:rowOff>
    </xdr:to>
    <xdr:sp macro="" textlink="">
      <xdr:nvSpPr>
        <xdr:cNvPr id="32" name="Text Box 4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492442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3" name="Text Box 4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4" name="Text Box 4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5" name="Text Box 45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6" name="Text Box 46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7" name="Text Box 47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38" name="Text Box 4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39" name="Text Box 4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0" name="Text Box 50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41" name="Text Box 5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2" name="Text Box 5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3" name="Text Box 5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4" name="Text Box 5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5" name="Text Box 5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6" name="Text Box 56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7" name="Text Box 57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15</xdr:row>
      <xdr:rowOff>85725</xdr:rowOff>
    </xdr:from>
    <xdr:to>
      <xdr:col>9</xdr:col>
      <xdr:colOff>0</xdr:colOff>
      <xdr:row>18</xdr:row>
      <xdr:rowOff>9525</xdr:rowOff>
    </xdr:to>
    <xdr:sp macro="" textlink="">
      <xdr:nvSpPr>
        <xdr:cNvPr id="48" name="Text Box 5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4029075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9</xdr:col>
      <xdr:colOff>0</xdr:colOff>
      <xdr:row>18</xdr:row>
      <xdr:rowOff>9525</xdr:rowOff>
    </xdr:to>
    <xdr:sp macro="" textlink="">
      <xdr:nvSpPr>
        <xdr:cNvPr id="49" name="Text Box 5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4029075" y="2857500"/>
          <a:ext cx="0" cy="390525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>
    <xdr:from>
      <xdr:col>10</xdr:col>
      <xdr:colOff>0</xdr:colOff>
      <xdr:row>15</xdr:row>
      <xdr:rowOff>85725</xdr:rowOff>
    </xdr:from>
    <xdr:to>
      <xdr:col>10</xdr:col>
      <xdr:colOff>0</xdr:colOff>
      <xdr:row>18</xdr:row>
      <xdr:rowOff>9525</xdr:rowOff>
    </xdr:to>
    <xdr:sp macro="" textlink="">
      <xdr:nvSpPr>
        <xdr:cNvPr id="50" name="Text Box 6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4476750" y="2752725"/>
          <a:ext cx="0" cy="495300"/>
        </a:xfrm>
        <a:prstGeom prst="rect">
          <a:avLst/>
        </a:prstGeom>
        <a:solidFill>
          <a:srgbClr val="FFFFFF"/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réalisée par comparaison à une chaîne de mesure de température étalon.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La vérification a été effectuée après mise en chauffe de l'instrument.</a:t>
          </a:r>
        </a:p>
      </xdr:txBody>
    </xdr:sp>
    <xdr:clientData/>
  </xdr:twoCellAnchor>
  <xdr:twoCellAnchor editAs="oneCell">
    <xdr:from>
      <xdr:col>1</xdr:col>
      <xdr:colOff>19051</xdr:colOff>
      <xdr:row>2</xdr:row>
      <xdr:rowOff>38100</xdr:rowOff>
    </xdr:from>
    <xdr:to>
      <xdr:col>5</xdr:col>
      <xdr:colOff>201173</xdr:colOff>
      <xdr:row>5</xdr:row>
      <xdr:rowOff>190499</xdr:rowOff>
    </xdr:to>
    <xdr:pic>
      <xdr:nvPicPr>
        <xdr:cNvPr id="51" name="Image 1">
          <a:extLst>
            <a:ext uri="{FF2B5EF4-FFF2-40B4-BE49-F238E27FC236}">
              <a16:creationId xmlns:a16="http://schemas.microsoft.com/office/drawing/2014/main" id="{00000000-0008-0000-0000-000033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66726" y="419100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476250</xdr:colOff>
          <xdr:row>95</xdr:row>
          <xdr:rowOff>9525</xdr:rowOff>
        </xdr:from>
        <xdr:to>
          <xdr:col>21</xdr:col>
          <xdr:colOff>390525</xdr:colOff>
          <xdr:row>96</xdr:row>
          <xdr:rowOff>9525</xdr:rowOff>
        </xdr:to>
        <xdr:sp macro="" textlink="">
          <xdr:nvSpPr>
            <xdr:cNvPr id="15364" name="Drop Dow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219075</xdr:rowOff>
        </xdr:from>
        <xdr:to>
          <xdr:col>14</xdr:col>
          <xdr:colOff>704850</xdr:colOff>
          <xdr:row>49</xdr:row>
          <xdr:rowOff>228600</xdr:rowOff>
        </xdr:to>
        <xdr:sp macro="" textlink="">
          <xdr:nvSpPr>
            <xdr:cNvPr id="15365" name="Drop Dow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60</xdr:row>
          <xdr:rowOff>228600</xdr:rowOff>
        </xdr:from>
        <xdr:to>
          <xdr:col>14</xdr:col>
          <xdr:colOff>552450</xdr:colOff>
          <xdr:row>62</xdr:row>
          <xdr:rowOff>38100</xdr:rowOff>
        </xdr:to>
        <xdr:sp macro="" textlink="">
          <xdr:nvSpPr>
            <xdr:cNvPr id="15366" name="Drop Dow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161925</xdr:rowOff>
        </xdr:from>
        <xdr:to>
          <xdr:col>14</xdr:col>
          <xdr:colOff>428625</xdr:colOff>
          <xdr:row>46</xdr:row>
          <xdr:rowOff>9525</xdr:rowOff>
        </xdr:to>
        <xdr:sp macro="" textlink="">
          <xdr:nvSpPr>
            <xdr:cNvPr id="15371" name="Drop Dow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50799</xdr:colOff>
      <xdr:row>6</xdr:row>
      <xdr:rowOff>6349</xdr:rowOff>
    </xdr:from>
    <xdr:to>
      <xdr:col>26</xdr:col>
      <xdr:colOff>241299</xdr:colOff>
      <xdr:row>7</xdr:row>
      <xdr:rowOff>6350</xdr:rowOff>
    </xdr:to>
    <xdr:sp macro="" textlink="">
      <xdr:nvSpPr>
        <xdr:cNvPr id="3" name="Ellips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1023599" y="1423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 editAs="oneCell">
    <xdr:from>
      <xdr:col>26</xdr:col>
      <xdr:colOff>50799</xdr:colOff>
      <xdr:row>7</xdr:row>
      <xdr:rowOff>6349</xdr:rowOff>
    </xdr:from>
    <xdr:to>
      <xdr:col>26</xdr:col>
      <xdr:colOff>241299</xdr:colOff>
      <xdr:row>8</xdr:row>
      <xdr:rowOff>6349</xdr:rowOff>
    </xdr:to>
    <xdr:sp macro="" textlink="">
      <xdr:nvSpPr>
        <xdr:cNvPr id="4" name="Ellips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1023599" y="1614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 editAs="oneCell">
    <xdr:from>
      <xdr:col>26</xdr:col>
      <xdr:colOff>50799</xdr:colOff>
      <xdr:row>8</xdr:row>
      <xdr:rowOff>6349</xdr:rowOff>
    </xdr:from>
    <xdr:to>
      <xdr:col>26</xdr:col>
      <xdr:colOff>241299</xdr:colOff>
      <xdr:row>9</xdr:row>
      <xdr:rowOff>6348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11023599" y="1804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 editAs="oneCell">
    <xdr:from>
      <xdr:col>26</xdr:col>
      <xdr:colOff>50799</xdr:colOff>
      <xdr:row>9</xdr:row>
      <xdr:rowOff>6349</xdr:rowOff>
    </xdr:from>
    <xdr:to>
      <xdr:col>26</xdr:col>
      <xdr:colOff>241299</xdr:colOff>
      <xdr:row>10</xdr:row>
      <xdr:rowOff>6349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11023599" y="1995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 editAs="oneCell">
    <xdr:from>
      <xdr:col>26</xdr:col>
      <xdr:colOff>50799</xdr:colOff>
      <xdr:row>10</xdr:row>
      <xdr:rowOff>6349</xdr:rowOff>
    </xdr:from>
    <xdr:to>
      <xdr:col>26</xdr:col>
      <xdr:colOff>241299</xdr:colOff>
      <xdr:row>11</xdr:row>
      <xdr:rowOff>6349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11023599" y="2185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 editAs="oneCell">
    <xdr:from>
      <xdr:col>26</xdr:col>
      <xdr:colOff>50799</xdr:colOff>
      <xdr:row>11</xdr:row>
      <xdr:rowOff>6349</xdr:rowOff>
    </xdr:from>
    <xdr:to>
      <xdr:col>26</xdr:col>
      <xdr:colOff>241299</xdr:colOff>
      <xdr:row>12</xdr:row>
      <xdr:rowOff>6349</xdr:rowOff>
    </xdr:to>
    <xdr:sp macro="" textlink="">
      <xdr:nvSpPr>
        <xdr:cNvPr id="8" name="Ellips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11023599" y="2376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 editAs="oneCell">
    <xdr:from>
      <xdr:col>26</xdr:col>
      <xdr:colOff>50799</xdr:colOff>
      <xdr:row>12</xdr:row>
      <xdr:rowOff>6349</xdr:rowOff>
    </xdr:from>
    <xdr:to>
      <xdr:col>26</xdr:col>
      <xdr:colOff>241299</xdr:colOff>
      <xdr:row>13</xdr:row>
      <xdr:rowOff>6349</xdr:rowOff>
    </xdr:to>
    <xdr:sp macro="" textlink="">
      <xdr:nvSpPr>
        <xdr:cNvPr id="9" name="El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11023599" y="2566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 editAs="oneCell">
    <xdr:from>
      <xdr:col>26</xdr:col>
      <xdr:colOff>50799</xdr:colOff>
      <xdr:row>13</xdr:row>
      <xdr:rowOff>6349</xdr:rowOff>
    </xdr:from>
    <xdr:to>
      <xdr:col>26</xdr:col>
      <xdr:colOff>241299</xdr:colOff>
      <xdr:row>14</xdr:row>
      <xdr:rowOff>6350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11023599" y="2757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 editAs="oneCell">
    <xdr:from>
      <xdr:col>26</xdr:col>
      <xdr:colOff>50799</xdr:colOff>
      <xdr:row>14</xdr:row>
      <xdr:rowOff>6349</xdr:rowOff>
    </xdr:from>
    <xdr:to>
      <xdr:col>26</xdr:col>
      <xdr:colOff>241299</xdr:colOff>
      <xdr:row>15</xdr:row>
      <xdr:rowOff>6349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023599" y="2947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 editAs="oneCell">
    <xdr:from>
      <xdr:col>27</xdr:col>
      <xdr:colOff>165099</xdr:colOff>
      <xdr:row>5</xdr:row>
      <xdr:rowOff>187324</xdr:rowOff>
    </xdr:from>
    <xdr:to>
      <xdr:col>28</xdr:col>
      <xdr:colOff>107949</xdr:colOff>
      <xdr:row>6</xdr:row>
      <xdr:rowOff>187324</xdr:rowOff>
    </xdr:to>
    <xdr:sp macro="" textlink="">
      <xdr:nvSpPr>
        <xdr:cNvPr id="12" name="Ellips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11389359" y="1414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 editAs="oneCell">
    <xdr:from>
      <xdr:col>27</xdr:col>
      <xdr:colOff>165099</xdr:colOff>
      <xdr:row>6</xdr:row>
      <xdr:rowOff>187324</xdr:rowOff>
    </xdr:from>
    <xdr:to>
      <xdr:col>28</xdr:col>
      <xdr:colOff>107949</xdr:colOff>
      <xdr:row>7</xdr:row>
      <xdr:rowOff>187325</xdr:rowOff>
    </xdr:to>
    <xdr:sp macro="" textlink="">
      <xdr:nvSpPr>
        <xdr:cNvPr id="13" name="Ellips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11389359" y="1604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 editAs="oneCell">
    <xdr:from>
      <xdr:col>27</xdr:col>
      <xdr:colOff>165099</xdr:colOff>
      <xdr:row>7</xdr:row>
      <xdr:rowOff>187324</xdr:rowOff>
    </xdr:from>
    <xdr:to>
      <xdr:col>28</xdr:col>
      <xdr:colOff>107949</xdr:colOff>
      <xdr:row>8</xdr:row>
      <xdr:rowOff>187324</xdr:rowOff>
    </xdr:to>
    <xdr:sp macro="" textlink="">
      <xdr:nvSpPr>
        <xdr:cNvPr id="14" name="Ellips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11389359" y="1795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 editAs="oneCell">
    <xdr:from>
      <xdr:col>27</xdr:col>
      <xdr:colOff>165099</xdr:colOff>
      <xdr:row>8</xdr:row>
      <xdr:rowOff>187324</xdr:rowOff>
    </xdr:from>
    <xdr:to>
      <xdr:col>28</xdr:col>
      <xdr:colOff>107949</xdr:colOff>
      <xdr:row>9</xdr:row>
      <xdr:rowOff>187323</xdr:rowOff>
    </xdr:to>
    <xdr:sp macro="" textlink="">
      <xdr:nvSpPr>
        <xdr:cNvPr id="15" name="Ellips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11389359" y="1985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 editAs="oneCell">
    <xdr:from>
      <xdr:col>27</xdr:col>
      <xdr:colOff>165099</xdr:colOff>
      <xdr:row>9</xdr:row>
      <xdr:rowOff>187324</xdr:rowOff>
    </xdr:from>
    <xdr:to>
      <xdr:col>28</xdr:col>
      <xdr:colOff>107949</xdr:colOff>
      <xdr:row>10</xdr:row>
      <xdr:rowOff>187324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11389359" y="2176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14</a:t>
          </a:r>
        </a:p>
      </xdr:txBody>
    </xdr:sp>
    <xdr:clientData/>
  </xdr:twoCellAnchor>
  <xdr:twoCellAnchor editAs="oneCell">
    <xdr:from>
      <xdr:col>27</xdr:col>
      <xdr:colOff>165099</xdr:colOff>
      <xdr:row>10</xdr:row>
      <xdr:rowOff>187324</xdr:rowOff>
    </xdr:from>
    <xdr:to>
      <xdr:col>28</xdr:col>
      <xdr:colOff>107949</xdr:colOff>
      <xdr:row>11</xdr:row>
      <xdr:rowOff>187324</xdr:rowOff>
    </xdr:to>
    <xdr:sp macro="" textlink="">
      <xdr:nvSpPr>
        <xdr:cNvPr id="17" name="Ellips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11389359" y="2366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15</a:t>
          </a:r>
        </a:p>
      </xdr:txBody>
    </xdr:sp>
    <xdr:clientData/>
  </xdr:twoCellAnchor>
  <xdr:twoCellAnchor editAs="oneCell">
    <xdr:from>
      <xdr:col>27</xdr:col>
      <xdr:colOff>165099</xdr:colOff>
      <xdr:row>11</xdr:row>
      <xdr:rowOff>187324</xdr:rowOff>
    </xdr:from>
    <xdr:to>
      <xdr:col>28</xdr:col>
      <xdr:colOff>107949</xdr:colOff>
      <xdr:row>12</xdr:row>
      <xdr:rowOff>187324</xdr:rowOff>
    </xdr:to>
    <xdr:sp macro="" textlink="">
      <xdr:nvSpPr>
        <xdr:cNvPr id="18" name="Ellips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11389359" y="2557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16</a:t>
          </a:r>
        </a:p>
      </xdr:txBody>
    </xdr:sp>
    <xdr:clientData/>
  </xdr:twoCellAnchor>
  <xdr:twoCellAnchor editAs="oneCell">
    <xdr:from>
      <xdr:col>27</xdr:col>
      <xdr:colOff>165099</xdr:colOff>
      <xdr:row>12</xdr:row>
      <xdr:rowOff>187324</xdr:rowOff>
    </xdr:from>
    <xdr:to>
      <xdr:col>28</xdr:col>
      <xdr:colOff>107949</xdr:colOff>
      <xdr:row>13</xdr:row>
      <xdr:rowOff>187324</xdr:rowOff>
    </xdr:to>
    <xdr:sp macro="" textlink="">
      <xdr:nvSpPr>
        <xdr:cNvPr id="19" name="Ellips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11389359" y="2747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17</a:t>
          </a:r>
        </a:p>
      </xdr:txBody>
    </xdr:sp>
    <xdr:clientData/>
  </xdr:twoCellAnchor>
  <xdr:twoCellAnchor editAs="oneCell">
    <xdr:from>
      <xdr:col>27</xdr:col>
      <xdr:colOff>165099</xdr:colOff>
      <xdr:row>13</xdr:row>
      <xdr:rowOff>187324</xdr:rowOff>
    </xdr:from>
    <xdr:to>
      <xdr:col>28</xdr:col>
      <xdr:colOff>107949</xdr:colOff>
      <xdr:row>14</xdr:row>
      <xdr:rowOff>187325</xdr:rowOff>
    </xdr:to>
    <xdr:sp macro="" textlink="">
      <xdr:nvSpPr>
        <xdr:cNvPr id="20" name="Ellips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 bwMode="auto">
        <a:xfrm>
          <a:off x="11389359" y="29381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18</a:t>
          </a:r>
        </a:p>
      </xdr:txBody>
    </xdr:sp>
    <xdr:clientData/>
  </xdr:twoCellAnchor>
  <xdr:twoCellAnchor editAs="oneCell">
    <xdr:from>
      <xdr:col>27</xdr:col>
      <xdr:colOff>165099</xdr:colOff>
      <xdr:row>14</xdr:row>
      <xdr:rowOff>187324</xdr:rowOff>
    </xdr:from>
    <xdr:to>
      <xdr:col>28</xdr:col>
      <xdr:colOff>107949</xdr:colOff>
      <xdr:row>15</xdr:row>
      <xdr:rowOff>187324</xdr:rowOff>
    </xdr:to>
    <xdr:sp macro="" textlink="">
      <xdr:nvSpPr>
        <xdr:cNvPr id="21" name="Ellips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 bwMode="auto">
        <a:xfrm>
          <a:off x="11389359" y="312864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19</a:t>
          </a:r>
        </a:p>
      </xdr:txBody>
    </xdr:sp>
    <xdr:clientData/>
  </xdr:twoCellAnchor>
  <xdr:twoCellAnchor editAs="oneCell">
    <xdr:from>
      <xdr:col>29</xdr:col>
      <xdr:colOff>47624</xdr:colOff>
      <xdr:row>6</xdr:row>
      <xdr:rowOff>6349</xdr:rowOff>
    </xdr:from>
    <xdr:to>
      <xdr:col>29</xdr:col>
      <xdr:colOff>238124</xdr:colOff>
      <xdr:row>7</xdr:row>
      <xdr:rowOff>6350</xdr:rowOff>
    </xdr:to>
    <xdr:sp macro="" textlink="">
      <xdr:nvSpPr>
        <xdr:cNvPr id="22" name="Ellips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11774804" y="1423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20</a:t>
          </a:r>
        </a:p>
      </xdr:txBody>
    </xdr:sp>
    <xdr:clientData/>
  </xdr:twoCellAnchor>
  <xdr:twoCellAnchor editAs="oneCell">
    <xdr:from>
      <xdr:col>29</xdr:col>
      <xdr:colOff>47624</xdr:colOff>
      <xdr:row>7</xdr:row>
      <xdr:rowOff>6349</xdr:rowOff>
    </xdr:from>
    <xdr:to>
      <xdr:col>29</xdr:col>
      <xdr:colOff>238124</xdr:colOff>
      <xdr:row>8</xdr:row>
      <xdr:rowOff>6349</xdr:rowOff>
    </xdr:to>
    <xdr:sp macro="" textlink="">
      <xdr:nvSpPr>
        <xdr:cNvPr id="23" name="Ellips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 bwMode="auto">
        <a:xfrm>
          <a:off x="11774804" y="1614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21</a:t>
          </a:r>
        </a:p>
      </xdr:txBody>
    </xdr:sp>
    <xdr:clientData/>
  </xdr:twoCellAnchor>
  <xdr:twoCellAnchor editAs="oneCell">
    <xdr:from>
      <xdr:col>29</xdr:col>
      <xdr:colOff>47624</xdr:colOff>
      <xdr:row>8</xdr:row>
      <xdr:rowOff>6349</xdr:rowOff>
    </xdr:from>
    <xdr:to>
      <xdr:col>29</xdr:col>
      <xdr:colOff>238124</xdr:colOff>
      <xdr:row>9</xdr:row>
      <xdr:rowOff>6348</xdr:rowOff>
    </xdr:to>
    <xdr:sp macro="" textlink="">
      <xdr:nvSpPr>
        <xdr:cNvPr id="24" name="Ellips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11774804" y="1804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22</a:t>
          </a:r>
        </a:p>
      </xdr:txBody>
    </xdr:sp>
    <xdr:clientData/>
  </xdr:twoCellAnchor>
  <xdr:twoCellAnchor editAs="oneCell">
    <xdr:from>
      <xdr:col>29</xdr:col>
      <xdr:colOff>47624</xdr:colOff>
      <xdr:row>9</xdr:row>
      <xdr:rowOff>6349</xdr:rowOff>
    </xdr:from>
    <xdr:to>
      <xdr:col>29</xdr:col>
      <xdr:colOff>238124</xdr:colOff>
      <xdr:row>10</xdr:row>
      <xdr:rowOff>6349</xdr:rowOff>
    </xdr:to>
    <xdr:sp macro="" textlink="">
      <xdr:nvSpPr>
        <xdr:cNvPr id="25" name="Ellips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11774804" y="1995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23</a:t>
          </a:r>
        </a:p>
      </xdr:txBody>
    </xdr:sp>
    <xdr:clientData/>
  </xdr:twoCellAnchor>
  <xdr:twoCellAnchor editAs="oneCell">
    <xdr:from>
      <xdr:col>29</xdr:col>
      <xdr:colOff>47624</xdr:colOff>
      <xdr:row>10</xdr:row>
      <xdr:rowOff>6349</xdr:rowOff>
    </xdr:from>
    <xdr:to>
      <xdr:col>29</xdr:col>
      <xdr:colOff>238124</xdr:colOff>
      <xdr:row>11</xdr:row>
      <xdr:rowOff>6349</xdr:rowOff>
    </xdr:to>
    <xdr:sp macro="" textlink="">
      <xdr:nvSpPr>
        <xdr:cNvPr id="26" name="Ellips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11774804" y="2185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24</a:t>
          </a:r>
        </a:p>
      </xdr:txBody>
    </xdr:sp>
    <xdr:clientData/>
  </xdr:twoCellAnchor>
  <xdr:twoCellAnchor editAs="oneCell">
    <xdr:from>
      <xdr:col>29</xdr:col>
      <xdr:colOff>47624</xdr:colOff>
      <xdr:row>11</xdr:row>
      <xdr:rowOff>6349</xdr:rowOff>
    </xdr:from>
    <xdr:to>
      <xdr:col>29</xdr:col>
      <xdr:colOff>238124</xdr:colOff>
      <xdr:row>12</xdr:row>
      <xdr:rowOff>6349</xdr:rowOff>
    </xdr:to>
    <xdr:sp macro="" textlink="">
      <xdr:nvSpPr>
        <xdr:cNvPr id="27" name="Ellips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11774804" y="2376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25</a:t>
          </a:r>
        </a:p>
      </xdr:txBody>
    </xdr:sp>
    <xdr:clientData/>
  </xdr:twoCellAnchor>
  <xdr:twoCellAnchor editAs="oneCell">
    <xdr:from>
      <xdr:col>29</xdr:col>
      <xdr:colOff>47624</xdr:colOff>
      <xdr:row>12</xdr:row>
      <xdr:rowOff>6349</xdr:rowOff>
    </xdr:from>
    <xdr:to>
      <xdr:col>29</xdr:col>
      <xdr:colOff>238124</xdr:colOff>
      <xdr:row>13</xdr:row>
      <xdr:rowOff>6349</xdr:rowOff>
    </xdr:to>
    <xdr:sp macro="" textlink="">
      <xdr:nvSpPr>
        <xdr:cNvPr id="28" name="Ellips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11774804" y="2566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26</a:t>
          </a:r>
        </a:p>
      </xdr:txBody>
    </xdr:sp>
    <xdr:clientData/>
  </xdr:twoCellAnchor>
  <xdr:twoCellAnchor editAs="oneCell">
    <xdr:from>
      <xdr:col>29</xdr:col>
      <xdr:colOff>47624</xdr:colOff>
      <xdr:row>13</xdr:row>
      <xdr:rowOff>6349</xdr:rowOff>
    </xdr:from>
    <xdr:to>
      <xdr:col>29</xdr:col>
      <xdr:colOff>238124</xdr:colOff>
      <xdr:row>14</xdr:row>
      <xdr:rowOff>6350</xdr:rowOff>
    </xdr:to>
    <xdr:sp macro="" textlink="">
      <xdr:nvSpPr>
        <xdr:cNvPr id="29" name="Ellips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11774804" y="2757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27</a:t>
          </a:r>
        </a:p>
      </xdr:txBody>
    </xdr:sp>
    <xdr:clientData/>
  </xdr:twoCellAnchor>
  <xdr:twoCellAnchor editAs="oneCell">
    <xdr:from>
      <xdr:col>29</xdr:col>
      <xdr:colOff>47624</xdr:colOff>
      <xdr:row>14</xdr:row>
      <xdr:rowOff>6349</xdr:rowOff>
    </xdr:from>
    <xdr:to>
      <xdr:col>29</xdr:col>
      <xdr:colOff>238124</xdr:colOff>
      <xdr:row>15</xdr:row>
      <xdr:rowOff>6349</xdr:rowOff>
    </xdr:to>
    <xdr:sp macro="" textlink="">
      <xdr:nvSpPr>
        <xdr:cNvPr id="30" name="Ellips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11774804" y="29476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28</a:t>
          </a:r>
        </a:p>
      </xdr:txBody>
    </xdr:sp>
    <xdr:clientData/>
  </xdr:twoCellAnchor>
  <xdr:twoCellAnchor editAs="oneCell">
    <xdr:from>
      <xdr:col>29</xdr:col>
      <xdr:colOff>47624</xdr:colOff>
      <xdr:row>15</xdr:row>
      <xdr:rowOff>6349</xdr:rowOff>
    </xdr:from>
    <xdr:to>
      <xdr:col>29</xdr:col>
      <xdr:colOff>238124</xdr:colOff>
      <xdr:row>16</xdr:row>
      <xdr:rowOff>6348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11774804" y="3138169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29</a:t>
          </a:r>
        </a:p>
      </xdr:txBody>
    </xdr:sp>
    <xdr:clientData/>
  </xdr:twoCellAnchor>
  <xdr:twoCellAnchor editAs="oneCell">
    <xdr:from>
      <xdr:col>30</xdr:col>
      <xdr:colOff>165099</xdr:colOff>
      <xdr:row>10</xdr:row>
      <xdr:rowOff>15874</xdr:rowOff>
    </xdr:from>
    <xdr:to>
      <xdr:col>31</xdr:col>
      <xdr:colOff>107949</xdr:colOff>
      <xdr:row>11</xdr:row>
      <xdr:rowOff>15874</xdr:rowOff>
    </xdr:to>
    <xdr:sp macro="" textlink="">
      <xdr:nvSpPr>
        <xdr:cNvPr id="32" name="Ellips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12143739" y="2195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34</a:t>
          </a:r>
        </a:p>
      </xdr:txBody>
    </xdr:sp>
    <xdr:clientData/>
  </xdr:twoCellAnchor>
  <xdr:twoCellAnchor editAs="oneCell">
    <xdr:from>
      <xdr:col>30</xdr:col>
      <xdr:colOff>165099</xdr:colOff>
      <xdr:row>11</xdr:row>
      <xdr:rowOff>15874</xdr:rowOff>
    </xdr:from>
    <xdr:to>
      <xdr:col>31</xdr:col>
      <xdr:colOff>107949</xdr:colOff>
      <xdr:row>12</xdr:row>
      <xdr:rowOff>15874</xdr:rowOff>
    </xdr:to>
    <xdr:sp macro="" textlink="">
      <xdr:nvSpPr>
        <xdr:cNvPr id="33" name="Ellips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2143739" y="2385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35</a:t>
          </a:r>
        </a:p>
      </xdr:txBody>
    </xdr:sp>
    <xdr:clientData/>
  </xdr:twoCellAnchor>
  <xdr:twoCellAnchor editAs="oneCell">
    <xdr:from>
      <xdr:col>30</xdr:col>
      <xdr:colOff>165099</xdr:colOff>
      <xdr:row>12</xdr:row>
      <xdr:rowOff>15874</xdr:rowOff>
    </xdr:from>
    <xdr:to>
      <xdr:col>31</xdr:col>
      <xdr:colOff>107949</xdr:colOff>
      <xdr:row>13</xdr:row>
      <xdr:rowOff>15874</xdr:rowOff>
    </xdr:to>
    <xdr:sp macro="" textlink="">
      <xdr:nvSpPr>
        <xdr:cNvPr id="34" name="Ellips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12143739" y="2576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36</a:t>
          </a:r>
        </a:p>
      </xdr:txBody>
    </xdr:sp>
    <xdr:clientData/>
  </xdr:twoCellAnchor>
  <xdr:twoCellAnchor editAs="oneCell">
    <xdr:from>
      <xdr:col>30</xdr:col>
      <xdr:colOff>165099</xdr:colOff>
      <xdr:row>13</xdr:row>
      <xdr:rowOff>15874</xdr:rowOff>
    </xdr:from>
    <xdr:to>
      <xdr:col>31</xdr:col>
      <xdr:colOff>107949</xdr:colOff>
      <xdr:row>14</xdr:row>
      <xdr:rowOff>15875</xdr:rowOff>
    </xdr:to>
    <xdr:sp macro="" textlink="">
      <xdr:nvSpPr>
        <xdr:cNvPr id="35" name="Ellips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12143739" y="2766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37</a:t>
          </a:r>
        </a:p>
      </xdr:txBody>
    </xdr:sp>
    <xdr:clientData/>
  </xdr:twoCellAnchor>
  <xdr:twoCellAnchor editAs="oneCell">
    <xdr:from>
      <xdr:col>30</xdr:col>
      <xdr:colOff>165099</xdr:colOff>
      <xdr:row>14</xdr:row>
      <xdr:rowOff>15874</xdr:rowOff>
    </xdr:from>
    <xdr:to>
      <xdr:col>31</xdr:col>
      <xdr:colOff>107949</xdr:colOff>
      <xdr:row>15</xdr:row>
      <xdr:rowOff>15874</xdr:rowOff>
    </xdr:to>
    <xdr:sp macro="" textlink="">
      <xdr:nvSpPr>
        <xdr:cNvPr id="36" name="Ellipse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12143739" y="2957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38</a:t>
          </a:r>
        </a:p>
      </xdr:txBody>
    </xdr:sp>
    <xdr:clientData/>
  </xdr:twoCellAnchor>
  <xdr:twoCellAnchor editAs="oneCell">
    <xdr:from>
      <xdr:col>30</xdr:col>
      <xdr:colOff>165099</xdr:colOff>
      <xdr:row>15</xdr:row>
      <xdr:rowOff>15874</xdr:rowOff>
    </xdr:from>
    <xdr:to>
      <xdr:col>31</xdr:col>
      <xdr:colOff>107949</xdr:colOff>
      <xdr:row>16</xdr:row>
      <xdr:rowOff>15873</xdr:rowOff>
    </xdr:to>
    <xdr:sp macro="" textlink="">
      <xdr:nvSpPr>
        <xdr:cNvPr id="37" name="Ellipse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12143739" y="3147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39</a:t>
          </a:r>
        </a:p>
      </xdr:txBody>
    </xdr:sp>
    <xdr:clientData/>
  </xdr:twoCellAnchor>
  <xdr:twoCellAnchor editAs="oneCell">
    <xdr:from>
      <xdr:col>32</xdr:col>
      <xdr:colOff>47624</xdr:colOff>
      <xdr:row>5</xdr:row>
      <xdr:rowOff>187324</xdr:rowOff>
    </xdr:from>
    <xdr:to>
      <xdr:col>32</xdr:col>
      <xdr:colOff>238124</xdr:colOff>
      <xdr:row>6</xdr:row>
      <xdr:rowOff>187324</xdr:rowOff>
    </xdr:to>
    <xdr:sp macro="" textlink="">
      <xdr:nvSpPr>
        <xdr:cNvPr id="38" name="Ellipse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12529184" y="1414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40</a:t>
          </a:r>
        </a:p>
      </xdr:txBody>
    </xdr:sp>
    <xdr:clientData/>
  </xdr:twoCellAnchor>
  <xdr:twoCellAnchor editAs="oneCell">
    <xdr:from>
      <xdr:col>32</xdr:col>
      <xdr:colOff>47624</xdr:colOff>
      <xdr:row>6</xdr:row>
      <xdr:rowOff>187324</xdr:rowOff>
    </xdr:from>
    <xdr:to>
      <xdr:col>32</xdr:col>
      <xdr:colOff>238124</xdr:colOff>
      <xdr:row>7</xdr:row>
      <xdr:rowOff>187325</xdr:rowOff>
    </xdr:to>
    <xdr:sp macro="" textlink="">
      <xdr:nvSpPr>
        <xdr:cNvPr id="39" name="Ellipse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12529184" y="1604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41</a:t>
          </a:r>
        </a:p>
      </xdr:txBody>
    </xdr:sp>
    <xdr:clientData/>
  </xdr:twoCellAnchor>
  <xdr:twoCellAnchor editAs="oneCell">
    <xdr:from>
      <xdr:col>32</xdr:col>
      <xdr:colOff>47624</xdr:colOff>
      <xdr:row>7</xdr:row>
      <xdr:rowOff>187324</xdr:rowOff>
    </xdr:from>
    <xdr:to>
      <xdr:col>32</xdr:col>
      <xdr:colOff>238124</xdr:colOff>
      <xdr:row>8</xdr:row>
      <xdr:rowOff>187324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12529184" y="1795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42</a:t>
          </a:r>
        </a:p>
      </xdr:txBody>
    </xdr:sp>
    <xdr:clientData/>
  </xdr:twoCellAnchor>
  <xdr:twoCellAnchor editAs="oneCell">
    <xdr:from>
      <xdr:col>32</xdr:col>
      <xdr:colOff>47624</xdr:colOff>
      <xdr:row>8</xdr:row>
      <xdr:rowOff>187324</xdr:rowOff>
    </xdr:from>
    <xdr:to>
      <xdr:col>32</xdr:col>
      <xdr:colOff>238124</xdr:colOff>
      <xdr:row>9</xdr:row>
      <xdr:rowOff>187323</xdr:rowOff>
    </xdr:to>
    <xdr:sp macro="" textlink="">
      <xdr:nvSpPr>
        <xdr:cNvPr id="41" name="Ellipse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12529184" y="1985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43</a:t>
          </a:r>
        </a:p>
      </xdr:txBody>
    </xdr:sp>
    <xdr:clientData/>
  </xdr:twoCellAnchor>
  <xdr:twoCellAnchor editAs="oneCell">
    <xdr:from>
      <xdr:col>32</xdr:col>
      <xdr:colOff>47624</xdr:colOff>
      <xdr:row>9</xdr:row>
      <xdr:rowOff>187324</xdr:rowOff>
    </xdr:from>
    <xdr:to>
      <xdr:col>32</xdr:col>
      <xdr:colOff>238124</xdr:colOff>
      <xdr:row>10</xdr:row>
      <xdr:rowOff>187324</xdr:rowOff>
    </xdr:to>
    <xdr:sp macro="" textlink="">
      <xdr:nvSpPr>
        <xdr:cNvPr id="42" name="Ellipse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12529184" y="2176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44</a:t>
          </a:r>
        </a:p>
      </xdr:txBody>
    </xdr:sp>
    <xdr:clientData/>
  </xdr:twoCellAnchor>
  <xdr:twoCellAnchor editAs="oneCell">
    <xdr:from>
      <xdr:col>32</xdr:col>
      <xdr:colOff>47624</xdr:colOff>
      <xdr:row>10</xdr:row>
      <xdr:rowOff>187324</xdr:rowOff>
    </xdr:from>
    <xdr:to>
      <xdr:col>32</xdr:col>
      <xdr:colOff>238124</xdr:colOff>
      <xdr:row>11</xdr:row>
      <xdr:rowOff>187324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12529184" y="2366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45</a:t>
          </a:r>
        </a:p>
      </xdr:txBody>
    </xdr:sp>
    <xdr:clientData/>
  </xdr:twoCellAnchor>
  <xdr:twoCellAnchor editAs="oneCell">
    <xdr:from>
      <xdr:col>32</xdr:col>
      <xdr:colOff>47624</xdr:colOff>
      <xdr:row>11</xdr:row>
      <xdr:rowOff>187324</xdr:rowOff>
    </xdr:from>
    <xdr:to>
      <xdr:col>32</xdr:col>
      <xdr:colOff>238124</xdr:colOff>
      <xdr:row>12</xdr:row>
      <xdr:rowOff>187324</xdr:rowOff>
    </xdr:to>
    <xdr:sp macro="" textlink="">
      <xdr:nvSpPr>
        <xdr:cNvPr id="44" name="Ellips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12529184" y="2557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46</a:t>
          </a:r>
        </a:p>
      </xdr:txBody>
    </xdr:sp>
    <xdr:clientData/>
  </xdr:twoCellAnchor>
  <xdr:twoCellAnchor editAs="oneCell">
    <xdr:from>
      <xdr:col>32</xdr:col>
      <xdr:colOff>47624</xdr:colOff>
      <xdr:row>12</xdr:row>
      <xdr:rowOff>187324</xdr:rowOff>
    </xdr:from>
    <xdr:to>
      <xdr:col>32</xdr:col>
      <xdr:colOff>238124</xdr:colOff>
      <xdr:row>13</xdr:row>
      <xdr:rowOff>187324</xdr:rowOff>
    </xdr:to>
    <xdr:sp macro="" textlink="">
      <xdr:nvSpPr>
        <xdr:cNvPr id="45" name="Ellips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12529184" y="2747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47</a:t>
          </a:r>
        </a:p>
      </xdr:txBody>
    </xdr:sp>
    <xdr:clientData/>
  </xdr:twoCellAnchor>
  <xdr:twoCellAnchor editAs="oneCell">
    <xdr:from>
      <xdr:col>32</xdr:col>
      <xdr:colOff>47624</xdr:colOff>
      <xdr:row>13</xdr:row>
      <xdr:rowOff>187324</xdr:rowOff>
    </xdr:from>
    <xdr:to>
      <xdr:col>32</xdr:col>
      <xdr:colOff>238124</xdr:colOff>
      <xdr:row>14</xdr:row>
      <xdr:rowOff>187325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12529184" y="29381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48</a:t>
          </a:r>
        </a:p>
      </xdr:txBody>
    </xdr:sp>
    <xdr:clientData/>
  </xdr:twoCellAnchor>
  <xdr:twoCellAnchor editAs="oneCell">
    <xdr:from>
      <xdr:col>32</xdr:col>
      <xdr:colOff>47624</xdr:colOff>
      <xdr:row>14</xdr:row>
      <xdr:rowOff>187324</xdr:rowOff>
    </xdr:from>
    <xdr:to>
      <xdr:col>32</xdr:col>
      <xdr:colOff>238124</xdr:colOff>
      <xdr:row>15</xdr:row>
      <xdr:rowOff>187324</xdr:rowOff>
    </xdr:to>
    <xdr:sp macro="" textlink="">
      <xdr:nvSpPr>
        <xdr:cNvPr id="47" name="Ellipse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12529184" y="3128644"/>
          <a:ext cx="19050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49</a:t>
          </a:r>
        </a:p>
      </xdr:txBody>
    </xdr:sp>
    <xdr:clientData/>
  </xdr:twoCellAnchor>
  <xdr:twoCellAnchor editAs="oneCell">
    <xdr:from>
      <xdr:col>30</xdr:col>
      <xdr:colOff>165099</xdr:colOff>
      <xdr:row>6</xdr:row>
      <xdr:rowOff>15874</xdr:rowOff>
    </xdr:from>
    <xdr:to>
      <xdr:col>31</xdr:col>
      <xdr:colOff>107949</xdr:colOff>
      <xdr:row>7</xdr:row>
      <xdr:rowOff>15875</xdr:rowOff>
    </xdr:to>
    <xdr:sp macro="" textlink="">
      <xdr:nvSpPr>
        <xdr:cNvPr id="48" name="Ellips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12143739" y="1433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30</a:t>
          </a:r>
        </a:p>
      </xdr:txBody>
    </xdr:sp>
    <xdr:clientData/>
  </xdr:twoCellAnchor>
  <xdr:twoCellAnchor editAs="oneCell">
    <xdr:from>
      <xdr:col>30</xdr:col>
      <xdr:colOff>165099</xdr:colOff>
      <xdr:row>7</xdr:row>
      <xdr:rowOff>15874</xdr:rowOff>
    </xdr:from>
    <xdr:to>
      <xdr:col>31</xdr:col>
      <xdr:colOff>107949</xdr:colOff>
      <xdr:row>8</xdr:row>
      <xdr:rowOff>15874</xdr:rowOff>
    </xdr:to>
    <xdr:sp macro="" textlink="">
      <xdr:nvSpPr>
        <xdr:cNvPr id="49" name="Ellips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12143739" y="1623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31</a:t>
          </a:r>
        </a:p>
      </xdr:txBody>
    </xdr:sp>
    <xdr:clientData/>
  </xdr:twoCellAnchor>
  <xdr:twoCellAnchor editAs="oneCell">
    <xdr:from>
      <xdr:col>30</xdr:col>
      <xdr:colOff>165099</xdr:colOff>
      <xdr:row>8</xdr:row>
      <xdr:rowOff>15874</xdr:rowOff>
    </xdr:from>
    <xdr:to>
      <xdr:col>31</xdr:col>
      <xdr:colOff>107949</xdr:colOff>
      <xdr:row>9</xdr:row>
      <xdr:rowOff>15873</xdr:rowOff>
    </xdr:to>
    <xdr:sp macro="" textlink="">
      <xdr:nvSpPr>
        <xdr:cNvPr id="50" name="Ellipse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12143739" y="18141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32</a:t>
          </a:r>
        </a:p>
      </xdr:txBody>
    </xdr:sp>
    <xdr:clientData/>
  </xdr:twoCellAnchor>
  <xdr:twoCellAnchor editAs="oneCell">
    <xdr:from>
      <xdr:col>30</xdr:col>
      <xdr:colOff>165099</xdr:colOff>
      <xdr:row>9</xdr:row>
      <xdr:rowOff>15874</xdr:rowOff>
    </xdr:from>
    <xdr:to>
      <xdr:col>31</xdr:col>
      <xdr:colOff>107949</xdr:colOff>
      <xdr:row>10</xdr:row>
      <xdr:rowOff>15874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12143739" y="2004694"/>
          <a:ext cx="194310" cy="190500"/>
        </a:xfrm>
        <a:prstGeom prst="ellipse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33</a:t>
          </a:r>
        </a:p>
      </xdr:txBody>
    </xdr:sp>
    <xdr:clientData/>
  </xdr:twoCellAnchor>
  <xdr:twoCellAnchor editAs="oneCell">
    <xdr:from>
      <xdr:col>34</xdr:col>
      <xdr:colOff>152400</xdr:colOff>
      <xdr:row>6</xdr:row>
      <xdr:rowOff>9525</xdr:rowOff>
    </xdr:from>
    <xdr:to>
      <xdr:col>35</xdr:col>
      <xdr:colOff>95250</xdr:colOff>
      <xdr:row>7</xdr:row>
      <xdr:rowOff>9526</xdr:rowOff>
    </xdr:to>
    <xdr:sp macro="" textlink="">
      <xdr:nvSpPr>
        <xdr:cNvPr id="52" name="Ellipse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13136880" y="1426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 editAs="oneCell">
    <xdr:from>
      <xdr:col>34</xdr:col>
      <xdr:colOff>152400</xdr:colOff>
      <xdr:row>7</xdr:row>
      <xdr:rowOff>9525</xdr:rowOff>
    </xdr:from>
    <xdr:to>
      <xdr:col>35</xdr:col>
      <xdr:colOff>95250</xdr:colOff>
      <xdr:row>8</xdr:row>
      <xdr:rowOff>9525</xdr:rowOff>
    </xdr:to>
    <xdr:sp macro="" textlink="">
      <xdr:nvSpPr>
        <xdr:cNvPr id="53" name="Ellips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13136880" y="1617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 editAs="oneCell">
    <xdr:from>
      <xdr:col>34</xdr:col>
      <xdr:colOff>152400</xdr:colOff>
      <xdr:row>8</xdr:row>
      <xdr:rowOff>9525</xdr:rowOff>
    </xdr:from>
    <xdr:to>
      <xdr:col>35</xdr:col>
      <xdr:colOff>95250</xdr:colOff>
      <xdr:row>9</xdr:row>
      <xdr:rowOff>9524</xdr:rowOff>
    </xdr:to>
    <xdr:sp macro="" textlink="">
      <xdr:nvSpPr>
        <xdr:cNvPr id="54" name="Ellipse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13136880" y="1807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 editAs="oneCell">
    <xdr:from>
      <xdr:col>34</xdr:col>
      <xdr:colOff>152400</xdr:colOff>
      <xdr:row>9</xdr:row>
      <xdr:rowOff>9525</xdr:rowOff>
    </xdr:from>
    <xdr:to>
      <xdr:col>35</xdr:col>
      <xdr:colOff>95250</xdr:colOff>
      <xdr:row>10</xdr:row>
      <xdr:rowOff>9525</xdr:rowOff>
    </xdr:to>
    <xdr:sp macro="" textlink="">
      <xdr:nvSpPr>
        <xdr:cNvPr id="55" name="Ellipse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13136880" y="1998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 editAs="oneCell">
    <xdr:from>
      <xdr:col>34</xdr:col>
      <xdr:colOff>152400</xdr:colOff>
      <xdr:row>10</xdr:row>
      <xdr:rowOff>9525</xdr:rowOff>
    </xdr:from>
    <xdr:to>
      <xdr:col>35</xdr:col>
      <xdr:colOff>95250</xdr:colOff>
      <xdr:row>11</xdr:row>
      <xdr:rowOff>9525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13136880" y="2188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E</a:t>
          </a:r>
        </a:p>
      </xdr:txBody>
    </xdr:sp>
    <xdr:clientData/>
  </xdr:twoCellAnchor>
  <xdr:twoCellAnchor editAs="oneCell">
    <xdr:from>
      <xdr:col>34</xdr:col>
      <xdr:colOff>152400</xdr:colOff>
      <xdr:row>11</xdr:row>
      <xdr:rowOff>9525</xdr:rowOff>
    </xdr:from>
    <xdr:to>
      <xdr:col>35</xdr:col>
      <xdr:colOff>95250</xdr:colOff>
      <xdr:row>12</xdr:row>
      <xdr:rowOff>9525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13136880" y="2379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F</a:t>
          </a:r>
        </a:p>
      </xdr:txBody>
    </xdr:sp>
    <xdr:clientData/>
  </xdr:twoCellAnchor>
  <xdr:twoCellAnchor editAs="oneCell">
    <xdr:from>
      <xdr:col>34</xdr:col>
      <xdr:colOff>152400</xdr:colOff>
      <xdr:row>12</xdr:row>
      <xdr:rowOff>9525</xdr:rowOff>
    </xdr:from>
    <xdr:to>
      <xdr:col>35</xdr:col>
      <xdr:colOff>95250</xdr:colOff>
      <xdr:row>13</xdr:row>
      <xdr:rowOff>9525</xdr:rowOff>
    </xdr:to>
    <xdr:sp macro="" textlink="">
      <xdr:nvSpPr>
        <xdr:cNvPr id="58" name="Ellipse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13136880" y="2569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G</a:t>
          </a:r>
        </a:p>
      </xdr:txBody>
    </xdr:sp>
    <xdr:clientData/>
  </xdr:twoCellAnchor>
  <xdr:twoCellAnchor editAs="oneCell">
    <xdr:from>
      <xdr:col>34</xdr:col>
      <xdr:colOff>152400</xdr:colOff>
      <xdr:row>13</xdr:row>
      <xdr:rowOff>9525</xdr:rowOff>
    </xdr:from>
    <xdr:to>
      <xdr:col>35</xdr:col>
      <xdr:colOff>95250</xdr:colOff>
      <xdr:row>14</xdr:row>
      <xdr:rowOff>9526</xdr:rowOff>
    </xdr:to>
    <xdr:sp macro="" textlink="">
      <xdr:nvSpPr>
        <xdr:cNvPr id="59" name="Ellips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13136880" y="27603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H</a:t>
          </a:r>
        </a:p>
      </xdr:txBody>
    </xdr:sp>
    <xdr:clientData/>
  </xdr:twoCellAnchor>
  <xdr:twoCellAnchor editAs="oneCell">
    <xdr:from>
      <xdr:col>34</xdr:col>
      <xdr:colOff>152400</xdr:colOff>
      <xdr:row>14</xdr:row>
      <xdr:rowOff>9525</xdr:rowOff>
    </xdr:from>
    <xdr:to>
      <xdr:col>35</xdr:col>
      <xdr:colOff>95250</xdr:colOff>
      <xdr:row>15</xdr:row>
      <xdr:rowOff>9525</xdr:rowOff>
    </xdr:to>
    <xdr:sp macro="" textlink="">
      <xdr:nvSpPr>
        <xdr:cNvPr id="60" name="Ellips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13136880" y="2950845"/>
          <a:ext cx="194310" cy="190500"/>
        </a:xfrm>
        <a:prstGeom prst="ellipse">
          <a:avLst/>
        </a:prstGeom>
        <a:solidFill>
          <a:srgbClr val="92D05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fr-FR" sz="800" b="0" i="0" u="none" strike="noStrike" baseline="0">
              <a:solidFill>
                <a:srgbClr val="000000"/>
              </a:solidFill>
              <a:latin typeface="Arial" panose="020B0604020202020204" pitchFamily="34" charset="0"/>
            </a:rPr>
            <a:t>I</a:t>
          </a:r>
        </a:p>
      </xdr:txBody>
    </xdr:sp>
    <xdr:clientData/>
  </xdr:twoCellAnchor>
  <xdr:twoCellAnchor editAs="oneCell">
    <xdr:from>
      <xdr:col>0</xdr:col>
      <xdr:colOff>521805</xdr:colOff>
      <xdr:row>1</xdr:row>
      <xdr:rowOff>16565</xdr:rowOff>
    </xdr:from>
    <xdr:to>
      <xdr:col>4</xdr:col>
      <xdr:colOff>362364</xdr:colOff>
      <xdr:row>2</xdr:row>
      <xdr:rowOff>211997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521805" y="182217"/>
          <a:ext cx="1182342" cy="4853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1" name="Image 1">
          <a:extLst>
            <a:ext uri="{FF2B5EF4-FFF2-40B4-BE49-F238E27FC236}">
              <a16:creationId xmlns:a16="http://schemas.microsoft.com/office/drawing/2014/main" id="{00000000-0008-0000-0200-00000B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21822" y="81643"/>
          <a:ext cx="1972822" cy="723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00000000-0008-0000-0300-00000A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1803548-A9FD-41EE-81C5-1787C8B74482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B7F59137-583B-D404-1813-954FBB71DBF5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BE1FD9AD-FF3B-DD6C-80FF-15529460AB04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DCE98CA-9B03-4083-A5E5-9CB3DE1FDDB1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EA765F31-E0C2-4230-5DF6-0E81F1AB59C0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1E64429-7835-7A9A-BC68-7FAF584FD30C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B85E98F-6F23-4BB2-B219-C9E4380FC8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C5F837D-5656-4718-B637-40CD04DB0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EA5C5E23-B54C-430C-83B4-37CD1456C5C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A363791-AAF0-4C5A-ABFF-50238325123B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A4C415E4-51F9-D363-4AA9-62AA10A7D2DC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BC7AE351-6EC7-A94E-A20B-BB26AB1DEF6A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87F7F32-D16B-4CB1-AD16-2E08DDF68068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DA929EB7-3917-586E-1312-8A084B04CD91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DCCA5510-4E84-1779-C5E6-ECC9AEF7F42C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EA12DFB-6AAF-438A-BC9A-8014B49F0A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A8AE380-F2C3-4EEF-B270-9D39D6C66A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BDE4A805-9527-4FCF-8BC8-EC91B945559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EE8FB74-DB09-45D4-945F-823C8E6F2086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2E8E46B9-A0AF-9139-8B4B-2BD127752479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3876DE72-E19A-E34E-8173-D40EF0B900EA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62C6FDB7-D231-477E-A18B-4D2AD9219FCF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1D646CA3-E9B8-0945-AFA8-1DEDB098E6D5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C21A7F8D-F3C7-67C1-B459-B40AB1E45AAD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47FEBD-E8B0-4AF2-B244-77EBC9804D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5437624-B357-43AF-AA07-67348F24C0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1070D159-3D45-4DE4-A1DF-DFC39098862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71557F0-370F-463A-BBDF-7800528910B9}"/>
            </a:ext>
          </a:extLst>
        </xdr:cNvPr>
        <xdr:cNvGrpSpPr>
          <a:grpSpLocks/>
        </xdr:cNvGrpSpPr>
      </xdr:nvGrpSpPr>
      <xdr:grpSpPr bwMode="auto">
        <a:xfrm>
          <a:off x="3886200" y="9201150"/>
          <a:ext cx="5591175" cy="4772025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C1E16820-7AA8-4BDD-EEAB-AFF022B723DC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1B715611-664E-0407-7F7B-4435E32EA5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4771C590-4069-4E99-A28A-648B12331A4E}"/>
            </a:ext>
          </a:extLst>
        </xdr:cNvPr>
        <xdr:cNvGrpSpPr>
          <a:grpSpLocks/>
        </xdr:cNvGrpSpPr>
      </xdr:nvGrpSpPr>
      <xdr:grpSpPr bwMode="auto">
        <a:xfrm>
          <a:off x="3810000" y="10810875"/>
          <a:ext cx="5743575" cy="571500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73F45FD-5423-3A74-CB88-AFCF7DEBF5C1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8244F879-F320-97A6-EC41-3A166A137614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409D8E0-CE3F-4052-820F-1286F6E79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F0DF35A-399F-4777-B559-457CBAB98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4A19960D-A40A-4163-9A0F-533CEF401DF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A962D84-0C0D-4E82-A623-68A374EA477C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32BA7D24-CF70-72EB-DC2C-9BEBA79A04F8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4E908550-B2E1-C841-ACF1-75297092E588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DAFE086-10D1-4A69-8177-91E6B9B6A499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BDBA5CA2-2BB5-32AA-E284-DF90FB091367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B256F1D-CBFF-2ECF-A9E6-8389E8B85DE7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50CFC82-6431-4909-940B-F2043A0B6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892CD68-CA58-4328-8299-69F195B62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41253435-D3DB-432C-8297-B94B7B6D8B9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364B0B5-9E8F-47D3-A3A3-EC97E6D6553B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69C9EE1F-4673-34C0-FA72-E010F1ABB26F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4665242C-0E08-8258-3662-CC91BD1B14B6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3CA3BE9-FB00-4003-99A9-9AF516CB14F0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3ADC8EC9-576D-E9D7-3FB3-CE713D31899C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50074786-BDE7-7AB7-3BAF-23D97577E356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FFB42F-E7F7-4C8E-86AA-CAA444BE8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56F449E-A502-4BB2-AB11-F725DB458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B50C3FF8-E96F-4F93-AC8F-21F6AABA81D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B4E47B1-86AD-4F7C-93D4-6884E6483FC7}"/>
            </a:ext>
          </a:extLst>
        </xdr:cNvPr>
        <xdr:cNvGrpSpPr>
          <a:grpSpLocks/>
        </xdr:cNvGrpSpPr>
      </xdr:nvGrpSpPr>
      <xdr:grpSpPr bwMode="auto">
        <a:xfrm>
          <a:off x="3876675" y="9312729"/>
          <a:ext cx="5578929" cy="4880882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A63E7FBF-4148-6A8A-7A5E-EA55F0761A7D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28389F1C-B362-7383-37FB-2D9569C82C2E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C7BEF27-02C4-448B-A380-CA7F4B8D74D5}"/>
            </a:ext>
          </a:extLst>
        </xdr:cNvPr>
        <xdr:cNvGrpSpPr>
          <a:grpSpLocks/>
        </xdr:cNvGrpSpPr>
      </xdr:nvGrpSpPr>
      <xdr:grpSpPr bwMode="auto">
        <a:xfrm>
          <a:off x="3800475" y="10963275"/>
          <a:ext cx="5731329" cy="591911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2978C99-CD0F-2A52-9866-CBE4D78EFFD3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20DFE869-A5CA-BE59-B84F-0523C7526A6F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16C5533-0B20-4D25-8026-BB0327AE1A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267EF4F-EF87-49E5-BA16-778907BE3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6C59C49B-C274-44C2-9716-B8262A454CB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257175</xdr:colOff>
      <xdr:row>34</xdr:row>
      <xdr:rowOff>114300</xdr:rowOff>
    </xdr:from>
    <xdr:to>
      <xdr:col>16</xdr:col>
      <xdr:colOff>447675</xdr:colOff>
      <xdr:row>54</xdr:row>
      <xdr:rowOff>123825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14E41A4-B0A6-47AC-AB58-6044DFD31727}"/>
            </a:ext>
          </a:extLst>
        </xdr:cNvPr>
        <xdr:cNvGrpSpPr>
          <a:grpSpLocks/>
        </xdr:cNvGrpSpPr>
      </xdr:nvGrpSpPr>
      <xdr:grpSpPr bwMode="auto">
        <a:xfrm>
          <a:off x="3886200" y="9201150"/>
          <a:ext cx="5591175" cy="4772025"/>
          <a:chOff x="408" y="894"/>
          <a:chExt cx="587" cy="501"/>
        </a:xfrm>
      </xdr:grpSpPr>
      <xdr:sp macro="" textlink="">
        <xdr:nvSpPr>
          <xdr:cNvPr id="3" name="Line 2">
            <a:extLst>
              <a:ext uri="{FF2B5EF4-FFF2-40B4-BE49-F238E27FC236}">
                <a16:creationId xmlns:a16="http://schemas.microsoft.com/office/drawing/2014/main" id="{071607EE-6C40-F2FA-E5BB-34779A4953E2}"/>
              </a:ext>
            </a:extLst>
          </xdr:cNvPr>
          <xdr:cNvSpPr>
            <a:spLocks noChangeShapeType="1"/>
          </xdr:cNvSpPr>
        </xdr:nvSpPr>
        <xdr:spPr bwMode="auto">
          <a:xfrm flipV="1">
            <a:off x="995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  <xdr:sp macro="" textlink="">
        <xdr:nvSpPr>
          <xdr:cNvPr id="4" name="Line 3">
            <a:extLst>
              <a:ext uri="{FF2B5EF4-FFF2-40B4-BE49-F238E27FC236}">
                <a16:creationId xmlns:a16="http://schemas.microsoft.com/office/drawing/2014/main" id="{72BBF547-B9EC-A582-A64F-248600FADA90}"/>
              </a:ext>
            </a:extLst>
          </xdr:cNvPr>
          <xdr:cNvSpPr>
            <a:spLocks noChangeShapeType="1"/>
          </xdr:cNvSpPr>
        </xdr:nvSpPr>
        <xdr:spPr bwMode="auto">
          <a:xfrm flipV="1">
            <a:off x="408" y="894"/>
            <a:ext cx="0" cy="501"/>
          </a:xfrm>
          <a:prstGeom prst="line">
            <a:avLst/>
          </a:prstGeom>
          <a:noFill/>
          <a:ln w="9525">
            <a:solidFill>
              <a:srgbClr val="0000FF"/>
            </a:solidFill>
            <a:prstDash val="dash"/>
            <a:round/>
            <a:headEnd/>
            <a:tailEnd/>
          </a:ln>
        </xdr:spPr>
      </xdr:sp>
    </xdr:grpSp>
    <xdr:clientData/>
  </xdr:twoCellAnchor>
  <xdr:twoCellAnchor>
    <xdr:from>
      <xdr:col>7</xdr:col>
      <xdr:colOff>180975</xdr:colOff>
      <xdr:row>40</xdr:row>
      <xdr:rowOff>200025</xdr:rowOff>
    </xdr:from>
    <xdr:to>
      <xdr:col>16</xdr:col>
      <xdr:colOff>523875</xdr:colOff>
      <xdr:row>43</xdr:row>
      <xdr:rowOff>57150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613084B-3C7C-45C7-BE93-E1FF4C6C8E5E}"/>
            </a:ext>
          </a:extLst>
        </xdr:cNvPr>
        <xdr:cNvGrpSpPr>
          <a:grpSpLocks/>
        </xdr:cNvGrpSpPr>
      </xdr:nvGrpSpPr>
      <xdr:grpSpPr bwMode="auto">
        <a:xfrm>
          <a:off x="3810000" y="10810875"/>
          <a:ext cx="5743575" cy="571500"/>
          <a:chOff x="400" y="1070"/>
          <a:chExt cx="603" cy="6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A5222428-5285-143A-2270-2CD47C9FDA9D}"/>
              </a:ext>
            </a:extLst>
          </xdr:cNvPr>
          <xdr:cNvSpPr>
            <a:spLocks noChangeArrowheads="1"/>
          </xdr:cNvSpPr>
        </xdr:nvSpPr>
        <xdr:spPr bwMode="auto">
          <a:xfrm>
            <a:off x="987" y="1070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BC5D5F41-D9AE-BFA3-2C12-AD90CD19C3D4}"/>
              </a:ext>
            </a:extLst>
          </xdr:cNvPr>
          <xdr:cNvSpPr>
            <a:spLocks noChangeArrowheads="1"/>
          </xdr:cNvSpPr>
        </xdr:nvSpPr>
        <xdr:spPr bwMode="auto">
          <a:xfrm>
            <a:off x="400" y="1071"/>
            <a:ext cx="16" cy="59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81643</xdr:colOff>
      <xdr:row>44</xdr:row>
      <xdr:rowOff>40822</xdr:rowOff>
    </xdr:from>
    <xdr:to>
      <xdr:col>17</xdr:col>
      <xdr:colOff>552450</xdr:colOff>
      <xdr:row>57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8715B5-AF81-4A9B-9510-9EB78E24C4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13608</xdr:colOff>
      <xdr:row>33</xdr:row>
      <xdr:rowOff>104775</xdr:rowOff>
    </xdr:from>
    <xdr:to>
      <xdr:col>17</xdr:col>
      <xdr:colOff>514350</xdr:colOff>
      <xdr:row>44</xdr:row>
      <xdr:rowOff>108857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34AFFCE-5791-48CC-BC51-0716B2D42E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285751</xdr:colOff>
      <xdr:row>0</xdr:row>
      <xdr:rowOff>81643</xdr:rowOff>
    </xdr:from>
    <xdr:to>
      <xdr:col>4</xdr:col>
      <xdr:colOff>571287</xdr:colOff>
      <xdr:row>3</xdr:row>
      <xdr:rowOff>111578</xdr:rowOff>
    </xdr:to>
    <xdr:pic>
      <xdr:nvPicPr>
        <xdr:cNvPr id="10" name="Image 1">
          <a:extLst>
            <a:ext uri="{FF2B5EF4-FFF2-40B4-BE49-F238E27FC236}">
              <a16:creationId xmlns:a16="http://schemas.microsoft.com/office/drawing/2014/main" id="{A4669113-1EDC-4191-ABD7-4A9F9BB3C7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52" t="40839" r="35043" b="39529"/>
        <a:stretch>
          <a:fillRect/>
        </a:stretch>
      </xdr:blipFill>
      <xdr:spPr bwMode="auto">
        <a:xfrm>
          <a:off x="419101" y="81643"/>
          <a:ext cx="1980986" cy="72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0.18656</cdr:x>
      <cdr:y>0.78193</cdr:y>
    </cdr:from>
    <cdr:to>
      <cdr:x>0.18656</cdr:x>
      <cdr:y>0.78193</cdr:y>
    </cdr:to>
    <cdr:sp macro="" textlink="">
      <cdr:nvSpPr>
        <cdr:cNvPr id="25601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H="1" flipV="1">
          <a:off x="1312822" y="2528010"/>
          <a:ext cx="0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714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0.07634</cdr:x>
      <cdr:y>0.14144</cdr:y>
    </cdr:from>
    <cdr:to>
      <cdr:x>0.09762</cdr:x>
      <cdr:y>0.21861</cdr:y>
    </cdr:to>
    <cdr:sp macro="" textlink="">
      <cdr:nvSpPr>
        <cdr:cNvPr id="26625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1278" y="354889"/>
          <a:ext cx="150939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Ti</a:t>
          </a:r>
        </a:p>
      </cdr:txBody>
    </cdr:sp>
  </cdr:relSizeAnchor>
  <cdr:relSizeAnchor xmlns:cdr="http://schemas.openxmlformats.org/drawingml/2006/chartDrawing">
    <cdr:from>
      <cdr:x>0.91552</cdr:x>
      <cdr:y>0.14144</cdr:y>
    </cdr:from>
    <cdr:to>
      <cdr:x>0.94184</cdr:x>
      <cdr:y>0.21861</cdr:y>
    </cdr:to>
    <cdr:sp macro="" textlink="">
      <cdr:nvSpPr>
        <cdr:cNvPr id="26626" name="Texto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91679" y="354889"/>
          <a:ext cx="186590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Ts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D\TRIDIMENSIONNEL\Partage%20F\DEM\ADMINISTRATIF\ADRES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ED\TRIDIMENSIONNEL\Partage%20F\DEM\GESTION%20DU%20LABO5\Gestion%20des%20&#233;talons%20labo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RESSE"/>
    </sheetNames>
    <sheetDataSet>
      <sheetData sheetId="0">
        <row r="2">
          <cell r="A2">
            <v>1</v>
          </cell>
          <cell r="B2" t="str">
            <v>AMCOR FLEXIBLES France</v>
          </cell>
          <cell r="C2" t="str">
            <v>Route de Chalais</v>
          </cell>
          <cell r="D2" t="str">
            <v>BP45</v>
          </cell>
          <cell r="E2">
            <v>16300</v>
          </cell>
          <cell r="F2" t="str">
            <v>BARBEZIEUX</v>
          </cell>
        </row>
        <row r="3">
          <cell r="A3">
            <v>2</v>
          </cell>
          <cell r="B3" t="str">
            <v>ATMC GROUP - ECM</v>
          </cell>
          <cell r="C3" t="str">
            <v>6 rue de la vallée du chat</v>
          </cell>
          <cell r="D3" t="str">
            <v>-</v>
          </cell>
          <cell r="E3">
            <v>45150</v>
          </cell>
          <cell r="F3" t="str">
            <v>JARGEAU</v>
          </cell>
        </row>
        <row r="4">
          <cell r="A4">
            <v>3</v>
          </cell>
          <cell r="B4" t="str">
            <v>BAZILLE SAS</v>
          </cell>
          <cell r="C4" t="str">
            <v>Z.A de la Crosne</v>
          </cell>
          <cell r="D4" t="str">
            <v>-</v>
          </cell>
          <cell r="E4">
            <v>45300</v>
          </cell>
          <cell r="F4" t="str">
            <v>ASCOUX</v>
          </cell>
        </row>
        <row r="5">
          <cell r="A5">
            <v>4</v>
          </cell>
          <cell r="B5" t="str">
            <v>CIRETEC</v>
          </cell>
          <cell r="C5" t="str">
            <v>1rue Jean Monnet</v>
          </cell>
          <cell r="D5" t="str">
            <v>Z.A.</v>
          </cell>
          <cell r="E5">
            <v>45130</v>
          </cell>
          <cell r="F5" t="str">
            <v>SAINT AY</v>
          </cell>
        </row>
        <row r="6">
          <cell r="A6">
            <v>5</v>
          </cell>
          <cell r="B6" t="str">
            <v>CM3D</v>
          </cell>
          <cell r="C6" t="str">
            <v>Rue des Cousseaux</v>
          </cell>
          <cell r="D6" t="str">
            <v>-</v>
          </cell>
          <cell r="E6" t="str">
            <v>41300</v>
          </cell>
          <cell r="F6" t="str">
            <v>SALBRIS</v>
          </cell>
        </row>
        <row r="7">
          <cell r="A7">
            <v>6</v>
          </cell>
          <cell r="B7" t="str">
            <v>EDF-DPN-CNPE</v>
          </cell>
          <cell r="C7" t="str">
            <v>Service Automatisme Electricité</v>
          </cell>
          <cell r="D7" t="str">
            <v>-</v>
          </cell>
          <cell r="E7" t="str">
            <v>41220</v>
          </cell>
          <cell r="F7" t="str">
            <v>SAINT LAURENT NOUAN</v>
          </cell>
        </row>
        <row r="8">
          <cell r="A8">
            <v>7</v>
          </cell>
          <cell r="B8" t="str">
            <v>EES - LAB ASSISTANCE</v>
          </cell>
          <cell r="C8" t="str">
            <v>19 ,rue Henri Dunant</v>
          </cell>
          <cell r="D8" t="str">
            <v>-</v>
          </cell>
          <cell r="E8" t="str">
            <v>45140</v>
          </cell>
          <cell r="F8" t="str">
            <v>INGRE</v>
          </cell>
        </row>
        <row r="9">
          <cell r="A9">
            <v>8</v>
          </cell>
          <cell r="B9" t="str">
            <v>EOLANE</v>
          </cell>
          <cell r="C9" t="str">
            <v>Z.A. de l'Ombrée</v>
          </cell>
          <cell r="D9" t="str">
            <v>Boulevard Jean-Baptiste Colbert</v>
          </cell>
          <cell r="E9">
            <v>49520</v>
          </cell>
          <cell r="F9" t="str">
            <v>COMBREE</v>
          </cell>
        </row>
        <row r="10">
          <cell r="A10">
            <v>9</v>
          </cell>
          <cell r="B10" t="str">
            <v>ESPA HUTCHINSON Group</v>
          </cell>
          <cell r="C10" t="str">
            <v>22, rue de Curembourg</v>
          </cell>
          <cell r="D10" t="str">
            <v>B.P. 206</v>
          </cell>
          <cell r="E10">
            <v>45401</v>
          </cell>
          <cell r="F10" t="str">
            <v>FLEURY LES AUBRAIS</v>
          </cell>
        </row>
        <row r="11">
          <cell r="A11">
            <v>10</v>
          </cell>
          <cell r="B11" t="str">
            <v>ETUDEMA</v>
          </cell>
          <cell r="C11" t="str">
            <v>25,rue Bernard PALISSY</v>
          </cell>
          <cell r="D11" t="str">
            <v>-</v>
          </cell>
          <cell r="E11">
            <v>45800</v>
          </cell>
          <cell r="F11" t="str">
            <v>SAINT JEAN DE BRAYE</v>
          </cell>
        </row>
        <row r="12">
          <cell r="A12">
            <v>11</v>
          </cell>
          <cell r="B12" t="str">
            <v>FRENEHARD S.A.S</v>
          </cell>
          <cell r="C12" t="str">
            <v>Z.A. Les Bredollières</v>
          </cell>
          <cell r="D12" t="str">
            <v>SSB 1</v>
          </cell>
          <cell r="E12">
            <v>61300</v>
          </cell>
          <cell r="F12" t="str">
            <v>SAINT SYMPHORIEN DES BRUYERES</v>
          </cell>
        </row>
        <row r="13">
          <cell r="A13">
            <v>12</v>
          </cell>
          <cell r="B13" t="str">
            <v>GUINAULT</v>
          </cell>
          <cell r="C13" t="str">
            <v>PAOS LA SAUSSAYE</v>
          </cell>
          <cell r="D13" t="str">
            <v>95, rue du rond d'eau- CS70004</v>
          </cell>
          <cell r="E13">
            <v>45590</v>
          </cell>
          <cell r="F13" t="str">
            <v>SAINT CYR EN VAL</v>
          </cell>
        </row>
        <row r="14">
          <cell r="A14">
            <v>13</v>
          </cell>
          <cell r="B14" t="str">
            <v>HAUZERWIZE</v>
          </cell>
          <cell r="C14" t="str">
            <v>Le Lab'O</v>
          </cell>
          <cell r="D14" t="str">
            <v>1,avenue du Champ-de-Mars</v>
          </cell>
          <cell r="E14">
            <v>45100</v>
          </cell>
          <cell r="F14" t="str">
            <v>ORLEANS</v>
          </cell>
        </row>
        <row r="15">
          <cell r="A15">
            <v>14</v>
          </cell>
          <cell r="B15" t="str">
            <v>HEBCO INDUSTRIE</v>
          </cell>
          <cell r="C15" t="str">
            <v>Avenue de l'Europe</v>
          </cell>
          <cell r="E15">
            <v>41600</v>
          </cell>
          <cell r="F15" t="str">
            <v>LAMOTTE BEUVRON</v>
          </cell>
        </row>
        <row r="16">
          <cell r="A16">
            <v>15</v>
          </cell>
          <cell r="B16" t="str">
            <v>HENRY</v>
          </cell>
          <cell r="C16" t="str">
            <v>185 Route des Trays</v>
          </cell>
          <cell r="E16">
            <v>45240</v>
          </cell>
          <cell r="F16" t="str">
            <v>LA FERTE SAINT AUBIN</v>
          </cell>
        </row>
        <row r="17">
          <cell r="A17">
            <v>16</v>
          </cell>
          <cell r="B17" t="str">
            <v>HUTCHINSON SNC</v>
          </cell>
          <cell r="C17" t="str">
            <v>Rue Gustave Nourry</v>
          </cell>
          <cell r="D17" t="str">
            <v>BP31</v>
          </cell>
          <cell r="E17">
            <v>45120</v>
          </cell>
          <cell r="F17" t="str">
            <v>CHALETTE SUR LOING</v>
          </cell>
        </row>
        <row r="18">
          <cell r="A18">
            <v>17</v>
          </cell>
          <cell r="B18" t="str">
            <v>ÏOKEPLASTIC S.A.S.</v>
          </cell>
          <cell r="C18" t="str">
            <v>Rue saint Georges</v>
          </cell>
          <cell r="D18" t="str">
            <v>Le Pont Jamineau</v>
          </cell>
          <cell r="E18">
            <v>37340</v>
          </cell>
          <cell r="F18" t="str">
            <v>SAVIGNE-SUR-LATHAN</v>
          </cell>
        </row>
        <row r="19">
          <cell r="A19">
            <v>18</v>
          </cell>
          <cell r="B19" t="str">
            <v>JICEY PRECISION SHIMS</v>
          </cell>
          <cell r="C19" t="str">
            <v>Rue des Côtes d'Orval</v>
          </cell>
          <cell r="E19" t="str">
            <v>78550</v>
          </cell>
          <cell r="F19" t="str">
            <v>HOUDAN</v>
          </cell>
        </row>
        <row r="20">
          <cell r="A20">
            <v>19</v>
          </cell>
          <cell r="B20" t="str">
            <v xml:space="preserve">JOHN DEERE S.A.S. </v>
          </cell>
          <cell r="C20" t="str">
            <v>Orléans-Saran Unit ,1 rue John DEERE</v>
          </cell>
          <cell r="D20" t="str">
            <v>B.P. 11013</v>
          </cell>
          <cell r="E20" t="str">
            <v>45401</v>
          </cell>
          <cell r="F20" t="str">
            <v>FLEURY LES AUBRAIS cedex</v>
          </cell>
        </row>
        <row r="21">
          <cell r="A21">
            <v>20</v>
          </cell>
          <cell r="B21" t="str">
            <v>JUNGHANS T2M S.A.S.</v>
          </cell>
          <cell r="C21" t="str">
            <v>Route d'ARDON</v>
          </cell>
          <cell r="E21" t="str">
            <v>45240</v>
          </cell>
          <cell r="F21" t="str">
            <v>LA FERTE SAINT AUBIN</v>
          </cell>
        </row>
        <row r="22">
          <cell r="A22">
            <v>21</v>
          </cell>
          <cell r="B22" t="str">
            <v>LA FERME D'ALLOU</v>
          </cell>
          <cell r="C22" t="str">
            <v>MOTO TRIUMPH</v>
          </cell>
          <cell r="E22">
            <v>45560</v>
          </cell>
          <cell r="F22" t="str">
            <v>SAINT DENIS EN VAL</v>
          </cell>
        </row>
        <row r="23">
          <cell r="A23">
            <v>22</v>
          </cell>
          <cell r="B23" t="str">
            <v>LOGIS ALLIANCE</v>
          </cell>
          <cell r="C23" t="str">
            <v>Rue 6ème avenue</v>
          </cell>
          <cell r="D23" t="str">
            <v>ZAC Synergie</v>
          </cell>
          <cell r="E23">
            <v>45130</v>
          </cell>
          <cell r="F23" t="str">
            <v>MEUNG SUR LOIRE</v>
          </cell>
        </row>
        <row r="24">
          <cell r="A24">
            <v>23</v>
          </cell>
          <cell r="B24" t="str">
            <v>M.P.A. BERTIN s.a.r.l.</v>
          </cell>
          <cell r="C24" t="str">
            <v>56-58-60,rue de la Burelle</v>
          </cell>
          <cell r="E24">
            <v>45800</v>
          </cell>
          <cell r="F24" t="str">
            <v>SAINT JEAN DE BRAYE</v>
          </cell>
        </row>
        <row r="25">
          <cell r="A25">
            <v>24</v>
          </cell>
          <cell r="B25" t="str">
            <v>M.P.O.</v>
          </cell>
          <cell r="C25" t="str">
            <v>108,rue du Petit Hameau</v>
          </cell>
          <cell r="E25">
            <v>45110</v>
          </cell>
          <cell r="F25" t="str">
            <v>CHATEAUNEUF SUR LOIRE</v>
          </cell>
        </row>
        <row r="26">
          <cell r="A26">
            <v>25</v>
          </cell>
          <cell r="B26" t="str">
            <v>MARS</v>
          </cell>
          <cell r="C26" t="str">
            <v>Boulevard des Chenâts</v>
          </cell>
          <cell r="D26" t="str">
            <v>CS20001</v>
          </cell>
          <cell r="E26" t="str">
            <v>45550</v>
          </cell>
          <cell r="F26" t="str">
            <v>SAINT DENIS DE L'HÔTEL</v>
          </cell>
        </row>
        <row r="27">
          <cell r="A27">
            <v>26</v>
          </cell>
          <cell r="B27" t="str">
            <v>MECA 2B</v>
          </cell>
          <cell r="C27" t="str">
            <v>Parc Archimède</v>
          </cell>
          <cell r="D27" t="str">
            <v>7,rue Bernard PALISSY</v>
          </cell>
          <cell r="E27" t="str">
            <v>45800</v>
          </cell>
          <cell r="F27" t="str">
            <v>SAINT JEAN DE BRAYE</v>
          </cell>
        </row>
        <row r="28">
          <cell r="A28">
            <v>27</v>
          </cell>
          <cell r="B28" t="str">
            <v>MECASPACE INDUSTRIE</v>
          </cell>
          <cell r="C28" t="str">
            <v>300,rue Marcel PAUL</v>
          </cell>
          <cell r="E28">
            <v>45770</v>
          </cell>
          <cell r="F28" t="str">
            <v>SARAN</v>
          </cell>
        </row>
        <row r="29">
          <cell r="A29">
            <v>28</v>
          </cell>
          <cell r="B29" t="str">
            <v>MECASUP</v>
          </cell>
          <cell r="C29" t="str">
            <v>ZA les Combles</v>
          </cell>
          <cell r="E29">
            <v>41300</v>
          </cell>
          <cell r="F29" t="str">
            <v>SALBRIS</v>
          </cell>
        </row>
        <row r="30">
          <cell r="A30">
            <v>29</v>
          </cell>
          <cell r="B30" t="str">
            <v>MSL circuits SAS</v>
          </cell>
          <cell r="C30" t="str">
            <v>B.P.14</v>
          </cell>
          <cell r="D30" t="str">
            <v>N°6, 3 Parc d'Activ. Synergie Val / Loire</v>
          </cell>
          <cell r="E30">
            <v>45130</v>
          </cell>
          <cell r="F30" t="str">
            <v>MEUNG/LOIRE</v>
          </cell>
        </row>
        <row r="31">
          <cell r="A31">
            <v>30</v>
          </cell>
          <cell r="B31" t="str">
            <v>NUMECAP</v>
          </cell>
          <cell r="C31" t="str">
            <v>Allée du Commerce</v>
          </cell>
          <cell r="D31" t="str">
            <v>Z.A.C. Cap Sud</v>
          </cell>
          <cell r="E31">
            <v>36250</v>
          </cell>
          <cell r="F31" t="str">
            <v>SAINT MAUR</v>
          </cell>
        </row>
        <row r="32">
          <cell r="A32">
            <v>31</v>
          </cell>
          <cell r="B32" t="str">
            <v>OUEST ALU</v>
          </cell>
          <cell r="C32" t="str">
            <v>24 Avenue des sables</v>
          </cell>
          <cell r="D32" t="str">
            <v>CS40129</v>
          </cell>
          <cell r="E32">
            <v>85501</v>
          </cell>
          <cell r="F32" t="str">
            <v>LES HERBIERS CEDEX</v>
          </cell>
        </row>
        <row r="33">
          <cell r="A33">
            <v>32</v>
          </cell>
          <cell r="B33" t="str">
            <v>OUTILLAGE PROGRESS</v>
          </cell>
          <cell r="C33" t="str">
            <v>18,rue des Sables</v>
          </cell>
          <cell r="E33" t="str">
            <v>37530</v>
          </cell>
          <cell r="F33" t="str">
            <v>NAZELLES-NEGRON</v>
          </cell>
        </row>
        <row r="34">
          <cell r="A34">
            <v>33</v>
          </cell>
          <cell r="B34" t="str">
            <v>POCLAIN TECHNICAST GRANDRY TECHNOLOGIES</v>
          </cell>
          <cell r="C34" t="str">
            <v>4 Boulevard de la Primaudière</v>
          </cell>
          <cell r="E34" t="str">
            <v>72302</v>
          </cell>
          <cell r="F34" t="str">
            <v>Sablé-sur-Sarthe Cedex</v>
          </cell>
        </row>
        <row r="35">
          <cell r="A35">
            <v>34</v>
          </cell>
          <cell r="B35" t="str">
            <v>ROXEL LA FERTE</v>
          </cell>
          <cell r="C35" t="str">
            <v>Route d'ARDON</v>
          </cell>
          <cell r="E35">
            <v>45240</v>
          </cell>
          <cell r="F35" t="str">
            <v>LA FERTE SAINT AUBIN</v>
          </cell>
        </row>
        <row r="36">
          <cell r="A36">
            <v>35</v>
          </cell>
          <cell r="B36" t="str">
            <v>ROXEL LE SUBDRAY</v>
          </cell>
          <cell r="C36" t="str">
            <v>Site MBDA</v>
          </cell>
          <cell r="D36" t="str">
            <v>RN 151</v>
          </cell>
          <cell r="E36">
            <v>18570</v>
          </cell>
          <cell r="F36" t="str">
            <v>LE SUBDRAY</v>
          </cell>
        </row>
        <row r="37">
          <cell r="A37">
            <v>36</v>
          </cell>
          <cell r="B37" t="str">
            <v>ROXEL ST MEDARD</v>
          </cell>
          <cell r="C37" t="str">
            <v>Route de CORBIAC</v>
          </cell>
          <cell r="D37" t="str">
            <v>Allée Louis MOREL</v>
          </cell>
          <cell r="E37">
            <v>33167</v>
          </cell>
          <cell r="F37" t="str">
            <v>SAINT-MEDARD-EN-JALLES</v>
          </cell>
        </row>
        <row r="38">
          <cell r="A38">
            <v>37</v>
          </cell>
          <cell r="B38" t="str">
            <v>S.N.C.F Technicentre S.E</v>
          </cell>
          <cell r="C38" t="str">
            <v>1 rue du TGV</v>
          </cell>
          <cell r="E38">
            <v>94190</v>
          </cell>
          <cell r="F38" t="str">
            <v>VILLEUNEUVE SAINT GEORGES</v>
          </cell>
        </row>
        <row r="39">
          <cell r="A39">
            <v>38</v>
          </cell>
          <cell r="B39" t="str">
            <v>SNCF Technicentre atlantique métrologie</v>
          </cell>
          <cell r="C39" t="str">
            <v>60 rue Etienne Deforges</v>
          </cell>
          <cell r="E39">
            <v>92320</v>
          </cell>
          <cell r="F39" t="str">
            <v>CHATILLON</v>
          </cell>
        </row>
        <row r="40">
          <cell r="A40">
            <v>39</v>
          </cell>
          <cell r="B40" t="str">
            <v>SAVIPLAST</v>
          </cell>
          <cell r="C40" t="str">
            <v>ZI Terres de Vauplaines</v>
          </cell>
          <cell r="E40" t="str">
            <v>89700</v>
          </cell>
          <cell r="F40" t="str">
            <v>TONNERRE</v>
          </cell>
        </row>
        <row r="41">
          <cell r="A41">
            <v>40</v>
          </cell>
          <cell r="B41" t="str">
            <v>SCHROFF</v>
          </cell>
          <cell r="C41" t="str">
            <v>4 rue du Marais</v>
          </cell>
          <cell r="E41" t="str">
            <v>67660</v>
          </cell>
          <cell r="F41" t="str">
            <v>BETSCHDORF</v>
          </cell>
        </row>
        <row r="42">
          <cell r="A42">
            <v>41</v>
          </cell>
          <cell r="B42" t="str">
            <v>SCODIP</v>
          </cell>
          <cell r="C42" t="str">
            <v>14,chemin du Pont Cotelle</v>
          </cell>
          <cell r="E42">
            <v>45073</v>
          </cell>
          <cell r="F42" t="str">
            <v>ORLEANS Cedex 02</v>
          </cell>
        </row>
        <row r="43">
          <cell r="A43">
            <v>42</v>
          </cell>
          <cell r="B43" t="str">
            <v>SPI</v>
          </cell>
          <cell r="C43" t="str">
            <v>ZI des Vigneaux</v>
          </cell>
          <cell r="D43" t="str">
            <v>6 rue de l'étang</v>
          </cell>
          <cell r="E43" t="str">
            <v>36210</v>
          </cell>
          <cell r="F43" t="str">
            <v>CHABRIS</v>
          </cell>
        </row>
        <row r="44">
          <cell r="A44">
            <v>43</v>
          </cell>
          <cell r="B44" t="str">
            <v>SPIE INDUSTRIE ET TERTIAIRE</v>
          </cell>
          <cell r="C44" t="str">
            <v>Z.A. Parc d'Archimède - Bât A</v>
          </cell>
          <cell r="D44" t="str">
            <v>7 rue Isaac Newton</v>
          </cell>
          <cell r="E44">
            <v>45800</v>
          </cell>
          <cell r="F44" t="str">
            <v>SAINT JEAN DE BRAYE</v>
          </cell>
        </row>
        <row r="45">
          <cell r="A45">
            <v>44</v>
          </cell>
          <cell r="B45" t="str">
            <v>SPIE NUCLEAIRE</v>
          </cell>
          <cell r="C45" t="str">
            <v>CNPE de Chinon</v>
          </cell>
          <cell r="D45" t="str">
            <v>Centrale EDF CNPE de Chinon</v>
          </cell>
          <cell r="E45">
            <v>37420</v>
          </cell>
          <cell r="F45" t="str">
            <v>AVOINE</v>
          </cell>
        </row>
        <row r="46">
          <cell r="A46">
            <v>45</v>
          </cell>
          <cell r="B46" t="str">
            <v>SPIE NUCLEAIRE</v>
          </cell>
          <cell r="C46" t="str">
            <v>Centre logistique Semoy</v>
          </cell>
          <cell r="D46" t="str">
            <v>825 rue Léonard de Vinci</v>
          </cell>
          <cell r="E46">
            <v>45400</v>
          </cell>
          <cell r="F46" t="str">
            <v>SEMOY</v>
          </cell>
        </row>
        <row r="47">
          <cell r="A47">
            <v>46</v>
          </cell>
          <cell r="B47" t="str">
            <v>SPIE NUCLEAIRE</v>
          </cell>
          <cell r="C47" t="str">
            <v>CNPE de Belleville</v>
          </cell>
          <cell r="D47" t="str">
            <v>-</v>
          </cell>
          <cell r="E47">
            <v>18240</v>
          </cell>
          <cell r="F47" t="str">
            <v>BELLEVILLE-SUR-LOIRE</v>
          </cell>
        </row>
        <row r="48">
          <cell r="A48">
            <v>47</v>
          </cell>
          <cell r="B48" t="str">
            <v>THALES AIR SYSTEMS</v>
          </cell>
          <cell r="C48" t="str">
            <v>29,rue de Montaran</v>
          </cell>
          <cell r="D48" t="str">
            <v>-</v>
          </cell>
          <cell r="E48" t="str">
            <v>45404</v>
          </cell>
          <cell r="F48" t="str">
            <v>FLEURY-LES-AUBRAIS</v>
          </cell>
        </row>
        <row r="49">
          <cell r="A49">
            <v>48</v>
          </cell>
          <cell r="B49" t="str">
            <v>THALES LAS</v>
          </cell>
          <cell r="C49" t="str">
            <v>Route d'ARDON</v>
          </cell>
          <cell r="D49" t="str">
            <v>-</v>
          </cell>
          <cell r="E49" t="str">
            <v>45240</v>
          </cell>
          <cell r="F49" t="str">
            <v>LA FERTE SAINT AUBIN</v>
          </cell>
        </row>
        <row r="50">
          <cell r="A50">
            <v>49</v>
          </cell>
          <cell r="B50" t="str">
            <v>THERMOR S.A.S.</v>
          </cell>
          <cell r="C50" t="str">
            <v>17,rue Croix FAUCHET</v>
          </cell>
          <cell r="D50" t="str">
            <v>B.P.46</v>
          </cell>
          <cell r="E50">
            <v>45141</v>
          </cell>
          <cell r="F50" t="str">
            <v xml:space="preserve">SAINT JEAN DE LA RUELLE </v>
          </cell>
        </row>
        <row r="51">
          <cell r="A51">
            <v>50</v>
          </cell>
          <cell r="B51" t="str">
            <v>VERGNET HYDRO</v>
          </cell>
          <cell r="C51" t="str">
            <v>6 rue Lavoisier</v>
          </cell>
          <cell r="D51" t="str">
            <v>-</v>
          </cell>
          <cell r="E51">
            <v>45140</v>
          </cell>
          <cell r="F51" t="str">
            <v xml:space="preserve">SAINT JEAN DE LA RUELLE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e des Etalons à jour"/>
      <sheetName val="raccordements à jour "/>
      <sheetName val="Liste des moyens "/>
      <sheetName val="Liste des Etalons en sommeil"/>
      <sheetName val="Gestion des étalons labo5"/>
      <sheetName val="Rapport d'essai"/>
    </sheetNames>
    <sheetDataSet>
      <sheetData sheetId="0"/>
      <sheetData sheetId="1">
        <row r="9">
          <cell r="B9" t="str">
            <v>Machine de mesure tridimensionnelle MITUTOYO EURO-C APEX 7106 (MMT01)</v>
          </cell>
        </row>
        <row r="10">
          <cell r="B10" t="str">
            <v>CE N° 23042101-OMA</v>
          </cell>
        </row>
        <row r="11">
          <cell r="B11">
            <v>45748</v>
          </cell>
        </row>
      </sheetData>
      <sheetData sheetId="2"/>
      <sheetData sheetId="3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CM2103"/>
  <sheetViews>
    <sheetView tabSelected="1" zoomScaleSheetLayoutView="115" workbookViewId="0">
      <selection activeCell="D39" sqref="D39"/>
    </sheetView>
  </sheetViews>
  <sheetFormatPr baseColWidth="10" defaultRowHeight="12.75"/>
  <cols>
    <col min="1" max="14" width="6.7109375" customWidth="1"/>
    <col min="15" max="15" width="10" customWidth="1"/>
    <col min="16" max="16" width="7.5703125" customWidth="1"/>
    <col min="17" max="17" width="8.85546875" customWidth="1"/>
    <col min="18" max="18" width="9.5703125" customWidth="1"/>
    <col min="19" max="23" width="10.7109375" customWidth="1"/>
    <col min="24" max="24" width="15.7109375" bestFit="1" customWidth="1"/>
    <col min="25" max="250" width="10.7109375" customWidth="1"/>
  </cols>
  <sheetData>
    <row r="1" spans="1:91" s="1" customFormat="1" ht="15" customHeight="1">
      <c r="A1" s="67"/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34"/>
      <c r="CI1" s="34"/>
      <c r="CJ1" s="34"/>
      <c r="CK1" s="34"/>
      <c r="CL1" s="34"/>
      <c r="CM1" s="34"/>
    </row>
    <row r="2" spans="1:91" s="1" customFormat="1" ht="15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N2" s="67"/>
      <c r="O2" s="67"/>
      <c r="P2" s="67"/>
      <c r="Q2" s="67"/>
      <c r="R2" s="67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</row>
    <row r="3" spans="1:91" s="1" customFormat="1" ht="15" customHeight="1">
      <c r="D3" s="48"/>
      <c r="E3" s="48"/>
      <c r="F3" s="48"/>
      <c r="G3" s="48"/>
      <c r="H3" s="48"/>
      <c r="I3" s="48"/>
      <c r="J3" s="48"/>
      <c r="K3" s="48" t="s">
        <v>4</v>
      </c>
      <c r="N3" s="67"/>
      <c r="P3" s="50"/>
      <c r="Q3" s="50"/>
      <c r="S3" s="48"/>
      <c r="T3" s="48"/>
      <c r="U3" s="48"/>
      <c r="V3" s="48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</row>
    <row r="4" spans="1:91" s="1" customFormat="1" ht="15" customHeight="1">
      <c r="D4" s="48"/>
      <c r="E4" s="48"/>
      <c r="F4" s="48"/>
      <c r="G4" s="48"/>
      <c r="H4" s="48"/>
      <c r="I4" s="48"/>
      <c r="J4" s="48"/>
      <c r="K4" s="48" t="s">
        <v>77</v>
      </c>
      <c r="P4" s="50"/>
      <c r="Q4" s="50"/>
      <c r="S4" s="48"/>
      <c r="T4" s="48"/>
      <c r="U4" s="48"/>
      <c r="V4" s="48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  <c r="BV4" s="34"/>
      <c r="BW4" s="34"/>
      <c r="BX4" s="34"/>
      <c r="BY4" s="34"/>
      <c r="BZ4" s="34"/>
      <c r="CA4" s="34"/>
      <c r="CB4" s="34"/>
      <c r="CC4" s="34"/>
      <c r="CD4" s="34"/>
      <c r="CE4" s="34"/>
      <c r="CF4" s="34"/>
      <c r="CG4" s="34"/>
      <c r="CH4" s="34"/>
      <c r="CI4" s="34"/>
      <c r="CJ4" s="34"/>
      <c r="CK4" s="34"/>
      <c r="CL4" s="34"/>
      <c r="CM4" s="34"/>
    </row>
    <row r="5" spans="1:91" s="1" customFormat="1" ht="15" customHeight="1">
      <c r="D5" s="48"/>
      <c r="E5" s="48"/>
      <c r="F5" s="48"/>
      <c r="G5" s="48"/>
      <c r="H5" s="48"/>
      <c r="I5" s="48"/>
      <c r="J5" s="48"/>
      <c r="K5" s="48" t="s">
        <v>5</v>
      </c>
      <c r="P5" s="50"/>
      <c r="Q5" s="50"/>
      <c r="S5" s="48"/>
      <c r="T5" s="48"/>
      <c r="U5" s="48"/>
      <c r="V5" s="48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  <c r="BL5" s="34"/>
      <c r="BM5" s="34"/>
      <c r="BN5" s="34"/>
      <c r="BO5" s="34"/>
      <c r="BP5" s="34"/>
      <c r="BQ5" s="34"/>
      <c r="BR5" s="34"/>
      <c r="BS5" s="34"/>
      <c r="BT5" s="34"/>
      <c r="BU5" s="34"/>
      <c r="BV5" s="34"/>
      <c r="BW5" s="34"/>
      <c r="BX5" s="34"/>
      <c r="BY5" s="34"/>
      <c r="BZ5" s="34"/>
      <c r="CA5" s="34"/>
      <c r="CB5" s="34"/>
      <c r="CC5" s="34"/>
      <c r="CD5" s="34"/>
      <c r="CE5" s="34"/>
      <c r="CF5" s="34"/>
      <c r="CG5" s="34"/>
      <c r="CH5" s="34"/>
      <c r="CI5" s="34"/>
      <c r="CJ5" s="34"/>
      <c r="CK5" s="34"/>
      <c r="CL5" s="34"/>
      <c r="CM5" s="34"/>
    </row>
    <row r="6" spans="1:91" s="1" customFormat="1" ht="20.45" customHeight="1">
      <c r="D6" s="48"/>
      <c r="E6" s="48"/>
      <c r="F6" s="48"/>
      <c r="G6" s="48"/>
      <c r="H6" s="48"/>
      <c r="I6" s="48"/>
      <c r="J6" s="48"/>
      <c r="K6" s="48" t="s">
        <v>78</v>
      </c>
      <c r="P6" s="50"/>
      <c r="Q6" s="50"/>
      <c r="S6" s="48"/>
      <c r="T6" s="48"/>
      <c r="U6" s="48"/>
      <c r="V6" s="48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  <c r="BL6" s="34"/>
      <c r="BM6" s="34"/>
      <c r="BN6" s="34"/>
      <c r="BO6" s="34"/>
      <c r="BP6" s="34"/>
      <c r="BQ6" s="34"/>
      <c r="BR6" s="34"/>
      <c r="BS6" s="34"/>
      <c r="BT6" s="34"/>
      <c r="BU6" s="34"/>
      <c r="BV6" s="34"/>
      <c r="BW6" s="34"/>
      <c r="BX6" s="34"/>
      <c r="BY6" s="34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</row>
    <row r="7" spans="1:91" s="1" customFormat="1" ht="15" customHeight="1">
      <c r="D7" s="48"/>
      <c r="E7" s="48"/>
      <c r="F7" s="48"/>
      <c r="G7" s="48"/>
      <c r="H7" s="48"/>
      <c r="I7" s="48"/>
      <c r="J7" s="48"/>
      <c r="K7" s="48" t="s">
        <v>19</v>
      </c>
      <c r="P7" s="50"/>
      <c r="Q7" s="50"/>
      <c r="S7" s="48"/>
      <c r="T7" s="48"/>
      <c r="U7" s="48"/>
      <c r="V7" s="48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  <c r="BL7" s="34"/>
      <c r="BM7" s="34"/>
      <c r="BN7" s="34"/>
      <c r="BO7" s="34"/>
      <c r="BP7" s="34"/>
      <c r="BQ7" s="34"/>
      <c r="BR7" s="34"/>
      <c r="BS7" s="34"/>
      <c r="BT7" s="34"/>
      <c r="BU7" s="34"/>
      <c r="BV7" s="34"/>
      <c r="BW7" s="34"/>
      <c r="BX7" s="34"/>
      <c r="BY7" s="34"/>
      <c r="BZ7" s="34"/>
      <c r="CA7" s="34"/>
      <c r="CB7" s="34"/>
      <c r="CC7" s="34"/>
      <c r="CD7" s="34"/>
      <c r="CE7" s="34"/>
      <c r="CF7" s="34"/>
      <c r="CG7" s="34"/>
      <c r="CH7" s="34"/>
      <c r="CI7" s="34"/>
      <c r="CJ7" s="34"/>
      <c r="CK7" s="34"/>
      <c r="CL7" s="34"/>
      <c r="CM7" s="34"/>
    </row>
    <row r="8" spans="1:91" s="1" customFormat="1" ht="15" customHeight="1">
      <c r="D8" s="48"/>
      <c r="E8" s="48"/>
      <c r="F8" s="48"/>
      <c r="G8" s="48"/>
      <c r="H8" s="48"/>
      <c r="I8" s="48"/>
      <c r="J8" s="48"/>
      <c r="P8" s="50"/>
      <c r="Q8" s="50"/>
      <c r="R8" s="50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T8" s="34"/>
      <c r="BU8" s="34"/>
      <c r="BV8" s="34"/>
      <c r="BW8" s="34"/>
      <c r="BX8" s="34"/>
      <c r="BY8" s="34"/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</row>
    <row r="9" spans="1:91" s="1" customFormat="1" ht="15" customHeight="1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35"/>
      <c r="N9" s="35"/>
      <c r="O9" s="35"/>
      <c r="P9" s="35"/>
      <c r="Q9" s="35"/>
      <c r="R9" s="2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  <c r="BF9" s="34"/>
      <c r="BG9" s="34"/>
      <c r="BH9" s="34"/>
      <c r="BI9" s="34"/>
      <c r="BJ9" s="34"/>
      <c r="BK9" s="34"/>
      <c r="BL9" s="34"/>
      <c r="BM9" s="34"/>
      <c r="BN9" s="34"/>
      <c r="BO9" s="34"/>
      <c r="BP9" s="34"/>
      <c r="BQ9" s="34"/>
      <c r="BR9" s="34"/>
      <c r="BS9" s="34"/>
      <c r="BT9" s="34"/>
      <c r="BU9" s="34"/>
      <c r="BV9" s="34"/>
      <c r="BW9" s="34"/>
      <c r="BX9" s="34"/>
      <c r="BY9" s="34"/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</row>
    <row r="10" spans="1:91" s="1" customFormat="1" ht="15" customHeight="1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34"/>
      <c r="N10" s="34"/>
      <c r="O10" s="34"/>
      <c r="P10" s="34"/>
      <c r="Q10" s="34"/>
      <c r="R10" s="3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  <c r="BF10" s="34"/>
      <c r="BG10" s="34"/>
      <c r="BH10" s="34"/>
      <c r="BI10" s="34"/>
      <c r="BJ10" s="34"/>
      <c r="BK10" s="34"/>
      <c r="BL10" s="34"/>
      <c r="BM10" s="34"/>
      <c r="BN10" s="34"/>
      <c r="BO10" s="34"/>
      <c r="BP10" s="34"/>
      <c r="BQ10" s="34"/>
      <c r="BR10" s="34"/>
      <c r="BS10" s="34"/>
      <c r="BT10" s="34"/>
      <c r="BU10" s="34"/>
      <c r="BV10" s="34"/>
      <c r="BW10" s="34"/>
      <c r="BX10" s="34"/>
      <c r="BY10" s="34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</row>
    <row r="11" spans="1:91" s="1" customFormat="1" ht="15" customHeight="1">
      <c r="A11" s="267" t="s">
        <v>20</v>
      </c>
      <c r="B11" s="267"/>
      <c r="C11" s="267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51"/>
      <c r="Q11" s="51"/>
      <c r="R11" s="51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  <c r="BF11" s="34"/>
      <c r="BG11" s="34"/>
      <c r="BH11" s="34"/>
      <c r="BI11" s="34"/>
      <c r="BJ11" s="34"/>
      <c r="BK11" s="34"/>
      <c r="BL11" s="34"/>
      <c r="BM11" s="34"/>
      <c r="BN11" s="34"/>
      <c r="BO11" s="34"/>
      <c r="BP11" s="34"/>
      <c r="BQ11" s="34"/>
      <c r="BR11" s="34"/>
      <c r="BS11" s="34"/>
      <c r="BT11" s="34"/>
      <c r="BU11" s="34"/>
      <c r="BV11" s="34"/>
      <c r="BW11" s="34"/>
      <c r="BX11" s="34"/>
      <c r="BY11" s="34"/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</row>
    <row r="12" spans="1:91" s="1" customFormat="1" ht="23.25">
      <c r="A12" s="267"/>
      <c r="B12" s="267"/>
      <c r="C12" s="267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67"/>
      <c r="O12" s="267"/>
      <c r="P12" s="51"/>
      <c r="Q12" s="51"/>
      <c r="R12" s="51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  <c r="BF12" s="34"/>
      <c r="BG12" s="34"/>
      <c r="BH12" s="34"/>
      <c r="BI12" s="34"/>
      <c r="BJ12" s="34"/>
      <c r="BK12" s="34"/>
      <c r="BL12" s="34"/>
      <c r="BM12" s="34"/>
      <c r="BN12" s="34"/>
      <c r="BO12" s="34"/>
      <c r="BP12" s="34"/>
      <c r="BQ12" s="34"/>
      <c r="BR12" s="34"/>
      <c r="BS12" s="34"/>
      <c r="BT12" s="34"/>
      <c r="BU12" s="34"/>
      <c r="BV12" s="34"/>
      <c r="BW12" s="34"/>
      <c r="BX12" s="34"/>
      <c r="BY12" s="34"/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</row>
    <row r="13" spans="1:91" s="1" customFormat="1" ht="15" customHeight="1">
      <c r="A13" s="268" t="s">
        <v>155</v>
      </c>
      <c r="B13" s="268"/>
      <c r="C13" s="268"/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52"/>
      <c r="Q13" s="52"/>
      <c r="R13" s="52"/>
      <c r="S13" s="34"/>
      <c r="T13" s="34"/>
      <c r="V13" s="38" t="s">
        <v>64</v>
      </c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  <c r="BF13" s="34"/>
      <c r="BG13" s="34"/>
      <c r="BH13" s="34"/>
      <c r="BI13" s="34"/>
      <c r="BJ13" s="34"/>
      <c r="BK13" s="34"/>
      <c r="BL13" s="34"/>
      <c r="BM13" s="34"/>
      <c r="BN13" s="34"/>
      <c r="BO13" s="34"/>
      <c r="BP13" s="34"/>
      <c r="BQ13" s="34"/>
      <c r="BR13" s="34"/>
      <c r="BS13" s="34"/>
      <c r="BT13" s="34"/>
      <c r="BU13" s="34"/>
      <c r="BV13" s="34"/>
      <c r="BW13" s="34"/>
      <c r="BX13" s="34"/>
      <c r="BY13" s="34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</row>
    <row r="14" spans="1:91" s="1" customFormat="1" ht="15" customHeight="1">
      <c r="A14" s="68"/>
      <c r="B14" s="68"/>
      <c r="C14" s="68"/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52"/>
      <c r="R14" s="52"/>
      <c r="S14" s="34"/>
      <c r="T14" s="34"/>
      <c r="V14" s="38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  <c r="BF14" s="34"/>
      <c r="BG14" s="34"/>
      <c r="BH14" s="34"/>
      <c r="BI14" s="34"/>
      <c r="BJ14" s="34"/>
      <c r="BK14" s="34"/>
      <c r="BL14" s="34"/>
      <c r="BM14" s="34"/>
      <c r="BN14" s="34"/>
      <c r="BO14" s="34"/>
      <c r="BP14" s="34"/>
      <c r="BQ14" s="34"/>
      <c r="BR14" s="34"/>
      <c r="BS14" s="34"/>
      <c r="BT14" s="34"/>
      <c r="BU14" s="34"/>
      <c r="BV14" s="34"/>
      <c r="BW14" s="34"/>
      <c r="BX14" s="34"/>
      <c r="BY14" s="34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</row>
    <row r="15" spans="1:91" s="1" customFormat="1" ht="15" customHeight="1">
      <c r="A15" s="68"/>
      <c r="B15" s="68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52"/>
      <c r="R15" s="52"/>
      <c r="S15" s="34"/>
      <c r="T15" s="34"/>
      <c r="V15" s="38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  <c r="BF15" s="34"/>
      <c r="BG15" s="34"/>
      <c r="BH15" s="34"/>
      <c r="BI15" s="34"/>
      <c r="BJ15" s="34"/>
      <c r="BK15" s="34"/>
      <c r="BL15" s="34"/>
      <c r="BM15" s="34"/>
      <c r="BN15" s="34"/>
      <c r="BO15" s="34"/>
      <c r="BP15" s="34"/>
      <c r="BQ15" s="34"/>
      <c r="BR15" s="34"/>
      <c r="BS15" s="34"/>
      <c r="BT15" s="34"/>
      <c r="BU15" s="34"/>
      <c r="BV15" s="34"/>
      <c r="BW15" s="34"/>
      <c r="BX15" s="34"/>
      <c r="BY15" s="34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</row>
    <row r="16" spans="1:91" s="1" customFormat="1" ht="15" customHeight="1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34"/>
      <c r="N16" s="50"/>
      <c r="O16" s="50"/>
      <c r="P16" s="50"/>
      <c r="Q16" s="2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  <c r="BF16" s="34"/>
      <c r="BG16" s="34"/>
      <c r="BH16" s="34"/>
      <c r="BI16" s="34"/>
      <c r="BJ16" s="34"/>
      <c r="BK16" s="34"/>
      <c r="BL16" s="34"/>
      <c r="BM16" s="34"/>
      <c r="BN16" s="34"/>
      <c r="BO16" s="34"/>
      <c r="BP16" s="34"/>
      <c r="BQ16" s="34"/>
      <c r="BR16" s="34"/>
      <c r="BS16" s="34"/>
      <c r="BT16" s="34"/>
      <c r="BU16" s="34"/>
      <c r="BV16" s="34"/>
      <c r="BW16" s="34"/>
      <c r="BX16" s="34"/>
      <c r="BY16" s="34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</row>
    <row r="17" spans="1:91" s="1" customFormat="1" ht="15" customHeight="1">
      <c r="A17" s="271" t="s">
        <v>6</v>
      </c>
      <c r="B17" s="271"/>
      <c r="C17" s="271"/>
      <c r="D17" s="33" t="str">
        <f>VLOOKUP(U18,[1]ADRESSE!$A$2:$F$150,2)</f>
        <v>ÏOKEPLASTIC S.A.S.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4"/>
      <c r="T17" s="34"/>
      <c r="U17" s="32" t="s">
        <v>63</v>
      </c>
      <c r="V17" s="34"/>
      <c r="W17" s="34" t="s">
        <v>69</v>
      </c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  <c r="BF17" s="34"/>
      <c r="BG17" s="34"/>
      <c r="BH17" s="34"/>
      <c r="BI17" s="34"/>
      <c r="BJ17" s="34"/>
      <c r="BK17" s="34"/>
      <c r="BL17" s="34"/>
      <c r="BM17" s="34"/>
      <c r="BN17" s="34"/>
      <c r="BO17" s="34"/>
      <c r="BP17" s="34"/>
      <c r="BQ17" s="34"/>
      <c r="BR17" s="34"/>
      <c r="BS17" s="34"/>
      <c r="BT17" s="34"/>
      <c r="BU17" s="34"/>
      <c r="BV17" s="34"/>
      <c r="BW17" s="34"/>
      <c r="BX17" s="34"/>
      <c r="BY17" s="34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</row>
    <row r="18" spans="1:91" s="1" customFormat="1" ht="15" customHeight="1">
      <c r="A18" s="48"/>
      <c r="B18" s="48"/>
      <c r="C18" s="34"/>
      <c r="D18" s="33" t="str">
        <f>VLOOKUP(U18,[1]ADRESSE!$A$2:$F$150,3)</f>
        <v>Rue saint Georges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4"/>
      <c r="T18" s="34"/>
      <c r="U18" s="31">
        <v>17</v>
      </c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  <c r="BF18" s="34"/>
      <c r="BG18" s="34"/>
      <c r="BH18" s="34"/>
      <c r="BI18" s="34"/>
      <c r="BJ18" s="34"/>
      <c r="BK18" s="34"/>
      <c r="BL18" s="34"/>
      <c r="BM18" s="34"/>
      <c r="BN18" s="34"/>
      <c r="BO18" s="34"/>
      <c r="BP18" s="34"/>
      <c r="BQ18" s="34"/>
      <c r="BR18" s="34"/>
      <c r="BS18" s="34"/>
      <c r="BT18" s="34"/>
      <c r="BU18" s="34"/>
      <c r="BV18" s="34"/>
      <c r="BW18" s="34"/>
      <c r="BX18" s="34"/>
      <c r="BY18" s="34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</row>
    <row r="19" spans="1:91" s="1" customFormat="1" ht="15" customHeight="1">
      <c r="A19" s="48"/>
      <c r="B19" s="48"/>
      <c r="C19" s="34"/>
      <c r="D19" s="33" t="str">
        <f>VLOOKUP(U18,[1]ADRESSE!$A$2:$F$150,4)</f>
        <v>Le Pont Jamineau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  <c r="BF19" s="34"/>
      <c r="BG19" s="34"/>
      <c r="BH19" s="34"/>
      <c r="BI19" s="34"/>
      <c r="BJ19" s="34"/>
      <c r="BK19" s="34"/>
      <c r="BL19" s="34"/>
      <c r="BM19" s="34"/>
      <c r="BN19" s="34"/>
      <c r="BO19" s="34"/>
      <c r="BP19" s="34"/>
      <c r="BQ19" s="34"/>
      <c r="BR19" s="34"/>
      <c r="BS19" s="34"/>
      <c r="BT19" s="34"/>
      <c r="BU19" s="34"/>
      <c r="BV19" s="34"/>
      <c r="BW19" s="34"/>
      <c r="BX19" s="34"/>
      <c r="BY19" s="34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</row>
    <row r="20" spans="1:91" s="1" customFormat="1" ht="15" customHeight="1">
      <c r="A20" s="48"/>
      <c r="B20" s="48"/>
      <c r="C20" s="48"/>
      <c r="D20" s="53">
        <f>VLOOKUP(U18,[1]ADRESSE!$A$2:$F$150,5)</f>
        <v>37340</v>
      </c>
      <c r="E20" s="33" t="str">
        <f>VLOOKUP(U18,[1]ADRESSE!$A$2:$F$150,6)</f>
        <v>SAVIGNE-SUR-LATHAN</v>
      </c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  <c r="BF20" s="34"/>
      <c r="BG20" s="34"/>
      <c r="BH20" s="34"/>
      <c r="BI20" s="34"/>
      <c r="BJ20" s="34"/>
      <c r="BK20" s="34"/>
      <c r="BL20" s="34"/>
      <c r="BM20" s="34"/>
      <c r="BN20" s="34"/>
      <c r="BO20" s="34"/>
      <c r="BP20" s="34"/>
      <c r="BQ20" s="34"/>
      <c r="BR20" s="34"/>
      <c r="BS20" s="34"/>
      <c r="BT20" s="34"/>
      <c r="BU20" s="34"/>
      <c r="BV20" s="34"/>
      <c r="BW20" s="34"/>
      <c r="BX20" s="34"/>
      <c r="BY20" s="34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</row>
    <row r="21" spans="1:91" s="1" customFormat="1" ht="15" customHeight="1">
      <c r="A21" s="48"/>
      <c r="B21" s="48"/>
      <c r="C21" s="48"/>
      <c r="D21" s="5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  <c r="BF21" s="34"/>
      <c r="BG21" s="34"/>
      <c r="BH21" s="34"/>
      <c r="BI21" s="34"/>
      <c r="BJ21" s="34"/>
      <c r="BK21" s="34"/>
      <c r="BL21" s="34"/>
      <c r="BM21" s="34"/>
      <c r="BN21" s="34"/>
      <c r="BO21" s="34"/>
      <c r="BP21" s="34"/>
      <c r="BQ21" s="34"/>
      <c r="BR21" s="34"/>
      <c r="BS21" s="34"/>
      <c r="BT21" s="34"/>
      <c r="BU21" s="34"/>
      <c r="BV21" s="34"/>
      <c r="BW21" s="34"/>
      <c r="BX21" s="34"/>
      <c r="BY21" s="34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</row>
    <row r="22" spans="1:91" s="1" customFormat="1" ht="15" customHeight="1">
      <c r="A22" s="48"/>
      <c r="B22" s="48"/>
      <c r="C22" s="48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  <c r="BF22" s="34"/>
      <c r="BG22" s="34"/>
      <c r="BH22" s="34"/>
      <c r="BI22" s="34"/>
      <c r="BJ22" s="34"/>
      <c r="BK22" s="34"/>
      <c r="BL22" s="34"/>
      <c r="BM22" s="34"/>
      <c r="BN22" s="34"/>
      <c r="BO22" s="34"/>
      <c r="BP22" s="34"/>
      <c r="BQ22" s="34"/>
      <c r="BR22" s="34"/>
      <c r="BS22" s="34"/>
      <c r="BT22" s="34"/>
      <c r="BU22" s="34"/>
      <c r="BV22" s="34"/>
      <c r="BW22" s="34"/>
      <c r="BX22" s="34"/>
      <c r="BY22" s="34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</row>
    <row r="23" spans="1:91" s="1" customFormat="1" ht="15" customHeight="1">
      <c r="A23" s="3" t="s">
        <v>26</v>
      </c>
      <c r="B23" s="3"/>
      <c r="C23" s="3"/>
      <c r="D23" s="3"/>
      <c r="E23" s="3"/>
      <c r="F23" s="2"/>
      <c r="G23" s="2"/>
      <c r="H23" s="2"/>
      <c r="I23" s="34"/>
      <c r="J23" s="3" t="s">
        <v>46</v>
      </c>
      <c r="K23" s="3"/>
      <c r="L23" s="3"/>
      <c r="M23" s="3"/>
      <c r="N23" s="3"/>
      <c r="O23" s="3"/>
      <c r="Q23" s="3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  <c r="BF23" s="34"/>
      <c r="BG23" s="34"/>
      <c r="BH23" s="34"/>
      <c r="BI23" s="34"/>
      <c r="BJ23" s="34"/>
      <c r="BK23" s="34"/>
      <c r="BL23" s="34"/>
      <c r="BM23" s="34"/>
      <c r="BN23" s="34"/>
      <c r="BO23" s="34"/>
      <c r="BP23" s="34"/>
      <c r="BQ23" s="34"/>
      <c r="BR23" s="34"/>
      <c r="BS23" s="34"/>
      <c r="BT23" s="34"/>
      <c r="BU23" s="34"/>
      <c r="BV23" s="34"/>
      <c r="BW23" s="34"/>
      <c r="BX23" s="34"/>
      <c r="BY23" s="34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</row>
    <row r="24" spans="1:91" s="1" customFormat="1" ht="15" customHeight="1">
      <c r="A24" s="48"/>
      <c r="B24" s="48"/>
      <c r="C24" s="48"/>
      <c r="D24" s="48"/>
      <c r="E24" s="48"/>
      <c r="F24" s="48"/>
      <c r="G24" s="48"/>
      <c r="H24" s="48"/>
      <c r="I24" s="34"/>
      <c r="J24" s="48"/>
      <c r="K24" s="48"/>
      <c r="L24" s="48"/>
      <c r="M24" s="2"/>
      <c r="N24" s="2"/>
      <c r="O24" s="48"/>
      <c r="Q24" s="48"/>
      <c r="S24" s="34"/>
      <c r="T24" s="34"/>
      <c r="U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  <c r="BF24" s="34"/>
      <c r="BG24" s="34"/>
      <c r="BH24" s="34"/>
      <c r="BI24" s="34"/>
      <c r="BJ24" s="34"/>
      <c r="BK24" s="34"/>
      <c r="BL24" s="34"/>
      <c r="BM24" s="34"/>
      <c r="BN24" s="34"/>
      <c r="BO24" s="34"/>
      <c r="BP24" s="34"/>
      <c r="BQ24" s="34"/>
      <c r="BR24" s="34"/>
      <c r="BS24" s="34"/>
      <c r="BT24" s="34"/>
      <c r="BU24" s="34"/>
      <c r="BV24" s="34"/>
      <c r="BW24" s="34"/>
      <c r="BX24" s="34"/>
      <c r="BY24" s="34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</row>
    <row r="25" spans="1:91" s="1" customFormat="1" ht="15" customHeight="1">
      <c r="A25" s="48" t="s">
        <v>0</v>
      </c>
      <c r="B25" s="48"/>
      <c r="C25" s="48"/>
      <c r="D25" s="45"/>
      <c r="E25" s="45"/>
      <c r="F25" s="45"/>
      <c r="G25" s="45"/>
      <c r="H25" s="45"/>
      <c r="I25" s="45"/>
      <c r="J25" s="48" t="s">
        <v>1</v>
      </c>
      <c r="K25" s="48"/>
      <c r="L25" s="48"/>
      <c r="M25" s="48"/>
      <c r="N25" s="34" t="s">
        <v>12</v>
      </c>
      <c r="O25" s="34"/>
      <c r="S25" s="34"/>
      <c r="T25" s="34"/>
      <c r="U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  <c r="BF25" s="34"/>
      <c r="BG25" s="34"/>
      <c r="BH25" s="34"/>
      <c r="BI25" s="34"/>
      <c r="BJ25" s="34"/>
      <c r="BK25" s="34"/>
      <c r="BL25" s="34"/>
      <c r="BM25" s="34"/>
      <c r="BN25" s="34"/>
      <c r="BO25" s="34"/>
      <c r="BP25" s="34"/>
      <c r="BQ25" s="34"/>
      <c r="BR25" s="34"/>
      <c r="BS25" s="34"/>
      <c r="BT25" s="34"/>
      <c r="BU25" s="34"/>
      <c r="BV25" s="34"/>
      <c r="BW25" s="34"/>
      <c r="BX25" s="34"/>
      <c r="BY25" s="34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</row>
    <row r="26" spans="1:91" s="1" customFormat="1" ht="15" customHeight="1">
      <c r="A26" s="48"/>
      <c r="B26" s="54"/>
      <c r="C26" s="54"/>
      <c r="D26" s="35"/>
      <c r="E26" s="34"/>
      <c r="F26" s="34"/>
      <c r="G26" s="34"/>
      <c r="H26" s="34"/>
      <c r="I26" s="34"/>
      <c r="J26" s="50"/>
      <c r="K26" s="50"/>
      <c r="L26" s="50"/>
      <c r="M26" s="55"/>
      <c r="N26" s="35"/>
      <c r="O26" s="35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  <c r="BF26" s="34"/>
      <c r="BG26" s="34"/>
      <c r="BH26" s="34"/>
      <c r="BI26" s="34"/>
      <c r="BJ26" s="34"/>
      <c r="BK26" s="34"/>
      <c r="BL26" s="34"/>
      <c r="BM26" s="34"/>
      <c r="BN26" s="34"/>
      <c r="BO26" s="34"/>
      <c r="BP26" s="34"/>
      <c r="BQ26" s="34"/>
      <c r="BR26" s="34"/>
      <c r="BS26" s="34"/>
      <c r="BT26" s="34"/>
      <c r="BU26" s="34"/>
      <c r="BV26" s="34"/>
      <c r="BW26" s="34"/>
      <c r="BX26" s="34"/>
      <c r="BY26" s="34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</row>
    <row r="27" spans="1:91" s="1" customFormat="1" ht="15" customHeight="1">
      <c r="A27" s="48" t="s">
        <v>83</v>
      </c>
      <c r="B27" s="48"/>
      <c r="C27" s="48"/>
      <c r="D27" s="45"/>
      <c r="E27" s="45"/>
      <c r="F27" s="45"/>
      <c r="G27" s="45"/>
      <c r="H27" s="45"/>
      <c r="I27" s="45"/>
      <c r="J27" s="48" t="s">
        <v>47</v>
      </c>
      <c r="K27" s="48"/>
      <c r="L27" s="48"/>
      <c r="M27" s="48"/>
      <c r="N27" s="34" t="s">
        <v>22</v>
      </c>
      <c r="O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  <c r="BF27" s="34"/>
      <c r="BG27" s="34"/>
      <c r="BH27" s="34"/>
      <c r="BI27" s="34"/>
      <c r="BJ27" s="34"/>
      <c r="BK27" s="34"/>
      <c r="BL27" s="34"/>
      <c r="BM27" s="34"/>
      <c r="BN27" s="34"/>
      <c r="BO27" s="34"/>
      <c r="BP27" s="34"/>
      <c r="BQ27" s="34"/>
      <c r="BR27" s="34"/>
      <c r="BS27" s="34"/>
      <c r="BT27" s="34"/>
      <c r="BU27" s="34"/>
      <c r="BV27" s="34"/>
      <c r="BW27" s="34"/>
      <c r="BX27" s="34"/>
      <c r="BY27" s="34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</row>
    <row r="28" spans="1:91" s="1" customFormat="1" ht="15" customHeight="1">
      <c r="A28" s="48"/>
      <c r="B28" s="48"/>
      <c r="C28" s="48"/>
      <c r="D28" s="48"/>
      <c r="E28" s="34"/>
      <c r="F28" s="34"/>
      <c r="G28" s="34"/>
      <c r="H28" s="34"/>
      <c r="I28" s="34"/>
      <c r="J28" s="50"/>
      <c r="K28" s="50"/>
      <c r="L28" s="34"/>
      <c r="M28" s="34"/>
      <c r="N28" s="5"/>
      <c r="O28" s="35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  <c r="BF28" s="34"/>
      <c r="BG28" s="34"/>
      <c r="BH28" s="34"/>
      <c r="BI28" s="34"/>
      <c r="BJ28" s="34"/>
      <c r="BK28" s="34"/>
      <c r="BL28" s="34"/>
      <c r="BM28" s="34"/>
      <c r="BN28" s="34"/>
      <c r="BO28" s="34"/>
      <c r="BP28" s="34"/>
      <c r="BQ28" s="34"/>
      <c r="BR28" s="34"/>
      <c r="BS28" s="34"/>
      <c r="BT28" s="34"/>
      <c r="BU28" s="34"/>
      <c r="BV28" s="34"/>
      <c r="BW28" s="34"/>
      <c r="BX28" s="34"/>
      <c r="BY28" s="34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</row>
    <row r="29" spans="1:91" s="1" customFormat="1" ht="15" customHeight="1">
      <c r="A29" s="48" t="s">
        <v>84</v>
      </c>
      <c r="B29" s="48"/>
      <c r="C29" s="49"/>
      <c r="D29" s="45"/>
      <c r="E29" s="45"/>
      <c r="F29" s="45"/>
      <c r="G29" s="45"/>
      <c r="H29" s="45"/>
      <c r="I29" s="45"/>
      <c r="J29" s="48" t="s">
        <v>8</v>
      </c>
      <c r="K29" s="48"/>
      <c r="L29" s="48"/>
      <c r="M29" s="48"/>
      <c r="N29" s="34" t="s">
        <v>79</v>
      </c>
      <c r="O29" s="34"/>
      <c r="S29" s="34"/>
      <c r="T29" s="34"/>
      <c r="U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  <c r="BF29" s="34"/>
      <c r="BG29" s="34"/>
      <c r="BH29" s="34"/>
      <c r="BI29" s="34"/>
      <c r="BJ29" s="34"/>
      <c r="BK29" s="34"/>
      <c r="BL29" s="34"/>
      <c r="BM29" s="34"/>
      <c r="BN29" s="34"/>
      <c r="BO29" s="34"/>
      <c r="BP29" s="34"/>
      <c r="BQ29" s="34"/>
      <c r="BR29" s="34"/>
      <c r="BS29" s="34"/>
      <c r="BT29" s="34"/>
      <c r="BU29" s="34"/>
      <c r="BV29" s="34"/>
      <c r="BW29" s="34"/>
      <c r="BX29" s="34"/>
      <c r="BY29" s="34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</row>
    <row r="30" spans="1:91" s="1" customFormat="1" ht="15" customHeight="1">
      <c r="A30" s="48"/>
      <c r="B30" s="48"/>
      <c r="C30" s="48"/>
      <c r="D30" s="34"/>
      <c r="E30" s="34"/>
      <c r="F30" s="34"/>
      <c r="G30" s="34"/>
      <c r="H30" s="34"/>
      <c r="I30" s="34"/>
      <c r="J30" s="48" t="s">
        <v>2</v>
      </c>
      <c r="K30" s="48"/>
      <c r="L30" s="48"/>
      <c r="M30" s="48"/>
      <c r="N30" s="35" t="s">
        <v>23</v>
      </c>
      <c r="O30" s="35" t="s">
        <v>7</v>
      </c>
      <c r="S30" s="34"/>
      <c r="T30" s="34"/>
      <c r="U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  <c r="BF30" s="34"/>
      <c r="BG30" s="34"/>
      <c r="BH30" s="34"/>
      <c r="BI30" s="34"/>
      <c r="BJ30" s="34"/>
      <c r="BK30" s="34"/>
      <c r="BL30" s="34"/>
      <c r="BM30" s="34"/>
      <c r="BN30" s="34"/>
      <c r="BO30" s="34"/>
      <c r="BP30" s="34"/>
      <c r="BQ30" s="34"/>
      <c r="BR30" s="34"/>
      <c r="BS30" s="34"/>
      <c r="BT30" s="34"/>
      <c r="BU30" s="34"/>
      <c r="BV30" s="34"/>
      <c r="BW30" s="34"/>
      <c r="BX30" s="34"/>
      <c r="BY30" s="34"/>
      <c r="BZ30" s="34"/>
      <c r="CA30" s="34"/>
      <c r="CB30" s="34"/>
      <c r="CC30" s="34"/>
      <c r="CD30" s="34"/>
      <c r="CE30" s="34"/>
      <c r="CF30" s="34"/>
      <c r="CG30" s="34"/>
      <c r="CH30" s="34"/>
      <c r="CI30" s="34"/>
      <c r="CJ30" s="34"/>
      <c r="CK30" s="34"/>
      <c r="CL30" s="34"/>
      <c r="CM30" s="34"/>
    </row>
    <row r="31" spans="1:91" s="1" customFormat="1" ht="15" customHeight="1">
      <c r="A31" s="48" t="s">
        <v>21</v>
      </c>
      <c r="B31" s="48"/>
      <c r="C31" s="48"/>
      <c r="D31" s="45"/>
      <c r="E31" s="45" t="s">
        <v>90</v>
      </c>
      <c r="F31" s="45"/>
      <c r="G31" s="45"/>
      <c r="H31" s="45"/>
      <c r="I31" s="45"/>
      <c r="J31" s="48" t="s">
        <v>3</v>
      </c>
      <c r="K31" s="48"/>
      <c r="L31" s="48"/>
      <c r="M31" s="48"/>
      <c r="N31" s="35" t="s">
        <v>24</v>
      </c>
      <c r="O31" s="35" t="s">
        <v>18</v>
      </c>
      <c r="S31" s="34"/>
      <c r="T31" s="34"/>
      <c r="U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34"/>
      <c r="BI31" s="34"/>
      <c r="BJ31" s="34"/>
      <c r="BK31" s="34"/>
      <c r="BL31" s="34"/>
      <c r="BM31" s="34"/>
      <c r="BN31" s="34"/>
      <c r="BO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  <c r="CD31" s="34"/>
      <c r="CE31" s="34"/>
      <c r="CF31" s="34"/>
      <c r="CG31" s="34"/>
      <c r="CH31" s="34"/>
      <c r="CI31" s="34"/>
      <c r="CJ31" s="34"/>
      <c r="CK31" s="34"/>
      <c r="CL31" s="34"/>
      <c r="CM31" s="34"/>
    </row>
    <row r="32" spans="1:91" s="1" customFormat="1" ht="15" customHeight="1">
      <c r="B32" s="48"/>
      <c r="C32" s="48"/>
      <c r="D32" s="35"/>
      <c r="E32" s="56"/>
      <c r="F32" s="56"/>
      <c r="G32" s="56"/>
      <c r="H32" s="56"/>
      <c r="I32" s="34"/>
      <c r="J32" s="50"/>
      <c r="K32" s="50"/>
      <c r="L32" s="34"/>
      <c r="M32" s="34"/>
      <c r="N32" s="35"/>
      <c r="O32" s="35"/>
      <c r="S32" s="34"/>
      <c r="T32" s="34"/>
      <c r="U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  <c r="BK32" s="34"/>
      <c r="BL32" s="34"/>
      <c r="BM32" s="34"/>
      <c r="BN32" s="34"/>
      <c r="BO32" s="34"/>
      <c r="BP32" s="34"/>
      <c r="BQ32" s="34"/>
      <c r="BR32" s="34"/>
      <c r="BS32" s="34"/>
      <c r="BT32" s="34"/>
      <c r="BU32" s="34"/>
      <c r="BV32" s="34"/>
      <c r="BW32" s="34"/>
      <c r="BX32" s="34"/>
      <c r="BY32" s="34"/>
      <c r="BZ32" s="34"/>
      <c r="CA32" s="34"/>
      <c r="CB32" s="34"/>
      <c r="CC32" s="34"/>
      <c r="CD32" s="34"/>
      <c r="CE32" s="34"/>
      <c r="CF32" s="34"/>
      <c r="CG32" s="34"/>
      <c r="CH32" s="34"/>
      <c r="CI32" s="34"/>
      <c r="CJ32" s="34"/>
      <c r="CK32" s="34"/>
      <c r="CL32" s="34"/>
      <c r="CM32" s="34"/>
    </row>
    <row r="33" spans="1:91" s="1" customFormat="1" ht="15" customHeight="1">
      <c r="A33" s="48" t="s">
        <v>89</v>
      </c>
      <c r="B33" s="48"/>
      <c r="C33" s="49"/>
      <c r="D33" s="45"/>
      <c r="E33" s="34" t="s">
        <v>90</v>
      </c>
      <c r="J33" s="48" t="s">
        <v>48</v>
      </c>
      <c r="K33" s="48"/>
      <c r="L33" s="48"/>
      <c r="M33" s="48"/>
      <c r="N33" s="275"/>
      <c r="O33" s="275"/>
      <c r="S33" s="34"/>
      <c r="T33" s="34"/>
      <c r="U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  <c r="BK33" s="34"/>
      <c r="BL33" s="34"/>
      <c r="BM33" s="34"/>
      <c r="BN33" s="34"/>
      <c r="BO33" s="34"/>
      <c r="BP33" s="34"/>
      <c r="BQ33" s="34"/>
      <c r="BR33" s="34"/>
      <c r="BS33" s="34"/>
      <c r="BT33" s="34"/>
      <c r="BU33" s="34"/>
      <c r="BV33" s="34"/>
      <c r="BW33" s="34"/>
      <c r="BX33" s="34"/>
      <c r="BY33" s="34"/>
      <c r="BZ33" s="34"/>
      <c r="CA33" s="34"/>
      <c r="CB33" s="34"/>
      <c r="CC33" s="34"/>
      <c r="CD33" s="34"/>
      <c r="CE33" s="34"/>
      <c r="CF33" s="34"/>
      <c r="CG33" s="34"/>
      <c r="CH33" s="34"/>
      <c r="CI33" s="34"/>
      <c r="CJ33" s="34"/>
      <c r="CK33" s="34"/>
      <c r="CL33" s="34"/>
      <c r="CM33" s="34"/>
    </row>
    <row r="34" spans="1:91" s="1" customFormat="1" ht="15" customHeight="1">
      <c r="A34" s="48"/>
      <c r="B34" s="48"/>
      <c r="C34" s="48"/>
      <c r="D34" s="35"/>
      <c r="I34" s="6"/>
      <c r="J34" s="48" t="s">
        <v>25</v>
      </c>
      <c r="K34" s="48"/>
      <c r="L34" s="48"/>
      <c r="M34" s="48"/>
      <c r="N34" s="275"/>
      <c r="O34" s="275"/>
      <c r="Q34" s="57"/>
      <c r="S34" s="34"/>
      <c r="T34" s="34"/>
      <c r="U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  <c r="BF34" s="34"/>
      <c r="BG34" s="34"/>
      <c r="BH34" s="34"/>
      <c r="BI34" s="34"/>
      <c r="BJ34" s="34"/>
      <c r="BK34" s="34"/>
      <c r="BL34" s="34"/>
      <c r="BM34" s="34"/>
      <c r="BN34" s="34"/>
      <c r="BO34" s="34"/>
      <c r="BP34" s="34"/>
      <c r="BQ34" s="34"/>
      <c r="BR34" s="34"/>
      <c r="BS34" s="34"/>
      <c r="BT34" s="34"/>
      <c r="BU34" s="34"/>
      <c r="BV34" s="34"/>
      <c r="BW34" s="34"/>
      <c r="BX34" s="34"/>
      <c r="BY34" s="34"/>
      <c r="BZ34" s="34"/>
      <c r="CA34" s="34"/>
      <c r="CB34" s="34"/>
      <c r="CC34" s="34"/>
      <c r="CD34" s="34"/>
      <c r="CE34" s="34"/>
      <c r="CF34" s="34"/>
      <c r="CG34" s="34"/>
      <c r="CH34" s="34"/>
      <c r="CI34" s="34"/>
      <c r="CJ34" s="34"/>
      <c r="CK34" s="34"/>
      <c r="CL34" s="34"/>
      <c r="CM34" s="34"/>
    </row>
    <row r="35" spans="1:91" s="1" customFormat="1" ht="15" customHeight="1">
      <c r="A35" s="48"/>
      <c r="B35" s="48"/>
      <c r="C35" s="48"/>
      <c r="D35" s="46"/>
      <c r="E35" s="34"/>
      <c r="F35" s="34"/>
      <c r="G35" s="34"/>
      <c r="H35" s="34"/>
      <c r="L35" s="50"/>
      <c r="M35" s="50"/>
      <c r="N35" s="50"/>
      <c r="O35" s="50"/>
      <c r="P35" s="50"/>
      <c r="Q35" s="47"/>
      <c r="R35" s="47"/>
      <c r="S35" s="34"/>
      <c r="T35" s="34"/>
      <c r="U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  <c r="BF35" s="34"/>
      <c r="BG35" s="34"/>
      <c r="BH35" s="34"/>
      <c r="BI35" s="34"/>
      <c r="BJ35" s="34"/>
      <c r="BK35" s="34"/>
      <c r="BL35" s="34"/>
      <c r="BM35" s="34"/>
      <c r="BN35" s="34"/>
      <c r="BO35" s="34"/>
      <c r="BP35" s="34"/>
      <c r="BQ35" s="34"/>
      <c r="BR35" s="34"/>
      <c r="BS35" s="34"/>
      <c r="BT35" s="34"/>
      <c r="BU35" s="34"/>
      <c r="BV35" s="34"/>
      <c r="BW35" s="34"/>
      <c r="BX35" s="34"/>
      <c r="BY35" s="34"/>
      <c r="BZ35" s="34"/>
      <c r="CA35" s="34"/>
      <c r="CB35" s="34"/>
      <c r="CC35" s="34"/>
      <c r="CD35" s="34"/>
      <c r="CE35" s="34"/>
      <c r="CF35" s="34"/>
      <c r="CG35" s="34"/>
      <c r="CH35" s="34"/>
      <c r="CI35" s="34"/>
      <c r="CJ35" s="34"/>
      <c r="CK35" s="34"/>
      <c r="CL35" s="34"/>
      <c r="CM35" s="34"/>
    </row>
    <row r="36" spans="1:91" s="1" customFormat="1" ht="15" customHeight="1">
      <c r="I36" s="6"/>
      <c r="J36" s="6"/>
      <c r="L36" s="50"/>
      <c r="M36" s="50"/>
      <c r="N36" s="50"/>
      <c r="O36" s="50"/>
      <c r="P36" s="50"/>
      <c r="Q36" s="47"/>
      <c r="R36" s="47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  <c r="BK36" s="34"/>
      <c r="BL36" s="34"/>
      <c r="BM36" s="34"/>
      <c r="BN36" s="34"/>
      <c r="BO36" s="34"/>
      <c r="BP36" s="34"/>
      <c r="BQ36" s="34"/>
      <c r="BR36" s="34"/>
      <c r="BS36" s="34"/>
      <c r="BT36" s="34"/>
      <c r="BU36" s="34"/>
      <c r="BV36" s="34"/>
      <c r="BW36" s="34"/>
      <c r="BX36" s="34"/>
      <c r="BY36" s="34"/>
      <c r="BZ36" s="34"/>
      <c r="CA36" s="34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</row>
    <row r="37" spans="1:91" s="1" customFormat="1" ht="15" customHeight="1">
      <c r="A37" s="34" t="s">
        <v>62</v>
      </c>
      <c r="H37" s="272"/>
      <c r="I37" s="272"/>
      <c r="J37" s="272"/>
      <c r="K37" s="272"/>
      <c r="L37" s="272"/>
      <c r="Q37" s="5"/>
      <c r="R37" s="5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</row>
    <row r="38" spans="1:91" s="1" customFormat="1" ht="15" customHeight="1">
      <c r="A38" s="35"/>
      <c r="B38" s="5"/>
      <c r="C38" s="5"/>
      <c r="D38" s="6"/>
      <c r="E38" s="5"/>
      <c r="F38" s="6"/>
      <c r="H38" s="5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</row>
    <row r="39" spans="1:91" s="1" customFormat="1" ht="15" customHeight="1">
      <c r="A39" s="260" t="s">
        <v>16</v>
      </c>
      <c r="B39" s="260"/>
      <c r="C39" s="260"/>
      <c r="D39" s="46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34"/>
      <c r="T39" s="34">
        <v>4</v>
      </c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</row>
    <row r="40" spans="1:91" s="1" customFormat="1" ht="13.5" customHeight="1">
      <c r="A40" s="35"/>
      <c r="B40" s="35"/>
      <c r="C40" s="35"/>
      <c r="D40" s="37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</row>
    <row r="41" spans="1:91" s="1" customFormat="1" ht="13.5" customHeight="1">
      <c r="A41" s="35"/>
      <c r="B41" s="35"/>
      <c r="C41" s="35"/>
      <c r="D41" s="37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</row>
    <row r="42" spans="1:91" s="1" customFormat="1" ht="13.5" customHeight="1">
      <c r="A42" s="55"/>
      <c r="B42" s="55"/>
      <c r="C42" s="55"/>
      <c r="D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</row>
    <row r="43" spans="1:91" s="1" customFormat="1" ht="13.5" customHeight="1">
      <c r="A43" s="55"/>
      <c r="B43" s="55"/>
      <c r="C43" s="55"/>
      <c r="D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</row>
    <row r="44" spans="1:91" s="1" customFormat="1" ht="15" customHeight="1">
      <c r="A44" s="273" t="s">
        <v>72</v>
      </c>
      <c r="B44" s="273"/>
      <c r="C44" s="273"/>
      <c r="D44" s="37" t="s">
        <v>12</v>
      </c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S44" s="34"/>
      <c r="T44" s="33" t="s">
        <v>73</v>
      </c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</row>
    <row r="45" spans="1:91" s="1" customFormat="1" ht="15" customHeight="1">
      <c r="A45" s="58"/>
      <c r="B45" s="58"/>
      <c r="C45" s="58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48"/>
      <c r="S45" s="34"/>
      <c r="T45" s="33" t="s">
        <v>74</v>
      </c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</row>
    <row r="46" spans="1:91" s="1" customFormat="1" ht="15" customHeight="1">
      <c r="A46" s="274" t="s">
        <v>75</v>
      </c>
      <c r="B46" s="274"/>
      <c r="C46" s="274"/>
      <c r="D46" s="276" t="str">
        <f>IF(T39=1,T43,IF(T39=2,T44,IF(T39=3,T45,IF(T39=4,T46,IF(T39=5,T47)))))</f>
        <v>CONFORME au plan de définition</v>
      </c>
      <c r="E46" s="276"/>
      <c r="F46" s="276"/>
      <c r="G46" s="276"/>
      <c r="H46" s="276"/>
      <c r="I46" s="276"/>
      <c r="J46" s="276"/>
      <c r="K46" s="276"/>
      <c r="L46" s="276"/>
      <c r="M46" s="276"/>
      <c r="N46" s="276"/>
      <c r="O46" s="276"/>
      <c r="P46" s="3"/>
      <c r="Q46" s="3"/>
      <c r="R46" s="2"/>
      <c r="S46" s="34"/>
      <c r="T46" s="43" t="s">
        <v>66</v>
      </c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</row>
    <row r="47" spans="1:91" s="1" customFormat="1" ht="15" customHeight="1">
      <c r="R47" s="3"/>
      <c r="S47" s="34"/>
      <c r="T47" s="43" t="s">
        <v>67</v>
      </c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</row>
    <row r="48" spans="1:91" s="1" customFormat="1" ht="15" customHeight="1">
      <c r="A48" s="2"/>
      <c r="B48" s="2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4"/>
      <c r="T48" s="44" t="s">
        <v>65</v>
      </c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</row>
    <row r="49" spans="1:91" s="1" customFormat="1" ht="15" customHeight="1">
      <c r="A49" s="48"/>
      <c r="B49" s="48"/>
      <c r="C49" s="48"/>
      <c r="D49" s="48"/>
      <c r="E49" s="48"/>
      <c r="F49" s="48"/>
      <c r="G49" s="48"/>
      <c r="H49" s="48"/>
      <c r="I49" s="48"/>
      <c r="J49" s="48"/>
      <c r="P49" s="2"/>
      <c r="Q49" s="2"/>
      <c r="R49" s="2"/>
      <c r="S49" s="34"/>
      <c r="T49" s="4"/>
      <c r="U49" s="4"/>
      <c r="V49" s="4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</row>
    <row r="50" spans="1:91" s="1" customFormat="1" ht="15" customHeight="1">
      <c r="A50" s="259" t="s">
        <v>56</v>
      </c>
      <c r="B50" s="259"/>
      <c r="C50" s="259"/>
      <c r="D50" s="37" t="s">
        <v>88</v>
      </c>
      <c r="E50" s="50" t="s">
        <v>55</v>
      </c>
      <c r="G50" s="50"/>
      <c r="H50" s="50"/>
      <c r="I50" s="50"/>
      <c r="J50" s="34" t="s">
        <v>57</v>
      </c>
      <c r="K50" s="34"/>
      <c r="L50" s="34"/>
      <c r="M50" s="34"/>
      <c r="N50" s="260" t="str">
        <f>IF(U52=2,T52,IF(U52=3,T53))</f>
        <v>J. LANOUX</v>
      </c>
      <c r="O50" s="260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</row>
    <row r="51" spans="1:91" s="1" customFormat="1" ht="15" customHeight="1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34"/>
      <c r="N51" s="34"/>
      <c r="O51" s="34"/>
      <c r="Q51" s="34"/>
      <c r="R51" s="34"/>
      <c r="S51" s="34"/>
      <c r="U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</row>
    <row r="52" spans="1:91" s="1" customFormat="1" ht="15" customHeight="1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34"/>
      <c r="N52" s="34"/>
      <c r="O52" s="34"/>
      <c r="P52" s="34"/>
      <c r="Q52" s="34"/>
      <c r="R52" s="34"/>
      <c r="S52" s="34"/>
      <c r="T52" s="34" t="s">
        <v>58</v>
      </c>
      <c r="U52" s="34">
        <v>2</v>
      </c>
      <c r="V52" s="38" t="s">
        <v>68</v>
      </c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</row>
    <row r="53" spans="1:91" s="1" customFormat="1" ht="15" customHeight="1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34"/>
      <c r="Q53" s="34"/>
      <c r="R53" s="34"/>
      <c r="S53" s="34"/>
      <c r="T53" s="34" t="s">
        <v>61</v>
      </c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</row>
    <row r="54" spans="1:91" s="1" customFormat="1" ht="15" customHeight="1">
      <c r="A54" s="269" t="s">
        <v>15</v>
      </c>
      <c r="B54" s="269"/>
      <c r="C54" s="269"/>
      <c r="D54" s="269"/>
      <c r="E54" s="269"/>
      <c r="F54" s="269"/>
      <c r="G54" s="269"/>
      <c r="H54" s="269"/>
      <c r="I54" s="269"/>
      <c r="J54" s="269"/>
      <c r="K54" s="269"/>
      <c r="L54" s="269"/>
      <c r="M54" s="269"/>
      <c r="N54" s="269"/>
      <c r="O54" s="269"/>
      <c r="P54" s="59"/>
      <c r="Q54" s="59"/>
      <c r="R54" s="59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</row>
    <row r="55" spans="1:91" s="1" customFormat="1" ht="15" customHeight="1">
      <c r="A55" s="269"/>
      <c r="B55" s="269"/>
      <c r="C55" s="269"/>
      <c r="D55" s="269"/>
      <c r="E55" s="269"/>
      <c r="F55" s="269"/>
      <c r="G55" s="269"/>
      <c r="H55" s="269"/>
      <c r="I55" s="269"/>
      <c r="J55" s="269"/>
      <c r="K55" s="269"/>
      <c r="L55" s="269"/>
      <c r="M55" s="269"/>
      <c r="N55" s="269"/>
      <c r="O55" s="269"/>
      <c r="P55" s="59"/>
      <c r="Q55" s="59"/>
      <c r="R55" s="59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</row>
    <row r="56" spans="1:91" s="1" customFormat="1" ht="15" customHeight="1">
      <c r="A56" s="269"/>
      <c r="B56" s="269"/>
      <c r="C56" s="269"/>
      <c r="D56" s="269"/>
      <c r="E56" s="269"/>
      <c r="F56" s="269"/>
      <c r="G56" s="269"/>
      <c r="H56" s="269"/>
      <c r="I56" s="269"/>
      <c r="J56" s="269"/>
      <c r="K56" s="269"/>
      <c r="L56" s="269"/>
      <c r="M56" s="269"/>
      <c r="N56" s="269"/>
      <c r="O56" s="269"/>
      <c r="P56" s="78"/>
      <c r="Q56" s="59"/>
      <c r="R56" s="59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</row>
    <row r="57" spans="1:91" s="1" customFormat="1" ht="15" customHeight="1">
      <c r="A57" s="60"/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78"/>
      <c r="Q57" s="59"/>
      <c r="R57" s="59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</row>
    <row r="58" spans="1:91" s="1" customFormat="1" ht="15" customHeight="1">
      <c r="A58" s="267" t="s">
        <v>27</v>
      </c>
      <c r="B58" s="267"/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78"/>
      <c r="Q58" s="7"/>
      <c r="R58" s="7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</row>
    <row r="59" spans="1:91" s="1" customFormat="1" ht="22.9" customHeight="1">
      <c r="A59" s="270" t="str">
        <f>A13</f>
        <v xml:space="preserve">N° </v>
      </c>
      <c r="B59" s="270"/>
      <c r="C59" s="270"/>
      <c r="D59" s="270"/>
      <c r="E59" s="270"/>
      <c r="F59" s="270"/>
      <c r="G59" s="270"/>
      <c r="H59" s="270"/>
      <c r="I59" s="270"/>
      <c r="J59" s="270"/>
      <c r="K59" s="270"/>
      <c r="L59" s="270"/>
      <c r="M59" s="270"/>
      <c r="N59" s="270"/>
      <c r="O59" s="270"/>
      <c r="P59" s="60"/>
      <c r="Q59" s="7"/>
      <c r="R59" s="7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</row>
    <row r="60" spans="1:91" s="1" customFormat="1" ht="18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14"/>
      <c r="Q60" s="14"/>
      <c r="R60" s="1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</row>
    <row r="61" spans="1:91" s="1" customFormat="1" ht="15" customHeight="1">
      <c r="A61" s="34"/>
      <c r="B61" s="34"/>
      <c r="C61" s="34"/>
      <c r="D61" s="34"/>
      <c r="E61" s="34"/>
      <c r="F61" s="34"/>
      <c r="G61" s="34"/>
      <c r="H61" s="34"/>
      <c r="I61" s="34"/>
      <c r="J61" s="34"/>
      <c r="P61" s="13"/>
      <c r="Q61" s="13"/>
      <c r="R61" s="13"/>
      <c r="S61" s="34"/>
      <c r="T61" s="34"/>
      <c r="U61" s="34"/>
      <c r="V61" s="34"/>
      <c r="W61" s="34"/>
      <c r="X61" s="34"/>
      <c r="Y61" s="34"/>
      <c r="Z61" s="34"/>
      <c r="AA61" s="34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</row>
    <row r="62" spans="1:91" s="1" customFormat="1" ht="15" customHeight="1">
      <c r="A62" s="261" t="s">
        <v>9</v>
      </c>
      <c r="B62" s="261"/>
      <c r="C62" s="261"/>
      <c r="D62" s="261"/>
      <c r="E62" s="262">
        <f>N33</f>
        <v>0</v>
      </c>
      <c r="F62" s="262"/>
      <c r="G62" s="83"/>
      <c r="H62" s="83"/>
      <c r="I62" s="84"/>
      <c r="J62" s="84"/>
      <c r="K62" s="261" t="s">
        <v>17</v>
      </c>
      <c r="L62" s="261"/>
      <c r="M62" s="261"/>
      <c r="N62" s="263" t="str">
        <f>IF(U63=2,T63,IF(U63=3,T64,IF(U63=4,T65)))</f>
        <v>T. BODY</v>
      </c>
      <c r="O62" s="263"/>
      <c r="P62" s="8"/>
      <c r="Q62" s="8"/>
      <c r="R62" s="8"/>
      <c r="S62" s="34"/>
      <c r="T62" s="34"/>
      <c r="U62" s="34"/>
      <c r="V62" s="34"/>
      <c r="W62" s="34"/>
      <c r="X62" s="34"/>
      <c r="Y62" s="34"/>
      <c r="Z62" s="34"/>
      <c r="AA62" s="34"/>
      <c r="AB62" s="26"/>
      <c r="AC62" s="15"/>
      <c r="AD62" s="15"/>
      <c r="AE62" s="20"/>
      <c r="AF62" s="20"/>
      <c r="AG62" s="20"/>
      <c r="AH62" s="20"/>
      <c r="AI62" s="15"/>
      <c r="AJ62" s="21"/>
      <c r="AK62" s="15"/>
      <c r="AL62" s="22"/>
      <c r="AM62" s="23"/>
      <c r="AN62" s="23"/>
      <c r="AO62" s="23"/>
      <c r="AP62" s="23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</row>
    <row r="63" spans="1:91" s="1" customFormat="1" ht="15" customHeight="1">
      <c r="A63" s="79"/>
      <c r="B63" s="79"/>
      <c r="C63" s="79"/>
      <c r="D63" s="79"/>
      <c r="E63" s="86"/>
      <c r="F63" s="87"/>
      <c r="G63" s="83"/>
      <c r="H63" s="83"/>
      <c r="I63" s="84"/>
      <c r="J63" s="84"/>
      <c r="K63" s="88"/>
      <c r="L63" s="89"/>
      <c r="M63" s="89"/>
      <c r="N63" s="89"/>
      <c r="O63" s="88"/>
      <c r="Q63" s="34"/>
      <c r="R63" s="34"/>
      <c r="S63" s="34"/>
      <c r="T63" s="34" t="s">
        <v>59</v>
      </c>
      <c r="U63" s="34">
        <v>3</v>
      </c>
      <c r="V63" s="34"/>
      <c r="W63" s="34"/>
      <c r="X63" s="34"/>
      <c r="Y63" s="34"/>
      <c r="Z63" s="34"/>
      <c r="AA63" s="34"/>
      <c r="AB63" s="22"/>
      <c r="AC63" s="24"/>
      <c r="AD63" s="15"/>
      <c r="AE63" s="20"/>
      <c r="AF63" s="20"/>
      <c r="AG63" s="20"/>
      <c r="AH63" s="20"/>
      <c r="AI63" s="15"/>
      <c r="AJ63" s="21"/>
      <c r="AK63" s="15"/>
      <c r="AL63" s="22"/>
      <c r="AM63" s="23"/>
      <c r="AN63" s="23"/>
      <c r="AO63" s="23"/>
      <c r="AP63" s="23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</row>
    <row r="64" spans="1:91" s="1" customFormat="1" ht="15" customHeight="1">
      <c r="A64" s="79"/>
      <c r="B64" s="79"/>
      <c r="C64" s="79"/>
      <c r="D64" s="79"/>
      <c r="E64" s="83"/>
      <c r="F64" s="83"/>
      <c r="G64" s="83"/>
      <c r="H64" s="83"/>
      <c r="I64" s="84"/>
      <c r="J64" s="84"/>
      <c r="K64" s="89"/>
      <c r="L64" s="89"/>
      <c r="M64" s="89"/>
      <c r="N64" s="88"/>
      <c r="O64" s="88"/>
      <c r="Q64" s="34"/>
      <c r="R64" s="34"/>
      <c r="S64" s="34"/>
      <c r="T64" s="34" t="s">
        <v>60</v>
      </c>
      <c r="U64" s="34"/>
      <c r="V64" s="34"/>
      <c r="W64" s="34"/>
      <c r="X64" s="34"/>
      <c r="Y64" s="34"/>
      <c r="Z64" s="34"/>
      <c r="AA64" s="34"/>
      <c r="AB64" s="25"/>
      <c r="AC64" s="15"/>
      <c r="AD64" s="15"/>
      <c r="AE64" s="20"/>
      <c r="AF64" s="20"/>
      <c r="AG64" s="20"/>
      <c r="AH64" s="20"/>
      <c r="AI64" s="15"/>
      <c r="AJ64" s="21"/>
      <c r="AK64" s="15"/>
      <c r="AL64" s="22"/>
      <c r="AM64" s="23"/>
      <c r="AN64" s="23"/>
      <c r="AO64" s="23"/>
      <c r="AP64" s="23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</row>
    <row r="65" spans="1:91" s="1" customFormat="1" ht="15" customHeight="1">
      <c r="A65" s="79" t="s">
        <v>13</v>
      </c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34"/>
      <c r="Q65" s="34"/>
      <c r="R65" s="34"/>
      <c r="S65" s="34"/>
      <c r="T65" s="34" t="s">
        <v>58</v>
      </c>
      <c r="U65" s="34"/>
      <c r="V65" s="34"/>
      <c r="W65" s="34"/>
      <c r="X65" s="34"/>
      <c r="Y65" s="34"/>
      <c r="Z65" s="34"/>
      <c r="AA65" s="34"/>
      <c r="AB65" s="22"/>
      <c r="AC65" s="15"/>
      <c r="AD65" s="15"/>
      <c r="AE65" s="20"/>
      <c r="AF65" s="20"/>
      <c r="AG65" s="20"/>
      <c r="AH65" s="20"/>
      <c r="AI65" s="15"/>
      <c r="AJ65" s="21"/>
      <c r="AK65" s="15"/>
      <c r="AL65" s="22"/>
      <c r="AM65" s="23"/>
      <c r="AN65" s="23"/>
      <c r="AO65" s="23"/>
      <c r="AP65" s="23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</row>
    <row r="66" spans="1:91" s="1" customFormat="1" ht="15" customHeight="1">
      <c r="A66" s="9" t="s">
        <v>28</v>
      </c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27"/>
      <c r="AC66" s="15"/>
      <c r="AD66" s="15"/>
      <c r="AE66" s="20"/>
      <c r="AF66" s="20"/>
      <c r="AG66" s="20"/>
      <c r="AH66" s="20"/>
      <c r="AI66" s="15"/>
      <c r="AJ66" s="21"/>
      <c r="AK66" s="15"/>
      <c r="AL66" s="22"/>
      <c r="AM66" s="23"/>
      <c r="AN66" s="23"/>
      <c r="AO66" s="23"/>
      <c r="AP66" s="23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</row>
    <row r="67" spans="1:91" s="1" customFormat="1" ht="15" customHeight="1">
      <c r="A67" s="9" t="s">
        <v>29</v>
      </c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2"/>
      <c r="Q67" s="3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27"/>
      <c r="AC67" s="15"/>
      <c r="AD67" s="15"/>
      <c r="AE67" s="20"/>
      <c r="AF67" s="20"/>
      <c r="AG67" s="20"/>
      <c r="AH67" s="20"/>
      <c r="AI67" s="15"/>
      <c r="AJ67" s="21"/>
      <c r="AK67" s="15"/>
      <c r="AL67" s="22"/>
      <c r="AM67" s="23"/>
      <c r="AN67" s="23"/>
      <c r="AO67" s="23"/>
      <c r="AP67" s="23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</row>
    <row r="68" spans="1:91" s="1" customFormat="1" ht="15" customHeight="1">
      <c r="A68" s="9" t="s">
        <v>30</v>
      </c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34"/>
      <c r="T68" s="34"/>
      <c r="U68" s="34"/>
      <c r="V68" s="34"/>
      <c r="W68" s="34"/>
      <c r="X68" s="34"/>
      <c r="Y68" s="34"/>
      <c r="Z68" s="34"/>
      <c r="AA68" s="18"/>
      <c r="AB68" s="73"/>
      <c r="AC68" s="74"/>
      <c r="AD68" s="15"/>
      <c r="AE68" s="20"/>
      <c r="AF68" s="20"/>
      <c r="AG68" s="20"/>
      <c r="AH68" s="20"/>
      <c r="AI68" s="18"/>
      <c r="AJ68" s="21"/>
      <c r="AK68" s="15"/>
      <c r="AL68" s="22"/>
      <c r="AM68" s="23"/>
      <c r="AN68" s="23"/>
      <c r="AO68" s="23"/>
      <c r="AP68" s="23"/>
      <c r="AQ68" s="34"/>
      <c r="AR68" s="18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</row>
    <row r="69" spans="1:91" s="1" customFormat="1" ht="15" customHeight="1">
      <c r="A69" s="88"/>
      <c r="B69" s="88"/>
      <c r="C69" s="88"/>
      <c r="D69" s="88"/>
      <c r="E69" s="88"/>
      <c r="F69" s="88"/>
      <c r="G69" s="88"/>
      <c r="H69" s="88"/>
      <c r="I69" s="88"/>
      <c r="J69" s="88"/>
      <c r="K69" s="84"/>
      <c r="L69" s="84"/>
      <c r="M69" s="84"/>
      <c r="N69" s="84"/>
      <c r="O69" s="84"/>
      <c r="P69" s="9"/>
      <c r="Q69" s="9"/>
      <c r="R69" s="9"/>
      <c r="S69" s="34"/>
      <c r="T69" s="34"/>
      <c r="U69" s="34"/>
      <c r="V69" s="34"/>
      <c r="W69" s="34"/>
      <c r="X69" s="34"/>
      <c r="Y69" s="34"/>
      <c r="Z69" s="34"/>
      <c r="AA69" s="34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</row>
    <row r="70" spans="1:91" s="1" customFormat="1" ht="15" customHeight="1">
      <c r="A70" s="264"/>
      <c r="B70" s="264"/>
      <c r="C70" s="264"/>
      <c r="D70" s="88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9"/>
      <c r="Q70" s="9"/>
      <c r="R70" s="9"/>
      <c r="S70" s="34"/>
      <c r="T70" s="34"/>
      <c r="U70" s="34"/>
      <c r="V70" s="34"/>
      <c r="W70" s="34"/>
      <c r="X70" s="34"/>
      <c r="Y70" s="34"/>
      <c r="Z70" s="34"/>
      <c r="AA70" s="34"/>
      <c r="AB70" s="15"/>
      <c r="AI70" s="55"/>
      <c r="AJ70" s="74"/>
      <c r="AK70" s="15"/>
      <c r="AL70" s="20"/>
      <c r="AM70" s="15"/>
      <c r="AN70" s="15"/>
      <c r="AO70" s="15"/>
      <c r="AP70" s="15"/>
      <c r="AQ70" s="34"/>
      <c r="AR70" s="61"/>
      <c r="AS70" s="15"/>
      <c r="AT70" s="15"/>
      <c r="AU70" s="20"/>
      <c r="AV70" s="15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</row>
    <row r="71" spans="1:91" s="1" customFormat="1" ht="15" customHeight="1">
      <c r="A71" s="80" t="s">
        <v>54</v>
      </c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50"/>
      <c r="Q71" s="50"/>
      <c r="R71" s="50"/>
      <c r="S71" s="38" t="s">
        <v>80</v>
      </c>
      <c r="T71" s="29"/>
      <c r="U71" s="34"/>
      <c r="V71" s="34"/>
      <c r="W71" s="34"/>
      <c r="X71" s="34"/>
      <c r="Y71" s="34"/>
      <c r="Z71" s="34"/>
      <c r="AA71" s="34"/>
      <c r="AB71" s="15"/>
      <c r="AI71" s="34"/>
      <c r="AJ71" s="74"/>
      <c r="AK71" s="15"/>
      <c r="AL71" s="20"/>
      <c r="AM71" s="15"/>
      <c r="AN71" s="15"/>
      <c r="AO71" s="15"/>
      <c r="AP71" s="15"/>
      <c r="AQ71" s="34"/>
      <c r="AR71" s="61"/>
      <c r="AS71" s="15"/>
      <c r="AT71" s="15"/>
      <c r="AU71" s="20"/>
      <c r="AV71" s="15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</row>
    <row r="72" spans="1:91" s="1" customFormat="1" ht="15" customHeight="1">
      <c r="A72" s="90" t="s">
        <v>31</v>
      </c>
      <c r="B72" s="84"/>
      <c r="C72" s="84"/>
      <c r="D72" s="88" t="s">
        <v>81</v>
      </c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50"/>
      <c r="Q72" s="50"/>
      <c r="R72" s="50"/>
      <c r="S72" s="34"/>
      <c r="T72" s="34"/>
      <c r="U72" s="34"/>
      <c r="V72" s="34"/>
      <c r="W72" s="34"/>
      <c r="X72" s="34"/>
      <c r="Y72" s="34"/>
      <c r="Z72" s="34"/>
      <c r="AA72" s="34"/>
      <c r="AB72" s="75"/>
      <c r="AI72" s="34"/>
      <c r="AJ72" s="75"/>
      <c r="AK72" s="15"/>
      <c r="AL72" s="20"/>
      <c r="AM72" s="15"/>
      <c r="AN72" s="15"/>
      <c r="AO72" s="15"/>
      <c r="AP72" s="15"/>
      <c r="AQ72" s="34"/>
      <c r="AR72" s="55"/>
      <c r="AS72" s="75"/>
      <c r="AT72" s="15"/>
      <c r="AU72" s="20"/>
      <c r="AV72" s="15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</row>
    <row r="73" spans="1:91" s="1" customFormat="1" ht="15" customHeight="1">
      <c r="A73" s="265" t="s">
        <v>10</v>
      </c>
      <c r="B73" s="264"/>
      <c r="C73" s="264"/>
      <c r="D73" s="88" t="s">
        <v>82</v>
      </c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3"/>
      <c r="Q73" s="3"/>
      <c r="R73" s="3"/>
      <c r="S73" s="34"/>
      <c r="T73" s="18"/>
      <c r="U73" s="34"/>
      <c r="V73" s="34"/>
      <c r="W73" s="34"/>
      <c r="X73" s="34"/>
      <c r="Y73" s="34"/>
      <c r="Z73" s="34"/>
      <c r="AA73" s="34"/>
      <c r="AB73" s="15"/>
      <c r="AI73" s="55"/>
      <c r="AJ73" s="74"/>
      <c r="AK73" s="15"/>
      <c r="AL73" s="20"/>
      <c r="AM73" s="15"/>
      <c r="AN73" s="15"/>
      <c r="AO73" s="15"/>
      <c r="AP73" s="15"/>
      <c r="AQ73" s="34"/>
      <c r="AR73" s="55"/>
      <c r="AS73" s="15"/>
      <c r="AT73" s="15"/>
      <c r="AU73" s="20"/>
      <c r="AV73" s="15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</row>
    <row r="74" spans="1:91" s="1" customFormat="1" ht="15" customHeight="1">
      <c r="A74" s="265" t="s">
        <v>11</v>
      </c>
      <c r="B74" s="264"/>
      <c r="C74" s="264"/>
      <c r="D74" s="266">
        <v>45748</v>
      </c>
      <c r="E74" s="266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50"/>
      <c r="Q74" s="50"/>
      <c r="R74" s="50"/>
      <c r="S74" s="88" t="str">
        <f>'[2]raccordements à jour '!$B$9</f>
        <v>Machine de mesure tridimensionnelle MITUTOYO EURO-C APEX 7106 (MMT01)</v>
      </c>
      <c r="T74" s="88"/>
      <c r="U74" s="88"/>
      <c r="V74" s="88"/>
      <c r="W74" s="34"/>
      <c r="X74" s="35"/>
      <c r="Y74" s="34"/>
      <c r="Z74" s="34"/>
      <c r="AA74" s="34"/>
      <c r="AB74" s="15"/>
      <c r="AI74" s="34"/>
      <c r="AJ74" s="74"/>
      <c r="AK74" s="15"/>
      <c r="AL74" s="20"/>
      <c r="AM74" s="15"/>
      <c r="AN74" s="15"/>
      <c r="AO74" s="15"/>
      <c r="AP74" s="15"/>
      <c r="AQ74" s="34"/>
      <c r="AR74" s="55"/>
      <c r="AS74" s="15"/>
      <c r="AT74" s="15"/>
      <c r="AU74" s="20"/>
      <c r="AV74" s="15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</row>
    <row r="75" spans="1:91" s="1" customFormat="1" ht="15" customHeight="1">
      <c r="A75" s="92"/>
      <c r="B75" s="80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50"/>
      <c r="Q75" s="50"/>
      <c r="R75" s="50"/>
      <c r="S75" s="88" t="str">
        <f>'[2]raccordements à jour '!$B$10</f>
        <v>CE N° 23042101-OMA</v>
      </c>
      <c r="T75" s="88"/>
      <c r="U75" s="88"/>
      <c r="V75" s="88"/>
      <c r="W75" s="35"/>
      <c r="X75" s="35"/>
      <c r="Y75" s="34"/>
      <c r="Z75" s="34"/>
      <c r="AA75" s="34"/>
      <c r="AB75" s="75"/>
      <c r="AC75" s="75"/>
      <c r="AI75" s="34"/>
      <c r="AJ75" s="75"/>
      <c r="AK75" s="15"/>
      <c r="AL75" s="20"/>
      <c r="AM75" s="15"/>
      <c r="AN75" s="15"/>
      <c r="AO75" s="15"/>
      <c r="AP75" s="15"/>
      <c r="AQ75" s="34"/>
      <c r="AR75" s="55"/>
      <c r="AS75" s="75"/>
      <c r="AT75" s="15"/>
      <c r="AU75" s="20"/>
      <c r="AV75" s="15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</row>
    <row r="76" spans="1:91" s="1" customFormat="1" ht="15" customHeight="1">
      <c r="A76" s="126" t="str">
        <f>IF($W$85=1,"","Moyen :")</f>
        <v>Moyen :</v>
      </c>
      <c r="B76" s="80"/>
      <c r="C76" s="80"/>
      <c r="D76" s="85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58"/>
      <c r="Q76" s="58"/>
      <c r="R76" s="58"/>
      <c r="S76" s="91">
        <f>'[2]raccordements à jour '!$B$11</f>
        <v>45748</v>
      </c>
      <c r="T76" s="88"/>
      <c r="U76" s="88"/>
      <c r="V76" s="88"/>
      <c r="W76" s="34"/>
      <c r="X76" s="35"/>
      <c r="Y76" s="34"/>
      <c r="Z76" s="34"/>
      <c r="AA76" s="34"/>
      <c r="AB76" s="15"/>
      <c r="AI76" s="55"/>
      <c r="AJ76" s="75"/>
      <c r="AK76" s="15"/>
      <c r="AL76" s="20"/>
      <c r="AM76" s="15"/>
      <c r="AN76" s="15"/>
      <c r="AO76" s="15"/>
      <c r="AP76" s="15"/>
      <c r="AQ76" s="34"/>
      <c r="AR76" s="61"/>
      <c r="AS76" s="15"/>
      <c r="AT76" s="15"/>
      <c r="AU76" s="20"/>
      <c r="AV76" s="15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</row>
    <row r="77" spans="1:91" s="1" customFormat="1" ht="15" customHeight="1">
      <c r="A77" s="126" t="str">
        <f>IF($W$85=1,"","Raccordement :")</f>
        <v>Raccordement :</v>
      </c>
      <c r="B77" s="94"/>
      <c r="C77" s="94"/>
      <c r="D77" s="85"/>
      <c r="E77" s="88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3"/>
      <c r="Q77" s="3"/>
      <c r="R77" s="3"/>
      <c r="S77" s="88"/>
      <c r="T77" s="88"/>
      <c r="U77" s="88"/>
      <c r="V77" s="88"/>
      <c r="W77" s="34"/>
      <c r="X77" s="34"/>
      <c r="Y77" s="34"/>
      <c r="Z77" s="34"/>
      <c r="AA77" s="34"/>
      <c r="AB77" s="15"/>
      <c r="AI77" s="34"/>
      <c r="AJ77" s="75"/>
      <c r="AK77" s="15"/>
      <c r="AL77" s="20"/>
      <c r="AM77" s="15"/>
      <c r="AN77" s="15"/>
      <c r="AO77" s="15"/>
      <c r="AP77" s="15"/>
      <c r="AQ77" s="34"/>
      <c r="AR77" s="61"/>
      <c r="AS77" s="15"/>
      <c r="AT77" s="15"/>
      <c r="AU77" s="20"/>
      <c r="AV77" s="15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</row>
    <row r="78" spans="1:91" s="1" customFormat="1" ht="15" customHeight="1">
      <c r="A78" s="126" t="str">
        <f>IF($W$85=1,"","Validité:")</f>
        <v>Validité:</v>
      </c>
      <c r="B78" s="94"/>
      <c r="C78" s="94"/>
      <c r="D78" s="266"/>
      <c r="E78" s="266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50"/>
      <c r="Q78" s="50"/>
      <c r="R78" s="50"/>
      <c r="S78" s="85"/>
      <c r="T78" s="99"/>
      <c r="U78" s="85"/>
      <c r="V78" s="100"/>
      <c r="W78" s="35"/>
      <c r="X78" s="55"/>
      <c r="Y78" s="18"/>
      <c r="Z78" s="34"/>
      <c r="AA78" s="34"/>
      <c r="AB78" s="75"/>
      <c r="AC78" s="75"/>
      <c r="AI78" s="34"/>
      <c r="AJ78" s="75"/>
      <c r="AK78" s="15"/>
      <c r="AL78" s="20"/>
      <c r="AM78" s="15"/>
      <c r="AN78" s="15"/>
      <c r="AO78" s="15"/>
      <c r="AP78" s="15"/>
      <c r="AQ78" s="34"/>
      <c r="AR78" s="55"/>
      <c r="AS78" s="75"/>
      <c r="AT78" s="15"/>
      <c r="AU78" s="20"/>
      <c r="AV78" s="15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</row>
    <row r="79" spans="1:91" s="1" customFormat="1" ht="15" customHeight="1">
      <c r="A79" s="126"/>
      <c r="B79" s="94"/>
      <c r="C79" s="94"/>
      <c r="D79" s="91"/>
      <c r="E79" s="91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50"/>
      <c r="Q79" s="50"/>
      <c r="R79" s="50"/>
      <c r="S79" s="85"/>
      <c r="T79" s="85"/>
      <c r="U79" s="85"/>
      <c r="V79" s="100"/>
      <c r="W79" s="35"/>
      <c r="X79" s="55"/>
      <c r="Z79" s="34"/>
      <c r="AA79" s="34"/>
      <c r="AI79" s="55"/>
      <c r="AJ79" s="74"/>
      <c r="AK79" s="15"/>
      <c r="AL79" s="20"/>
      <c r="AM79" s="15"/>
      <c r="AN79" s="15"/>
      <c r="AO79" s="15"/>
      <c r="AP79" s="15"/>
      <c r="AQ79" s="34"/>
      <c r="AR79" s="61"/>
      <c r="AS79" s="15"/>
      <c r="AT79" s="15"/>
      <c r="AU79" s="20"/>
      <c r="AV79" s="15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</row>
    <row r="80" spans="1:91" s="1" customFormat="1" ht="15" customHeight="1">
      <c r="A80" s="126" t="str">
        <f>IF($W$85=1,"","Moyen :")</f>
        <v>Moyen :</v>
      </c>
      <c r="B80" s="80"/>
      <c r="C80" s="80"/>
      <c r="D80" s="85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50"/>
      <c r="Q80" s="50"/>
      <c r="R80" s="50"/>
      <c r="S80" s="85"/>
      <c r="T80" s="85"/>
      <c r="U80" s="85"/>
      <c r="V80" s="100"/>
      <c r="W80" s="35"/>
      <c r="X80" s="55"/>
      <c r="Z80" s="34"/>
      <c r="AA80" s="34"/>
      <c r="AI80" s="55"/>
      <c r="AJ80" s="74"/>
      <c r="AK80" s="15"/>
      <c r="AL80" s="20"/>
      <c r="AM80" s="15"/>
      <c r="AN80" s="15"/>
      <c r="AO80" s="15"/>
      <c r="AP80" s="15"/>
      <c r="AQ80" s="34"/>
      <c r="AR80" s="61"/>
      <c r="AS80" s="15"/>
      <c r="AT80" s="15"/>
      <c r="AU80" s="20"/>
      <c r="AV80" s="15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</row>
    <row r="81" spans="1:91" s="1" customFormat="1" ht="15" customHeight="1">
      <c r="A81" s="126" t="str">
        <f>IF($W$85=1,"","Raccordement :")</f>
        <v>Raccordement :</v>
      </c>
      <c r="B81" s="94"/>
      <c r="C81" s="94"/>
      <c r="D81" s="85"/>
      <c r="E81" s="88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3"/>
      <c r="Q81" s="3"/>
      <c r="R81" s="3"/>
      <c r="S81" s="88"/>
      <c r="T81" s="88"/>
      <c r="U81" s="88"/>
      <c r="V81" s="88"/>
      <c r="W81" s="34"/>
      <c r="X81" s="34"/>
      <c r="Y81" s="34"/>
      <c r="Z81" s="34"/>
      <c r="AA81" s="34"/>
      <c r="AB81" s="15"/>
      <c r="AI81" s="34"/>
      <c r="AJ81" s="75"/>
      <c r="AK81" s="15"/>
      <c r="AL81" s="20"/>
      <c r="AM81" s="15"/>
      <c r="AN81" s="15"/>
      <c r="AO81" s="15"/>
      <c r="AP81" s="15"/>
      <c r="AQ81" s="34"/>
      <c r="AR81" s="61"/>
      <c r="AS81" s="15"/>
      <c r="AT81" s="15"/>
      <c r="AU81" s="20"/>
      <c r="AV81" s="15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</row>
    <row r="82" spans="1:91" s="1" customFormat="1" ht="15" customHeight="1">
      <c r="A82" s="126" t="str">
        <f>IF($W$85=1,"","Validité:")</f>
        <v>Validité:</v>
      </c>
      <c r="B82" s="94"/>
      <c r="C82" s="94"/>
      <c r="D82" s="266"/>
      <c r="E82" s="266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50"/>
      <c r="Q82" s="50"/>
      <c r="R82" s="50"/>
      <c r="S82" s="85"/>
      <c r="T82" s="99"/>
      <c r="U82" s="85"/>
      <c r="V82" s="100"/>
      <c r="W82" s="35"/>
      <c r="X82" s="55"/>
      <c r="Y82" s="18"/>
      <c r="Z82" s="34"/>
      <c r="AA82" s="34"/>
      <c r="AB82" s="75"/>
      <c r="AC82" s="75"/>
      <c r="AI82" s="34"/>
      <c r="AJ82" s="75"/>
      <c r="AK82" s="15"/>
      <c r="AL82" s="20"/>
      <c r="AM82" s="15"/>
      <c r="AN82" s="15"/>
      <c r="AO82" s="15"/>
      <c r="AP82" s="15"/>
      <c r="AQ82" s="34"/>
      <c r="AR82" s="55"/>
      <c r="AS82" s="75"/>
      <c r="AT82" s="15"/>
      <c r="AU82" s="20"/>
      <c r="AV82" s="15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</row>
    <row r="83" spans="1:91" s="1" customFormat="1" ht="15" customHeight="1">
      <c r="A83" s="127"/>
      <c r="B83" s="84"/>
      <c r="C83" s="84"/>
      <c r="D83" s="88" t="str">
        <f>IF($A$77="Moyen :",$AI$134,IF($A$77="Etalon :",$AR$134,""))</f>
        <v/>
      </c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50"/>
      <c r="Q83" s="50"/>
      <c r="R83" s="50"/>
      <c r="S83" s="85"/>
      <c r="T83" s="85"/>
      <c r="U83" s="85"/>
      <c r="V83" s="100"/>
      <c r="W83" s="35"/>
      <c r="X83" s="55"/>
      <c r="Z83" s="34"/>
      <c r="AA83" s="34"/>
      <c r="AI83" s="55"/>
      <c r="AJ83" s="74"/>
      <c r="AK83" s="15"/>
      <c r="AL83" s="20"/>
      <c r="AM83" s="15"/>
      <c r="AN83" s="15"/>
      <c r="AO83" s="15"/>
      <c r="AP83" s="15"/>
      <c r="AQ83" s="34"/>
      <c r="AR83" s="61"/>
      <c r="AS83" s="15"/>
      <c r="AT83" s="15"/>
      <c r="AU83" s="20"/>
      <c r="AV83" s="15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</row>
    <row r="84" spans="1:91" s="1" customFormat="1" ht="15" customHeight="1">
      <c r="A84" s="93"/>
      <c r="B84" s="93"/>
      <c r="C84" s="93"/>
      <c r="D84" s="88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58"/>
      <c r="Q84" s="58"/>
      <c r="R84" s="58"/>
      <c r="S84" s="91"/>
      <c r="T84" s="85"/>
      <c r="U84" s="85"/>
      <c r="V84" s="91"/>
      <c r="W84" s="35"/>
      <c r="X84" s="55"/>
      <c r="Y84" s="34"/>
      <c r="Z84" s="34"/>
      <c r="AA84" s="34"/>
      <c r="AI84" s="34"/>
      <c r="AJ84" s="74"/>
      <c r="AK84" s="15"/>
      <c r="AL84" s="20"/>
      <c r="AM84" s="15"/>
      <c r="AN84" s="15"/>
      <c r="AO84" s="15"/>
      <c r="AP84" s="15"/>
      <c r="AQ84" s="34"/>
      <c r="AR84" s="61"/>
      <c r="AS84" s="15"/>
      <c r="AT84" s="15"/>
      <c r="AU84" s="20"/>
      <c r="AV84" s="15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</row>
    <row r="85" spans="1:91" s="1" customFormat="1" ht="15" customHeight="1">
      <c r="A85" s="81" t="s">
        <v>76</v>
      </c>
      <c r="B85" s="88"/>
      <c r="C85" s="88"/>
      <c r="D85" s="88"/>
      <c r="E85" s="88"/>
      <c r="F85" s="88"/>
      <c r="G85" s="88"/>
      <c r="H85" s="88"/>
      <c r="I85" s="88"/>
      <c r="J85" s="263" t="s">
        <v>71</v>
      </c>
      <c r="K85" s="263"/>
      <c r="L85" s="263"/>
      <c r="M85" s="263"/>
      <c r="N85" s="88"/>
      <c r="O85" s="88"/>
      <c r="P85" s="58"/>
      <c r="Q85" s="58"/>
      <c r="R85" s="58"/>
      <c r="S85" s="85"/>
      <c r="T85" s="85"/>
      <c r="U85" s="85"/>
      <c r="V85" s="100"/>
      <c r="W85" s="35"/>
      <c r="X85" s="55"/>
      <c r="Y85" s="34"/>
      <c r="Z85" s="61"/>
      <c r="AA85" s="34"/>
      <c r="AI85" s="34"/>
      <c r="AJ85" s="75"/>
      <c r="AK85" s="15"/>
      <c r="AL85" s="20"/>
      <c r="AM85" s="15"/>
      <c r="AN85" s="15"/>
      <c r="AO85" s="15"/>
      <c r="AP85" s="15"/>
      <c r="AQ85" s="34"/>
      <c r="AR85" s="55"/>
      <c r="AS85" s="75"/>
      <c r="AT85" s="15"/>
      <c r="AU85" s="20"/>
      <c r="AV85" s="15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</row>
    <row r="86" spans="1:91" s="1" customFormat="1" ht="15" customHeight="1">
      <c r="A86" s="81"/>
      <c r="B86" s="88"/>
      <c r="C86" s="88"/>
      <c r="D86" s="88"/>
      <c r="E86" s="88"/>
      <c r="F86" s="88"/>
      <c r="G86" s="88"/>
      <c r="H86" s="88"/>
      <c r="I86" s="88"/>
      <c r="J86" s="95"/>
      <c r="K86" s="95"/>
      <c r="L86" s="95"/>
      <c r="M86" s="95"/>
      <c r="N86" s="88"/>
      <c r="O86" s="88"/>
      <c r="P86" s="58"/>
      <c r="Q86" s="58"/>
      <c r="R86" s="58"/>
      <c r="S86" s="85"/>
      <c r="T86" s="85"/>
      <c r="U86" s="85"/>
      <c r="V86" s="100"/>
      <c r="W86" s="35"/>
      <c r="X86" s="55"/>
      <c r="Y86" s="34"/>
      <c r="Z86" s="55"/>
      <c r="AA86" s="34"/>
      <c r="AI86" s="55"/>
      <c r="AJ86" s="74"/>
      <c r="AK86" s="15"/>
      <c r="AL86" s="20"/>
      <c r="AM86" s="15"/>
      <c r="AN86" s="15"/>
      <c r="AO86" s="15"/>
      <c r="AP86" s="15"/>
      <c r="AQ86" s="34"/>
      <c r="AR86" s="61"/>
      <c r="AS86" s="15"/>
      <c r="AT86" s="15"/>
      <c r="AU86" s="20"/>
      <c r="AV86" s="15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</row>
    <row r="87" spans="1:91" s="1" customFormat="1" ht="15" customHeight="1">
      <c r="A87" s="93"/>
      <c r="B87" s="80"/>
      <c r="C87" s="80"/>
      <c r="D87" s="88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Q87" s="3"/>
      <c r="R87" s="3"/>
      <c r="S87" s="91"/>
      <c r="T87" s="85"/>
      <c r="U87" s="85"/>
      <c r="V87" s="91"/>
      <c r="W87" s="35"/>
      <c r="X87" s="55"/>
      <c r="Y87" s="34"/>
      <c r="Z87" s="61"/>
      <c r="AA87" s="34"/>
      <c r="AI87" s="34"/>
      <c r="AJ87" s="74"/>
      <c r="AK87" s="15"/>
      <c r="AL87" s="20"/>
      <c r="AM87" s="15"/>
      <c r="AN87" s="15"/>
      <c r="AO87" s="15"/>
      <c r="AP87" s="15"/>
      <c r="AQ87" s="34"/>
      <c r="AR87" s="55"/>
      <c r="AS87" s="15"/>
      <c r="AT87" s="15"/>
      <c r="AU87" s="20"/>
      <c r="AV87" s="15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</row>
    <row r="88" spans="1:91" s="1" customFormat="1" ht="15" customHeight="1">
      <c r="A88" s="82" t="s">
        <v>14</v>
      </c>
      <c r="B88" s="82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Q88" s="50"/>
      <c r="R88" s="50"/>
      <c r="S88" s="85"/>
      <c r="T88" s="85"/>
      <c r="U88" s="85"/>
      <c r="V88" s="100"/>
      <c r="W88" s="35"/>
      <c r="X88" s="55"/>
      <c r="Y88" s="34"/>
      <c r="Z88" s="61"/>
      <c r="AA88" s="34"/>
      <c r="AI88" s="34"/>
      <c r="AJ88" s="75"/>
      <c r="AK88" s="15"/>
      <c r="AL88" s="20"/>
      <c r="AM88" s="15"/>
      <c r="AN88" s="15"/>
      <c r="AO88" s="15"/>
      <c r="AP88" s="15"/>
      <c r="AQ88" s="34"/>
      <c r="AR88" s="34"/>
      <c r="AS88" s="75"/>
      <c r="AT88" s="15"/>
      <c r="AU88" s="20"/>
      <c r="AV88" s="15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</row>
    <row r="89" spans="1:91" s="1" customFormat="1" ht="15" customHeight="1">
      <c r="A89" s="69" t="s">
        <v>32</v>
      </c>
      <c r="B89" s="69"/>
      <c r="C89" s="69"/>
      <c r="D89" s="69"/>
      <c r="E89" s="69"/>
      <c r="F89" s="69"/>
      <c r="G89" s="69"/>
      <c r="H89" s="69"/>
      <c r="I89" s="69"/>
      <c r="J89" s="69"/>
      <c r="K89" s="69"/>
      <c r="L89" s="69"/>
      <c r="M89" s="69"/>
      <c r="N89" s="69"/>
      <c r="O89" s="69"/>
      <c r="P89" s="3"/>
      <c r="Q89" s="50"/>
      <c r="R89" s="50"/>
      <c r="S89" s="85"/>
      <c r="T89" s="85"/>
      <c r="U89" s="85"/>
      <c r="V89" s="100"/>
      <c r="W89" s="35"/>
      <c r="X89" s="55"/>
      <c r="Y89" s="34"/>
      <c r="Z89" s="61"/>
      <c r="AA89" s="34"/>
      <c r="AI89" s="55"/>
      <c r="AJ89" s="74"/>
      <c r="AK89" s="15"/>
      <c r="AL89" s="20"/>
      <c r="AM89" s="15"/>
      <c r="AN89" s="15"/>
      <c r="AO89" s="15"/>
      <c r="AP89" s="15"/>
      <c r="AQ89" s="34"/>
      <c r="AR89" s="55"/>
      <c r="AS89" s="15"/>
      <c r="AT89" s="15"/>
      <c r="AU89" s="20"/>
      <c r="AV89" s="15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</row>
    <row r="90" spans="1:91" s="1" customFormat="1" ht="15" customHeight="1">
      <c r="A90" s="69" t="s">
        <v>33</v>
      </c>
      <c r="B90" s="69"/>
      <c r="C90" s="69"/>
      <c r="D90" s="69"/>
      <c r="E90" s="69"/>
      <c r="F90" s="69"/>
      <c r="G90" s="69"/>
      <c r="H90" s="69"/>
      <c r="I90" s="69"/>
      <c r="J90" s="69"/>
      <c r="K90" s="69"/>
      <c r="L90" s="69"/>
      <c r="M90" s="69"/>
      <c r="N90" s="69"/>
      <c r="O90" s="69"/>
      <c r="P90" s="30"/>
      <c r="Q90" s="58"/>
      <c r="R90" s="58"/>
      <c r="S90" s="91"/>
      <c r="T90" s="85"/>
      <c r="U90" s="85"/>
      <c r="V90" s="91"/>
      <c r="W90" s="35"/>
      <c r="X90" s="55"/>
      <c r="Y90" s="34"/>
      <c r="Z90" s="55"/>
      <c r="AA90" s="34"/>
      <c r="AI90" s="34"/>
      <c r="AJ90" s="74"/>
      <c r="AK90" s="15"/>
      <c r="AL90" s="20"/>
      <c r="AM90" s="15"/>
      <c r="AN90" s="15"/>
      <c r="AO90" s="15"/>
      <c r="AP90" s="15"/>
      <c r="AQ90" s="34"/>
      <c r="AR90" s="34"/>
      <c r="AS90" s="15"/>
      <c r="AT90" s="15"/>
      <c r="AU90" s="20"/>
      <c r="AV90" s="15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</row>
    <row r="91" spans="1:91" s="1" customFormat="1" ht="15" customHeight="1">
      <c r="A91" s="69" t="s">
        <v>34</v>
      </c>
      <c r="B91" s="69"/>
      <c r="C91" s="69"/>
      <c r="D91" s="69"/>
      <c r="E91" s="69"/>
      <c r="F91" s="69"/>
      <c r="G91" s="69"/>
      <c r="H91" s="69"/>
      <c r="I91" s="69"/>
      <c r="J91" s="69"/>
      <c r="K91" s="69"/>
      <c r="L91" s="69"/>
      <c r="M91" s="69"/>
      <c r="N91" s="69"/>
      <c r="O91" s="69"/>
      <c r="P91" s="69"/>
      <c r="T91" s="34"/>
      <c r="U91" s="34"/>
      <c r="V91" s="34"/>
      <c r="W91" s="34"/>
      <c r="X91" s="55"/>
      <c r="Y91" s="34"/>
      <c r="Z91" s="55"/>
      <c r="AA91" s="34"/>
      <c r="AI91" s="55"/>
      <c r="AJ91" s="74"/>
      <c r="AK91" s="15"/>
      <c r="AL91" s="20"/>
      <c r="AM91" s="15"/>
      <c r="AN91" s="15"/>
      <c r="AO91" s="15"/>
      <c r="AP91" s="15"/>
      <c r="AQ91" s="34"/>
      <c r="AR91" s="55"/>
      <c r="AS91" s="74"/>
      <c r="AT91" s="15"/>
      <c r="AU91" s="20"/>
      <c r="AV91" s="15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</row>
    <row r="92" spans="1:91" s="1" customFormat="1" ht="15" customHeight="1">
      <c r="A92" s="69" t="s">
        <v>35</v>
      </c>
      <c r="B92" s="69"/>
      <c r="C92" s="69"/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69"/>
      <c r="T92" s="34"/>
      <c r="U92" s="34"/>
      <c r="V92" s="34"/>
      <c r="W92" s="34"/>
      <c r="X92" s="55"/>
      <c r="Y92" s="34"/>
      <c r="Z92" s="55"/>
      <c r="AA92" s="34"/>
      <c r="AI92" s="34"/>
      <c r="AJ92" s="74"/>
      <c r="AK92" s="15"/>
      <c r="AL92" s="20"/>
      <c r="AM92" s="15"/>
      <c r="AN92" s="15"/>
      <c r="AO92" s="15"/>
      <c r="AP92" s="15"/>
      <c r="AQ92" s="34"/>
      <c r="AR92" s="34"/>
      <c r="AS92" s="74"/>
      <c r="AT92" s="15"/>
      <c r="AU92" s="20"/>
      <c r="AV92" s="15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</row>
    <row r="93" spans="1:91" s="1" customFormat="1" ht="15" customHeight="1">
      <c r="A93" s="69" t="s">
        <v>36</v>
      </c>
      <c r="B93" s="6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69"/>
      <c r="Q93" s="3"/>
      <c r="R93" s="3"/>
      <c r="T93" s="34"/>
      <c r="U93" s="34"/>
      <c r="V93" s="34"/>
      <c r="W93" s="35"/>
      <c r="X93" s="55"/>
      <c r="Y93" s="34"/>
      <c r="Z93" s="55"/>
      <c r="AA93" s="34"/>
      <c r="AI93" s="34"/>
      <c r="AJ93" s="75"/>
      <c r="AK93" s="15"/>
      <c r="AL93" s="20"/>
      <c r="AM93" s="15"/>
      <c r="AN93" s="15"/>
      <c r="AO93" s="15"/>
      <c r="AP93" s="15"/>
      <c r="AQ93" s="34"/>
      <c r="AR93" s="34"/>
      <c r="AS93" s="75"/>
      <c r="AT93" s="15"/>
      <c r="AU93" s="20"/>
      <c r="AV93" s="15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</row>
    <row r="94" spans="1:91" s="1" customFormat="1" ht="15" customHeight="1">
      <c r="A94" s="69" t="s">
        <v>43</v>
      </c>
      <c r="B94" s="6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9"/>
      <c r="Q94" s="62"/>
      <c r="R94" s="30"/>
      <c r="T94" s="17" t="s">
        <v>70</v>
      </c>
      <c r="X94" s="55"/>
      <c r="Y94" s="34"/>
      <c r="Z94" s="55"/>
      <c r="AA94" s="34"/>
      <c r="AI94" s="55"/>
      <c r="AJ94" s="74"/>
      <c r="AK94" s="15"/>
      <c r="AL94" s="20"/>
      <c r="AM94" s="15"/>
      <c r="AN94" s="15"/>
      <c r="AO94" s="15"/>
      <c r="AP94" s="15"/>
      <c r="AQ94" s="34"/>
      <c r="AR94" s="55"/>
      <c r="AS94" s="74"/>
      <c r="AT94" s="15"/>
      <c r="AU94" s="20"/>
      <c r="AV94" s="15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</row>
    <row r="95" spans="1:91" s="1" customFormat="1" ht="15" customHeight="1">
      <c r="A95" s="69" t="s">
        <v>44</v>
      </c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9"/>
      <c r="R95" s="10"/>
      <c r="X95" s="55"/>
      <c r="Y95" s="34"/>
      <c r="Z95" s="55"/>
      <c r="AA95" s="34"/>
      <c r="AI95" s="34"/>
      <c r="AJ95" s="74"/>
      <c r="AK95" s="15"/>
      <c r="AL95" s="20"/>
      <c r="AM95" s="15"/>
      <c r="AN95" s="15"/>
      <c r="AO95" s="15"/>
      <c r="AP95" s="15"/>
      <c r="AQ95" s="34"/>
      <c r="AR95" s="34"/>
      <c r="AS95" s="74"/>
      <c r="AT95" s="15"/>
      <c r="AU95" s="20"/>
      <c r="AV95" s="15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</row>
    <row r="96" spans="1:91" s="1" customFormat="1" ht="15" customHeight="1">
      <c r="A96" s="88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69"/>
      <c r="Q96" s="9"/>
      <c r="R96" s="10"/>
      <c r="S96" s="34"/>
      <c r="T96" s="34" t="s">
        <v>51</v>
      </c>
      <c r="W96" s="5">
        <v>5</v>
      </c>
      <c r="X96" s="55"/>
      <c r="Y96" s="34"/>
      <c r="Z96" s="55"/>
      <c r="AA96" s="34"/>
      <c r="AI96" s="34"/>
      <c r="AJ96" s="75"/>
      <c r="AK96" s="15"/>
      <c r="AL96" s="20"/>
      <c r="AM96" s="15"/>
      <c r="AN96" s="15"/>
      <c r="AO96" s="15"/>
      <c r="AP96" s="15"/>
      <c r="AQ96" s="34"/>
      <c r="AR96" s="34"/>
      <c r="AS96" s="75"/>
      <c r="AT96" s="15"/>
      <c r="AU96" s="20"/>
      <c r="AV96" s="15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</row>
    <row r="97" spans="1:91" s="1" customFormat="1" ht="15" customHeight="1">
      <c r="A97" s="88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69"/>
      <c r="Q97" s="9"/>
      <c r="R97" s="10"/>
      <c r="S97" s="35"/>
      <c r="X97" s="55"/>
      <c r="Y97" s="34"/>
      <c r="Z97" s="55"/>
      <c r="AA97" s="34"/>
      <c r="AI97" s="55"/>
      <c r="AJ97" s="74"/>
      <c r="AK97" s="15"/>
      <c r="AL97" s="20"/>
      <c r="AM97" s="15"/>
      <c r="AN97" s="15"/>
      <c r="AO97" s="15"/>
      <c r="AP97" s="15"/>
      <c r="AQ97" s="34"/>
      <c r="AR97" s="55"/>
      <c r="AS97" s="74"/>
      <c r="AT97" s="15"/>
      <c r="AU97" s="20"/>
      <c r="AV97" s="15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</row>
    <row r="98" spans="1:91" s="1" customFormat="1" ht="15" customHeight="1">
      <c r="A98" s="258" t="s">
        <v>37</v>
      </c>
      <c r="B98" s="258"/>
      <c r="C98" s="258"/>
      <c r="D98" s="258"/>
      <c r="E98" s="258"/>
      <c r="F98" s="258"/>
      <c r="G98" s="258"/>
      <c r="H98" s="258"/>
      <c r="I98" s="258"/>
      <c r="J98" s="258"/>
      <c r="K98" s="258"/>
      <c r="L98" s="258"/>
      <c r="M98" s="258"/>
      <c r="N98" s="258"/>
      <c r="O98" s="258"/>
      <c r="Q98" s="9"/>
      <c r="R98" s="10"/>
      <c r="S98" s="35"/>
      <c r="T98" s="19"/>
      <c r="U98" s="36" t="s">
        <v>38</v>
      </c>
      <c r="V98" s="36" t="s">
        <v>39</v>
      </c>
      <c r="W98" s="36" t="s">
        <v>40</v>
      </c>
      <c r="X98" s="55"/>
      <c r="Y98" s="34"/>
      <c r="Z98" s="55"/>
      <c r="AA98" s="34"/>
      <c r="AI98" s="34"/>
      <c r="AJ98" s="74"/>
      <c r="AK98" s="15"/>
      <c r="AL98" s="20"/>
      <c r="AM98" s="15"/>
      <c r="AN98" s="15"/>
      <c r="AO98" s="15"/>
      <c r="AP98" s="15"/>
      <c r="AQ98" s="34"/>
      <c r="AR98" s="34"/>
      <c r="AS98" s="74"/>
      <c r="AT98" s="15"/>
      <c r="AU98" s="20"/>
      <c r="AV98" s="15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</row>
    <row r="99" spans="1:91" s="1" customFormat="1" ht="15" customHeight="1">
      <c r="A99" s="88"/>
      <c r="B99" s="88"/>
      <c r="C99" s="252" t="s">
        <v>38</v>
      </c>
      <c r="D99" s="252"/>
      <c r="E99" s="88"/>
      <c r="F99" s="88"/>
      <c r="G99" s="11"/>
      <c r="H99" s="252" t="s">
        <v>39</v>
      </c>
      <c r="I99" s="252"/>
      <c r="J99" s="98"/>
      <c r="K99" s="98"/>
      <c r="L99" s="88"/>
      <c r="M99" s="252" t="s">
        <v>40</v>
      </c>
      <c r="N99" s="252"/>
      <c r="Q99" s="9"/>
      <c r="R99" s="10"/>
      <c r="S99" s="35"/>
      <c r="T99" s="36" t="s">
        <v>52</v>
      </c>
      <c r="U99" s="66">
        <v>3.8999999999999998E-3</v>
      </c>
      <c r="V99" s="66">
        <v>7.6699999999999997E-3</v>
      </c>
      <c r="W99" s="66">
        <v>9.6200000000000001E-3</v>
      </c>
      <c r="X99" s="55"/>
      <c r="Y99" s="34"/>
      <c r="Z99" s="55"/>
      <c r="AA99" s="34"/>
      <c r="AI99" s="34"/>
      <c r="AJ99" s="75"/>
      <c r="AK99" s="15"/>
      <c r="AL99" s="20"/>
      <c r="AM99" s="15"/>
      <c r="AN99" s="15"/>
      <c r="AO99" s="15"/>
      <c r="AP99" s="15"/>
      <c r="AQ99" s="34"/>
      <c r="AR99" s="34"/>
      <c r="AS99" s="75"/>
      <c r="AT99" s="15"/>
      <c r="AU99" s="20"/>
      <c r="AV99" s="15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</row>
    <row r="100" spans="1:91" s="1" customFormat="1" ht="15" customHeight="1">
      <c r="A100" s="88"/>
      <c r="B100" s="88"/>
      <c r="C100" s="254">
        <f>IF($W$96=2, $U$99, IF($W$96=3, $U$100, IF($W$96=4, $U$101, IF($W$96=5, $U$102, "-"))))</f>
        <v>1.094E-2</v>
      </c>
      <c r="D100" s="254"/>
      <c r="E100" s="88"/>
      <c r="F100" s="88"/>
      <c r="G100" s="96"/>
      <c r="H100" s="254">
        <f>IF($W$96=2, $V$99, IF($W$96=3, $V$100, IF($W$96=4, $V$101, IF($W$96=5, $V$102, "-"))))</f>
        <v>2.1819999999999999E-2</v>
      </c>
      <c r="I100" s="254"/>
      <c r="J100" s="97"/>
      <c r="K100" s="97"/>
      <c r="L100" s="88"/>
      <c r="M100" s="254">
        <f>IF($W$96=2, $W$99, IF($W$96=3, $W$100, IF($W$96=4, $W$101, IF($W$96=5, $W$102, "-"))))</f>
        <v>2.7289999999999998E-2</v>
      </c>
      <c r="N100" s="254"/>
      <c r="P100" s="72"/>
      <c r="Q100" s="9"/>
      <c r="R100" s="10"/>
      <c r="S100" s="35"/>
      <c r="T100" s="36" t="s">
        <v>49</v>
      </c>
      <c r="U100" s="66">
        <v>2.8600000000000001E-3</v>
      </c>
      <c r="V100" s="66">
        <v>5.5300000000000002E-3</v>
      </c>
      <c r="W100" s="66">
        <v>6.96E-3</v>
      </c>
      <c r="X100" s="61"/>
      <c r="Y100" s="34"/>
      <c r="Z100" s="34"/>
      <c r="AA100" s="34"/>
      <c r="AI100" s="55"/>
      <c r="AJ100" s="74"/>
      <c r="AK100" s="15"/>
      <c r="AL100" s="20"/>
      <c r="AM100" s="15"/>
      <c r="AN100" s="15"/>
      <c r="AO100" s="15"/>
      <c r="AP100" s="15"/>
      <c r="AQ100" s="34"/>
      <c r="AR100" s="55"/>
      <c r="AS100" s="74"/>
      <c r="AT100" s="15"/>
      <c r="AU100" s="20"/>
      <c r="AV100" s="15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</row>
    <row r="101" spans="1:91" s="1" customFormat="1" ht="15" customHeight="1">
      <c r="A101" s="256" t="s">
        <v>41</v>
      </c>
      <c r="B101" s="256"/>
      <c r="C101" s="256"/>
      <c r="D101" s="256"/>
      <c r="E101" s="256"/>
      <c r="F101" s="256"/>
      <c r="G101" s="256"/>
      <c r="H101" s="256"/>
      <c r="I101" s="256"/>
      <c r="J101" s="256"/>
      <c r="K101" s="256"/>
      <c r="L101" s="256"/>
      <c r="M101" s="256"/>
      <c r="N101" s="256"/>
      <c r="O101" s="256"/>
      <c r="P101" s="11"/>
      <c r="Q101" s="9"/>
      <c r="R101" s="10"/>
      <c r="S101" s="35"/>
      <c r="T101" s="36" t="s">
        <v>50</v>
      </c>
      <c r="U101" s="66">
        <v>2.7899999999999999E-3</v>
      </c>
      <c r="V101" s="66">
        <v>5.3899999999999998E-3</v>
      </c>
      <c r="W101" s="66">
        <v>6.7799999999999996E-3</v>
      </c>
      <c r="X101" s="55"/>
      <c r="Y101" s="34"/>
      <c r="Z101" s="34"/>
      <c r="AA101" s="34"/>
      <c r="AI101" s="34"/>
      <c r="AJ101" s="74"/>
      <c r="AK101" s="15"/>
      <c r="AL101" s="20"/>
      <c r="AM101" s="15"/>
      <c r="AN101" s="15"/>
      <c r="AO101" s="15"/>
      <c r="AP101" s="15"/>
      <c r="AQ101" s="34"/>
      <c r="AR101" s="34"/>
      <c r="AS101" s="74"/>
      <c r="AT101" s="15"/>
      <c r="AU101" s="20"/>
      <c r="AV101" s="15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</row>
    <row r="102" spans="1:91" s="1" customFormat="1" ht="15" customHeight="1">
      <c r="A102" s="257" t="s">
        <v>42</v>
      </c>
      <c r="B102" s="257"/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12"/>
      <c r="S102" s="35"/>
      <c r="T102" s="36" t="s">
        <v>53</v>
      </c>
      <c r="U102" s="66">
        <v>1.094E-2</v>
      </c>
      <c r="V102" s="66">
        <v>2.1819999999999999E-2</v>
      </c>
      <c r="W102" s="66">
        <v>2.7289999999999998E-2</v>
      </c>
      <c r="X102" s="61"/>
      <c r="Y102" s="34"/>
      <c r="AA102" s="34"/>
      <c r="AI102" s="34"/>
      <c r="AJ102" s="75"/>
      <c r="AK102" s="15"/>
      <c r="AL102" s="20"/>
      <c r="AM102" s="15"/>
      <c r="AN102" s="15"/>
      <c r="AO102" s="15"/>
      <c r="AP102" s="15"/>
      <c r="AQ102" s="34"/>
      <c r="AR102" s="34"/>
      <c r="AS102" s="75"/>
      <c r="AT102" s="15"/>
      <c r="AU102" s="20"/>
      <c r="AV102" s="15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</row>
    <row r="103" spans="1:91" s="1" customFormat="1" ht="15" customHeight="1">
      <c r="A103" s="88"/>
      <c r="B103" s="88"/>
      <c r="C103" s="252"/>
      <c r="D103" s="252"/>
      <c r="E103" s="88"/>
      <c r="F103" s="88"/>
      <c r="G103" s="11"/>
      <c r="H103" s="252"/>
      <c r="I103" s="252"/>
      <c r="J103" s="255"/>
      <c r="K103" s="255"/>
      <c r="L103" s="88"/>
      <c r="M103" s="88"/>
      <c r="N103" s="252"/>
      <c r="O103" s="252"/>
      <c r="P103" s="70"/>
      <c r="S103" s="35"/>
      <c r="T103" s="34"/>
      <c r="U103" s="34"/>
      <c r="V103" s="34"/>
      <c r="W103" s="34"/>
      <c r="X103" s="61"/>
      <c r="Y103" s="34"/>
      <c r="AA103" s="34"/>
      <c r="AI103" s="55"/>
      <c r="AJ103" s="74"/>
      <c r="AK103" s="15"/>
      <c r="AL103" s="20"/>
      <c r="AM103" s="15"/>
      <c r="AN103" s="15"/>
      <c r="AO103" s="15"/>
      <c r="AP103" s="15"/>
      <c r="AQ103" s="34"/>
      <c r="AR103" s="55"/>
      <c r="AS103" s="74"/>
      <c r="AT103" s="15"/>
      <c r="AU103" s="20"/>
      <c r="AV103" s="15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</row>
    <row r="104" spans="1:91" s="1" customFormat="1" ht="15" customHeight="1">
      <c r="A104" s="41"/>
      <c r="B104" s="41"/>
      <c r="C104" s="41"/>
      <c r="D104" s="41"/>
      <c r="E104" s="41"/>
      <c r="G104" s="41"/>
      <c r="H104" s="41"/>
      <c r="I104" s="41"/>
      <c r="J104" s="41"/>
      <c r="K104" s="41"/>
      <c r="L104" s="41"/>
      <c r="M104" s="41"/>
      <c r="N104" s="41"/>
      <c r="O104" s="41"/>
      <c r="P104" s="71"/>
      <c r="Q104" s="63"/>
      <c r="R104" s="63"/>
      <c r="S104" s="35"/>
      <c r="T104" s="34"/>
      <c r="U104" s="34"/>
      <c r="V104" s="34"/>
      <c r="W104" s="34"/>
      <c r="X104" s="61"/>
      <c r="Y104" s="34"/>
      <c r="AA104" s="34"/>
      <c r="AI104" s="34"/>
      <c r="AJ104" s="74"/>
      <c r="AK104" s="15"/>
      <c r="AL104" s="20"/>
      <c r="AM104" s="15"/>
      <c r="AN104" s="15"/>
      <c r="AO104" s="15"/>
      <c r="AP104" s="15"/>
      <c r="AQ104" s="34"/>
      <c r="AR104" s="34"/>
      <c r="AS104" s="74"/>
      <c r="AT104" s="15"/>
      <c r="AU104" s="20"/>
      <c r="AV104" s="15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</row>
    <row r="105" spans="1:91" s="1" customFormat="1" ht="15" customHeight="1">
      <c r="A105" s="39"/>
      <c r="B105" s="39"/>
      <c r="C105" s="40"/>
      <c r="D105" s="40"/>
      <c r="E105" s="40"/>
      <c r="G105" s="40"/>
      <c r="H105" s="40"/>
      <c r="I105" s="42"/>
      <c r="J105" s="39"/>
      <c r="K105" s="39"/>
      <c r="L105" s="42"/>
      <c r="M105" s="42"/>
      <c r="N105" s="40"/>
      <c r="O105" s="42"/>
      <c r="P105" s="11"/>
      <c r="Q105" s="253"/>
      <c r="R105" s="253"/>
      <c r="S105" s="35"/>
      <c r="T105" s="34"/>
      <c r="U105" s="34"/>
      <c r="V105" s="34"/>
      <c r="W105" s="34"/>
      <c r="X105" s="55"/>
      <c r="Y105" s="34"/>
      <c r="AA105" s="34"/>
      <c r="AI105" s="34"/>
      <c r="AJ105" s="75"/>
      <c r="AK105" s="15"/>
      <c r="AL105" s="20"/>
      <c r="AM105" s="15"/>
      <c r="AN105" s="15"/>
      <c r="AO105" s="15"/>
      <c r="AP105" s="15"/>
      <c r="AQ105" s="34"/>
      <c r="AR105" s="34"/>
      <c r="AS105" s="75"/>
      <c r="AT105" s="15"/>
      <c r="AU105" s="20"/>
      <c r="AV105" s="15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</row>
    <row r="106" spans="1:91" s="1" customFormat="1" ht="15" customHeight="1">
      <c r="A106" s="64"/>
      <c r="B106" s="64"/>
      <c r="C106" s="64"/>
      <c r="D106" s="64"/>
      <c r="E106" s="64"/>
      <c r="F106" s="64"/>
      <c r="G106" s="64"/>
      <c r="H106" s="64"/>
      <c r="I106" s="64"/>
      <c r="J106" s="64"/>
      <c r="K106" s="64"/>
      <c r="L106" s="64"/>
      <c r="M106" s="64"/>
      <c r="N106" s="64"/>
      <c r="O106" s="64"/>
      <c r="P106" s="41"/>
      <c r="Q106" s="254"/>
      <c r="R106" s="254"/>
      <c r="S106" s="35"/>
      <c r="T106" s="34"/>
      <c r="U106" s="34"/>
      <c r="V106" s="34"/>
      <c r="W106" s="34"/>
      <c r="X106" s="55"/>
      <c r="Y106" s="34"/>
      <c r="AA106" s="34"/>
      <c r="AI106" s="55"/>
      <c r="AJ106" s="74"/>
      <c r="AK106" s="15"/>
      <c r="AL106" s="20"/>
      <c r="AM106" s="15"/>
      <c r="AN106" s="15"/>
      <c r="AO106" s="15"/>
      <c r="AP106" s="15"/>
      <c r="AQ106" s="34"/>
      <c r="AR106" s="55"/>
      <c r="AS106" s="74"/>
      <c r="AT106" s="15"/>
      <c r="AU106" s="20"/>
      <c r="AV106" s="15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</row>
    <row r="107" spans="1:91" s="1" customFormat="1" ht="15" customHeight="1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42"/>
      <c r="Q107" s="64"/>
      <c r="R107" s="64"/>
      <c r="S107" s="35"/>
      <c r="T107" s="34"/>
      <c r="U107" s="34"/>
      <c r="V107" s="34"/>
      <c r="W107" s="34"/>
      <c r="X107" s="55"/>
      <c r="Y107" s="34"/>
      <c r="AA107" s="34"/>
      <c r="AI107" s="34"/>
      <c r="AJ107" s="74"/>
      <c r="AK107" s="15"/>
      <c r="AL107" s="20"/>
      <c r="AM107" s="15"/>
      <c r="AN107" s="15"/>
      <c r="AO107" s="15"/>
      <c r="AP107" s="15"/>
      <c r="AQ107" s="34"/>
      <c r="AR107" s="34"/>
      <c r="AS107" s="74"/>
      <c r="AT107" s="15"/>
      <c r="AU107" s="20"/>
      <c r="AV107" s="15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</row>
    <row r="108" spans="1:91" s="1" customFormat="1" ht="15" customHeight="1">
      <c r="A108" s="35"/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64"/>
      <c r="Q108" s="65"/>
      <c r="R108" s="65"/>
      <c r="S108" s="35"/>
      <c r="T108" s="34"/>
      <c r="U108" s="34"/>
      <c r="V108" s="34"/>
      <c r="W108" s="34"/>
      <c r="X108" s="55"/>
      <c r="Y108" s="34"/>
      <c r="AA108" s="34"/>
      <c r="AI108" s="34"/>
      <c r="AJ108" s="75"/>
      <c r="AK108" s="15"/>
      <c r="AL108" s="20"/>
      <c r="AM108" s="15"/>
      <c r="AN108" s="15"/>
      <c r="AO108" s="15"/>
      <c r="AP108" s="15"/>
      <c r="AQ108" s="34"/>
      <c r="AR108" s="34"/>
      <c r="AS108" s="75"/>
      <c r="AT108" s="15"/>
      <c r="AU108" s="20"/>
      <c r="AV108" s="15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</row>
    <row r="109" spans="1:91" s="1" customFormat="1" ht="15" customHeight="1">
      <c r="A109" s="35"/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65"/>
      <c r="Q109" s="253"/>
      <c r="R109" s="253"/>
      <c r="S109" s="35"/>
      <c r="T109" s="34"/>
      <c r="U109" s="34"/>
      <c r="V109" s="34"/>
      <c r="W109" s="34"/>
      <c r="X109" s="55"/>
      <c r="Y109" s="34"/>
      <c r="AA109" s="34"/>
      <c r="AI109" s="55"/>
      <c r="AJ109" s="74"/>
      <c r="AK109" s="15"/>
      <c r="AL109" s="20"/>
      <c r="AM109" s="15"/>
      <c r="AN109" s="15"/>
      <c r="AO109" s="15"/>
      <c r="AP109" s="15"/>
      <c r="AQ109" s="34"/>
      <c r="AR109" s="55"/>
      <c r="AS109" s="74"/>
      <c r="AT109" s="15"/>
      <c r="AU109" s="20"/>
      <c r="AV109" s="15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</row>
    <row r="110" spans="1:91" s="1" customFormat="1" ht="15" customHeight="1">
      <c r="A110" s="35"/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41"/>
      <c r="R110" s="41"/>
      <c r="S110" s="35"/>
      <c r="T110" s="34"/>
      <c r="U110" s="34"/>
      <c r="V110" s="34"/>
      <c r="W110" s="34"/>
      <c r="X110" s="55"/>
      <c r="Y110" s="34"/>
      <c r="AA110" s="34"/>
      <c r="AI110" s="34"/>
      <c r="AJ110" s="74"/>
      <c r="AK110" s="15"/>
      <c r="AL110" s="20"/>
      <c r="AM110" s="15"/>
      <c r="AN110" s="15"/>
      <c r="AO110" s="15"/>
      <c r="AP110" s="15"/>
      <c r="AQ110" s="34"/>
      <c r="AR110" s="34"/>
      <c r="AS110" s="74"/>
      <c r="AT110" s="15"/>
      <c r="AU110" s="20"/>
      <c r="AV110" s="15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</row>
    <row r="111" spans="1:91" s="1" customFormat="1" ht="15" customHeight="1">
      <c r="A111" s="35"/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9"/>
      <c r="R111" s="39"/>
      <c r="S111" s="35"/>
      <c r="T111" s="34"/>
      <c r="U111" s="34"/>
      <c r="V111" s="34"/>
      <c r="W111" s="34"/>
      <c r="X111" s="55"/>
      <c r="Y111" s="34"/>
      <c r="AA111" s="34"/>
      <c r="AI111" s="34"/>
      <c r="AJ111" s="75"/>
      <c r="AK111" s="15"/>
      <c r="AL111" s="20"/>
      <c r="AM111" s="15"/>
      <c r="AN111" s="15"/>
      <c r="AO111" s="15"/>
      <c r="AP111" s="15"/>
      <c r="AQ111" s="34"/>
      <c r="AR111" s="34"/>
      <c r="AS111" s="75"/>
      <c r="AT111" s="15"/>
      <c r="AU111" s="20"/>
      <c r="AV111" s="15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</row>
    <row r="112" spans="1:91" s="1" customFormat="1" ht="15" customHeight="1">
      <c r="A112" s="35"/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64"/>
      <c r="R112" s="64"/>
      <c r="S112" s="35"/>
      <c r="X112" s="55"/>
      <c r="Y112"/>
      <c r="AA112" s="34"/>
      <c r="AI112" s="55"/>
      <c r="AJ112" s="74"/>
      <c r="AK112" s="15"/>
      <c r="AL112" s="20"/>
      <c r="AM112" s="15"/>
      <c r="AN112" s="15"/>
      <c r="AO112" s="15"/>
      <c r="AP112" s="15"/>
      <c r="AQ112" s="34"/>
      <c r="AR112" s="55"/>
      <c r="AS112" s="74"/>
      <c r="AT112" s="15"/>
      <c r="AU112" s="20"/>
      <c r="AV112" s="15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</row>
    <row r="113" spans="1:91" s="1" customFormat="1" ht="15" customHeight="1">
      <c r="A113" s="35"/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65"/>
      <c r="R113" s="65"/>
      <c r="S113" s="35"/>
      <c r="X113" s="55"/>
      <c r="AA113" s="34"/>
      <c r="AI113" s="34"/>
      <c r="AJ113" s="74"/>
      <c r="AK113" s="15"/>
      <c r="AL113" s="20"/>
      <c r="AM113" s="15"/>
      <c r="AN113" s="15"/>
      <c r="AO113" s="15"/>
      <c r="AP113" s="15"/>
      <c r="AQ113" s="34"/>
      <c r="AR113" s="34"/>
      <c r="AS113" s="74"/>
      <c r="AT113" s="15"/>
      <c r="AU113" s="20"/>
      <c r="AV113" s="15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</row>
    <row r="114" spans="1:91" s="1" customFormat="1" ht="15" customHeight="1">
      <c r="A114" s="35"/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X114" s="55"/>
      <c r="AA114" s="34"/>
      <c r="AI114" s="34"/>
      <c r="AJ114" s="75"/>
      <c r="AK114" s="15"/>
      <c r="AL114" s="20"/>
      <c r="AM114" s="15"/>
      <c r="AN114" s="15"/>
      <c r="AO114" s="15"/>
      <c r="AP114" s="15"/>
      <c r="AR114" s="34"/>
      <c r="AS114" s="75"/>
      <c r="AT114" s="15"/>
      <c r="AU114" s="20"/>
      <c r="AV114" s="15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</row>
    <row r="115" spans="1:91" s="1" customFormat="1" ht="15" customHeight="1">
      <c r="A115" s="35"/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X115" s="55"/>
      <c r="AA115" s="34"/>
      <c r="AI115" s="55"/>
      <c r="AJ115" s="74"/>
      <c r="AK115" s="15"/>
      <c r="AL115" s="20"/>
      <c r="AM115" s="15"/>
      <c r="AN115" s="15"/>
      <c r="AO115" s="15"/>
      <c r="AP115" s="15"/>
      <c r="AR115" s="55"/>
      <c r="AS115" s="74"/>
      <c r="AT115" s="15"/>
      <c r="AU115" s="20"/>
      <c r="AV115" s="15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</row>
    <row r="116" spans="1:91" s="1" customFormat="1" ht="15" customHeight="1">
      <c r="A116" s="35"/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X116" s="34"/>
      <c r="Y116" s="16"/>
      <c r="AA116" s="34"/>
      <c r="AI116" s="34"/>
      <c r="AJ116" s="74"/>
      <c r="AK116" s="15"/>
      <c r="AL116" s="20"/>
      <c r="AM116" s="15"/>
      <c r="AN116" s="15"/>
      <c r="AO116" s="15"/>
      <c r="AP116" s="15"/>
      <c r="AR116" s="34"/>
      <c r="AS116" s="74"/>
      <c r="AT116" s="15"/>
      <c r="AU116" s="20"/>
      <c r="AV116" s="15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</row>
    <row r="117" spans="1:91" s="1" customFormat="1" ht="15" customHeight="1">
      <c r="A117" s="35"/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X117" s="34"/>
      <c r="Y117" s="16"/>
      <c r="AI117" s="34"/>
      <c r="AJ117" s="75"/>
      <c r="AK117" s="15"/>
      <c r="AL117" s="20"/>
      <c r="AM117" s="15"/>
      <c r="AN117" s="15"/>
      <c r="AO117" s="15"/>
      <c r="AP117" s="15"/>
      <c r="AR117" s="34"/>
      <c r="AS117" s="75"/>
      <c r="AT117" s="15"/>
      <c r="AU117" s="20"/>
      <c r="AV117" s="15"/>
    </row>
    <row r="118" spans="1:91" s="1" customFormat="1" ht="15" customHeight="1">
      <c r="A118" s="35"/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X118" s="55"/>
      <c r="Y118" s="16"/>
      <c r="AI118" s="55"/>
      <c r="AJ118" s="74"/>
      <c r="AK118" s="15"/>
      <c r="AL118" s="20"/>
      <c r="AM118" s="15"/>
      <c r="AN118" s="15"/>
      <c r="AO118" s="15"/>
      <c r="AP118" s="15"/>
    </row>
    <row r="119" spans="1:91" s="1" customFormat="1" ht="15" customHeight="1">
      <c r="A119" s="35"/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X119" s="55"/>
      <c r="Y119" s="16"/>
      <c r="AI119" s="34"/>
      <c r="AJ119" s="74"/>
      <c r="AK119" s="15"/>
      <c r="AL119" s="20"/>
      <c r="AM119" s="15"/>
      <c r="AN119" s="15"/>
      <c r="AO119" s="15"/>
      <c r="AP119" s="15"/>
    </row>
    <row r="120" spans="1:91" s="1" customFormat="1" ht="15" customHeight="1">
      <c r="A120" s="35"/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X120" s="55"/>
      <c r="AI120" s="34"/>
      <c r="AJ120" s="75"/>
      <c r="AK120" s="15"/>
      <c r="AL120" s="20"/>
      <c r="AM120" s="15"/>
      <c r="AN120" s="15"/>
      <c r="AO120" s="15"/>
      <c r="AP120" s="15"/>
    </row>
    <row r="121" spans="1:91" s="1" customFormat="1" ht="15" customHeight="1">
      <c r="A121" s="35"/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X121" s="55"/>
      <c r="AI121" s="55"/>
      <c r="AJ121" s="74"/>
      <c r="AK121" s="15"/>
      <c r="AL121" s="20"/>
      <c r="AM121" s="15"/>
      <c r="AN121" s="15"/>
      <c r="AO121" s="15"/>
      <c r="AP121" s="15"/>
    </row>
    <row r="122" spans="1:91" s="1" customFormat="1" ht="15" customHeight="1">
      <c r="A122" s="35"/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X122" s="34"/>
      <c r="AI122" s="34"/>
      <c r="AJ122" s="74"/>
      <c r="AK122" s="15"/>
      <c r="AL122" s="20"/>
      <c r="AM122" s="15"/>
      <c r="AN122" s="15"/>
      <c r="AO122" s="15"/>
      <c r="AP122" s="15"/>
    </row>
    <row r="123" spans="1:91" s="1" customFormat="1" ht="15" customHeight="1">
      <c r="A123" s="35"/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X123" s="34"/>
      <c r="AI123" s="34"/>
      <c r="AJ123" s="75"/>
      <c r="AK123" s="15"/>
      <c r="AL123" s="20"/>
      <c r="AM123" s="15"/>
      <c r="AN123" s="15"/>
      <c r="AO123" s="15"/>
      <c r="AP123" s="15"/>
    </row>
    <row r="124" spans="1:91" s="1" customFormat="1" ht="15" customHeight="1">
      <c r="A124" s="35"/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X124" s="55"/>
      <c r="AI124" s="55"/>
      <c r="AJ124" s="74"/>
      <c r="AK124" s="15"/>
      <c r="AL124" s="20"/>
      <c r="AM124" s="15"/>
      <c r="AN124" s="15"/>
      <c r="AO124" s="15"/>
      <c r="AP124" s="15"/>
    </row>
    <row r="125" spans="1:91" s="1" customFormat="1" ht="15" customHeight="1">
      <c r="A125" s="35"/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X125" s="34"/>
      <c r="AI125" s="55"/>
      <c r="AJ125" s="74"/>
      <c r="AK125" s="15"/>
      <c r="AL125" s="20"/>
      <c r="AM125" s="15"/>
      <c r="AN125" s="15"/>
      <c r="AO125" s="15"/>
      <c r="AP125" s="15"/>
    </row>
    <row r="126" spans="1:91" s="1" customFormat="1" ht="15" customHeight="1">
      <c r="A126" s="35"/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X126" s="34"/>
      <c r="AI126" s="55"/>
      <c r="AJ126" s="75"/>
      <c r="AK126" s="15"/>
      <c r="AL126" s="20"/>
      <c r="AM126" s="15"/>
      <c r="AN126" s="15"/>
      <c r="AO126" s="15"/>
      <c r="AP126" s="15"/>
    </row>
    <row r="127" spans="1:91" s="1" customFormat="1" ht="15" customHeight="1">
      <c r="A127" s="35"/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X127" s="55"/>
      <c r="AJ127" s="21"/>
      <c r="AK127" s="15"/>
      <c r="AL127" s="22"/>
      <c r="AM127" s="23"/>
      <c r="AN127" s="23"/>
      <c r="AO127" s="23"/>
      <c r="AP127" s="23"/>
    </row>
    <row r="128" spans="1:91" s="1" customFormat="1" ht="15" customHeight="1">
      <c r="A128" s="35"/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X128" s="34"/>
      <c r="AJ128" s="21"/>
      <c r="AK128" s="15"/>
      <c r="AL128" s="22"/>
      <c r="AM128" s="23"/>
      <c r="AN128" s="23"/>
      <c r="AO128" s="23"/>
      <c r="AP128" s="23"/>
    </row>
    <row r="129" spans="1:44" s="1" customFormat="1" ht="15" customHeight="1">
      <c r="A129" s="35"/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X129" s="34"/>
      <c r="AJ129" s="21"/>
      <c r="AK129" s="15"/>
      <c r="AL129" s="22"/>
      <c r="AM129" s="23"/>
      <c r="AN129" s="23"/>
      <c r="AO129" s="23"/>
      <c r="AP129" s="23"/>
    </row>
    <row r="130" spans="1:44" s="1" customFormat="1" ht="15" customHeight="1">
      <c r="A130" s="35"/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X130" s="55"/>
      <c r="AJ130" s="21"/>
      <c r="AK130" s="15"/>
      <c r="AL130" s="22"/>
      <c r="AM130" s="23"/>
      <c r="AN130" s="23"/>
      <c r="AO130" s="23"/>
      <c r="AP130" s="23"/>
    </row>
    <row r="131" spans="1:44" s="1" customFormat="1" ht="15" customHeight="1">
      <c r="A131" s="35"/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X131" s="34"/>
      <c r="AJ131" s="21"/>
      <c r="AK131" s="15"/>
      <c r="AL131" s="22"/>
      <c r="AM131" s="23"/>
      <c r="AN131" s="23"/>
      <c r="AO131" s="23"/>
      <c r="AP131" s="23"/>
    </row>
    <row r="132" spans="1:44" s="1" customFormat="1" ht="15" customHeight="1">
      <c r="A132" s="35"/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X132" s="34"/>
      <c r="AI132" s="34"/>
      <c r="AJ132" s="21"/>
      <c r="AK132" s="15"/>
      <c r="AL132" s="22"/>
      <c r="AM132" s="23"/>
      <c r="AN132" s="23"/>
      <c r="AO132" s="23"/>
      <c r="AP132" s="23"/>
      <c r="AQ132" s="18"/>
      <c r="AR132" s="34"/>
    </row>
    <row r="133" spans="1:44" s="1" customFormat="1" ht="15" customHeight="1">
      <c r="A133" s="35"/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X133" s="55"/>
      <c r="AI133" s="34"/>
      <c r="AJ133" s="21"/>
      <c r="AK133" s="15"/>
      <c r="AL133" s="22"/>
      <c r="AM133" s="23"/>
      <c r="AN133" s="23"/>
      <c r="AO133" s="23"/>
      <c r="AP133" s="23"/>
      <c r="AR133" s="34"/>
    </row>
    <row r="134" spans="1:44" s="1" customFormat="1" ht="15" customHeight="1">
      <c r="A134" s="35"/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X134" s="34"/>
      <c r="AI134" s="34"/>
      <c r="AJ134" s="21"/>
      <c r="AK134" s="15"/>
      <c r="AL134" s="22"/>
      <c r="AM134" s="23"/>
      <c r="AN134" s="23"/>
      <c r="AO134" s="23"/>
      <c r="AP134" s="23"/>
      <c r="AR134" s="34"/>
    </row>
    <row r="135" spans="1:44" s="1" customFormat="1" ht="15" customHeight="1">
      <c r="A135" s="35"/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X135" s="34"/>
      <c r="AH135" s="18"/>
      <c r="AI135" s="34"/>
      <c r="AJ135" s="21"/>
      <c r="AK135" s="15"/>
      <c r="AL135" s="22"/>
      <c r="AM135" s="23"/>
      <c r="AN135" s="23"/>
      <c r="AO135" s="23"/>
      <c r="AP135" s="23"/>
      <c r="AQ135" s="18"/>
      <c r="AR135" s="34"/>
    </row>
    <row r="136" spans="1:44" s="1" customFormat="1" ht="15" customHeight="1">
      <c r="A136" s="35"/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X136" s="55"/>
      <c r="AI136" s="34"/>
      <c r="AJ136" s="76"/>
      <c r="AK136" s="77"/>
      <c r="AL136" s="22"/>
      <c r="AM136" s="23"/>
      <c r="AN136" s="23"/>
      <c r="AO136" s="23"/>
      <c r="AP136" s="23"/>
      <c r="AR136" s="34"/>
    </row>
    <row r="137" spans="1:44" s="1" customFormat="1" ht="15" customHeight="1">
      <c r="A137" s="35"/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X137" s="34"/>
      <c r="AI137" s="34"/>
      <c r="AJ137" s="21"/>
      <c r="AK137" s="15"/>
      <c r="AL137" s="22"/>
      <c r="AM137" s="23"/>
      <c r="AN137" s="23"/>
      <c r="AO137" s="23"/>
      <c r="AP137" s="23"/>
      <c r="AR137" s="34"/>
    </row>
    <row r="138" spans="1:44" s="1" customFormat="1" ht="15" customHeight="1">
      <c r="A138" s="35"/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X138" s="34"/>
      <c r="AH138" s="18"/>
      <c r="AI138" s="34"/>
      <c r="AJ138" s="21"/>
      <c r="AK138" s="15"/>
      <c r="AL138" s="22"/>
      <c r="AM138" s="23"/>
      <c r="AN138" s="23"/>
      <c r="AO138" s="23"/>
      <c r="AP138" s="23"/>
      <c r="AQ138" s="18"/>
      <c r="AR138" s="34"/>
    </row>
    <row r="139" spans="1:44" s="1" customFormat="1" ht="15" customHeight="1">
      <c r="A139" s="35"/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X139" s="55"/>
      <c r="AI139" s="34"/>
      <c r="AJ139" s="76"/>
      <c r="AK139" s="15"/>
      <c r="AL139" s="22"/>
      <c r="AM139" s="23"/>
      <c r="AN139" s="23"/>
      <c r="AO139" s="23"/>
      <c r="AP139" s="23"/>
      <c r="AR139" s="34"/>
    </row>
    <row r="140" spans="1:44" s="1" customFormat="1" ht="15" customHeight="1">
      <c r="A140" s="35"/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X140" s="34"/>
      <c r="AI140" s="34"/>
      <c r="AJ140" s="21"/>
      <c r="AK140" s="15"/>
      <c r="AL140" s="22"/>
      <c r="AM140" s="23"/>
      <c r="AN140" s="23"/>
      <c r="AO140" s="23"/>
      <c r="AP140" s="23"/>
      <c r="AR140" s="34"/>
    </row>
    <row r="141" spans="1:44" s="1" customFormat="1" ht="15" customHeight="1">
      <c r="A141" s="35"/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X141" s="34"/>
      <c r="AH141" s="18"/>
      <c r="AJ141" s="21"/>
      <c r="AK141" s="15"/>
      <c r="AL141" s="22"/>
      <c r="AM141" s="23"/>
      <c r="AN141" s="23"/>
      <c r="AO141" s="23"/>
      <c r="AP141" s="23"/>
    </row>
    <row r="142" spans="1:44" s="1" customFormat="1" ht="15" customHeight="1">
      <c r="A142" s="35"/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X142" s="55"/>
      <c r="AJ142" s="76"/>
      <c r="AK142" s="15"/>
      <c r="AL142" s="22"/>
      <c r="AM142" s="23"/>
      <c r="AN142" s="23"/>
      <c r="AO142" s="23"/>
      <c r="AP142" s="23"/>
    </row>
    <row r="143" spans="1:44" s="1" customFormat="1" ht="15" customHeight="1">
      <c r="A143" s="35"/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X143" s="34"/>
      <c r="AJ143" s="21"/>
      <c r="AK143" s="15"/>
      <c r="AL143" s="22"/>
      <c r="AM143" s="23"/>
      <c r="AN143" s="23"/>
      <c r="AO143" s="23"/>
      <c r="AP143" s="23"/>
    </row>
    <row r="144" spans="1:44" s="1" customFormat="1" ht="15" customHeight="1">
      <c r="A144" s="35"/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X144" s="34"/>
      <c r="AJ144" s="21"/>
      <c r="AK144" s="15"/>
      <c r="AL144" s="22"/>
      <c r="AM144" s="23"/>
      <c r="AN144" s="23"/>
      <c r="AO144" s="23"/>
      <c r="AP144" s="23"/>
    </row>
    <row r="145" spans="1:42" s="1" customFormat="1" ht="15" customHeight="1">
      <c r="A145" s="35"/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X145" s="55"/>
      <c r="AJ145" s="76"/>
      <c r="AK145" s="15"/>
      <c r="AL145" s="22"/>
      <c r="AM145" s="23"/>
      <c r="AN145" s="23"/>
      <c r="AO145" s="23"/>
      <c r="AP145" s="23"/>
    </row>
    <row r="146" spans="1:42" s="1" customFormat="1" ht="15" customHeight="1">
      <c r="A146" s="35"/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X146" s="34"/>
      <c r="AJ146" s="21"/>
      <c r="AK146" s="15"/>
      <c r="AL146" s="22"/>
      <c r="AM146" s="23"/>
      <c r="AN146" s="23"/>
      <c r="AO146" s="23"/>
      <c r="AP146" s="23"/>
    </row>
    <row r="147" spans="1:42" s="1" customFormat="1" ht="15" customHeight="1">
      <c r="A147" s="35"/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X147" s="34"/>
      <c r="AJ147" s="21"/>
      <c r="AK147" s="15"/>
      <c r="AL147" s="22"/>
      <c r="AM147" s="23"/>
      <c r="AN147" s="23"/>
      <c r="AO147" s="23"/>
      <c r="AP147" s="23"/>
    </row>
    <row r="148" spans="1:42" s="1" customFormat="1" ht="15" customHeight="1">
      <c r="A148" s="35"/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AJ148" s="76"/>
      <c r="AK148" s="15"/>
      <c r="AL148" s="22"/>
      <c r="AM148" s="23"/>
      <c r="AN148" s="23"/>
      <c r="AO148" s="23"/>
      <c r="AP148" s="23"/>
    </row>
    <row r="149" spans="1:42" s="1" customFormat="1" ht="15" customHeight="1">
      <c r="A149" s="35"/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AJ149" s="21"/>
      <c r="AK149" s="15"/>
      <c r="AL149" s="22"/>
      <c r="AM149" s="23"/>
      <c r="AN149" s="23"/>
      <c r="AO149" s="23"/>
      <c r="AP149" s="23"/>
    </row>
    <row r="150" spans="1:42" s="1" customFormat="1" ht="15" customHeight="1">
      <c r="A150" s="35"/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AJ150" s="21"/>
      <c r="AK150" s="15"/>
      <c r="AL150" s="22"/>
      <c r="AM150" s="23"/>
      <c r="AN150" s="23"/>
      <c r="AO150" s="23"/>
      <c r="AP150" s="23"/>
    </row>
    <row r="151" spans="1:42" s="1" customFormat="1" ht="15" customHeight="1">
      <c r="A151" s="35"/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AJ151" s="76"/>
      <c r="AK151" s="15"/>
      <c r="AL151" s="22"/>
      <c r="AM151" s="23"/>
      <c r="AN151" s="23"/>
      <c r="AO151" s="23"/>
      <c r="AP151" s="23"/>
    </row>
    <row r="152" spans="1:42" s="1" customFormat="1" ht="15" customHeight="1">
      <c r="A152" s="35"/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AJ152" s="21"/>
      <c r="AK152" s="15"/>
      <c r="AL152" s="22"/>
      <c r="AM152" s="23"/>
      <c r="AN152" s="23"/>
      <c r="AO152" s="23"/>
      <c r="AP152" s="23"/>
    </row>
    <row r="153" spans="1:42" s="1" customFormat="1" ht="15" customHeight="1">
      <c r="A153" s="35"/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AJ153" s="21"/>
      <c r="AK153" s="15"/>
      <c r="AL153" s="22"/>
      <c r="AM153" s="23"/>
      <c r="AN153" s="23"/>
      <c r="AO153" s="23"/>
      <c r="AP153" s="23"/>
    </row>
    <row r="154" spans="1:42" s="1" customFormat="1" ht="15" customHeight="1">
      <c r="A154" s="35"/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AJ154" s="76"/>
      <c r="AK154" s="15"/>
      <c r="AL154" s="22"/>
      <c r="AM154" s="23"/>
      <c r="AN154" s="23"/>
      <c r="AO154" s="23"/>
      <c r="AP154" s="23"/>
    </row>
    <row r="155" spans="1:42" s="1" customFormat="1" ht="15" customHeight="1">
      <c r="A155" s="35"/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AJ155" s="21"/>
      <c r="AK155" s="15"/>
      <c r="AL155" s="22"/>
      <c r="AM155" s="23"/>
      <c r="AN155" s="23"/>
      <c r="AO155" s="23"/>
      <c r="AP155" s="23"/>
    </row>
    <row r="156" spans="1:42" s="1" customFormat="1" ht="15" customHeight="1">
      <c r="A156" s="35"/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AJ156" s="21"/>
      <c r="AK156" s="15"/>
      <c r="AL156" s="22"/>
      <c r="AM156" s="23"/>
      <c r="AN156" s="23"/>
      <c r="AO156" s="23"/>
      <c r="AP156" s="23"/>
    </row>
    <row r="157" spans="1:42" s="1" customFormat="1" ht="15" customHeight="1">
      <c r="A157" s="35"/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AJ157" s="76"/>
      <c r="AK157" s="15"/>
      <c r="AL157" s="22"/>
      <c r="AM157" s="23"/>
      <c r="AN157" s="23"/>
      <c r="AO157" s="23"/>
      <c r="AP157" s="23"/>
    </row>
    <row r="158" spans="1:42" s="1" customFormat="1" ht="15" customHeight="1">
      <c r="A158" s="35"/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AJ158" s="21"/>
      <c r="AK158" s="15"/>
      <c r="AL158" s="22"/>
      <c r="AM158" s="23"/>
      <c r="AN158" s="23"/>
      <c r="AO158" s="23"/>
      <c r="AP158" s="23"/>
    </row>
    <row r="159" spans="1:42" s="1" customFormat="1" ht="15" customHeight="1">
      <c r="A159" s="35"/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AJ159" s="21"/>
      <c r="AK159" s="15"/>
      <c r="AL159" s="22"/>
      <c r="AM159" s="23"/>
      <c r="AN159" s="23"/>
      <c r="AO159" s="23"/>
      <c r="AP159" s="23"/>
    </row>
    <row r="160" spans="1:42" s="1" customFormat="1" ht="15" customHeight="1">
      <c r="A160" s="35"/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AJ160" s="76"/>
      <c r="AK160" s="15"/>
      <c r="AL160" s="22"/>
      <c r="AM160" s="23"/>
      <c r="AN160" s="23"/>
      <c r="AO160" s="23"/>
      <c r="AP160" s="23"/>
    </row>
    <row r="161" spans="1:42" s="1" customFormat="1" ht="15" customHeight="1">
      <c r="A161" s="35"/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AJ161" s="21"/>
      <c r="AK161" s="15"/>
      <c r="AL161" s="22"/>
      <c r="AM161" s="23"/>
      <c r="AN161" s="23"/>
      <c r="AO161" s="23"/>
      <c r="AP161" s="23"/>
    </row>
    <row r="162" spans="1:42" s="1" customFormat="1" ht="15" customHeight="1">
      <c r="A162" s="35"/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AJ162" s="21"/>
      <c r="AK162" s="15"/>
      <c r="AL162" s="22"/>
      <c r="AM162" s="23"/>
      <c r="AN162" s="23"/>
      <c r="AO162" s="23"/>
      <c r="AP162" s="23"/>
    </row>
    <row r="163" spans="1:42" s="1" customFormat="1" ht="15" customHeight="1">
      <c r="A163" s="35"/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AJ163" s="76"/>
      <c r="AK163" s="15"/>
      <c r="AL163" s="22"/>
      <c r="AM163" s="23"/>
      <c r="AN163" s="23"/>
      <c r="AO163" s="23"/>
      <c r="AP163" s="23"/>
    </row>
    <row r="164" spans="1:42" s="1" customFormat="1" ht="15" customHeight="1">
      <c r="A164" s="35"/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AJ164" s="21"/>
      <c r="AK164" s="15"/>
      <c r="AL164" s="22"/>
      <c r="AM164" s="23"/>
      <c r="AN164" s="23"/>
      <c r="AO164" s="23"/>
      <c r="AP164" s="23"/>
    </row>
    <row r="165" spans="1:42" s="1" customFormat="1" ht="15" customHeight="1">
      <c r="A165" s="35"/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AJ165" s="21"/>
      <c r="AK165" s="15"/>
      <c r="AL165" s="22"/>
      <c r="AM165" s="23"/>
      <c r="AN165" s="23"/>
      <c r="AO165" s="23"/>
      <c r="AP165" s="23"/>
    </row>
    <row r="166" spans="1:42" s="1" customFormat="1" ht="15" customHeight="1">
      <c r="A166" s="35"/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AJ166" s="76"/>
      <c r="AK166" s="15"/>
      <c r="AL166" s="22"/>
      <c r="AM166" s="23"/>
      <c r="AN166" s="23"/>
      <c r="AO166" s="23"/>
      <c r="AP166" s="23"/>
    </row>
    <row r="167" spans="1:42" s="1" customFormat="1" ht="15" customHeight="1">
      <c r="A167" s="35"/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AJ167" s="21"/>
      <c r="AK167" s="15"/>
      <c r="AL167" s="22"/>
      <c r="AM167" s="23"/>
      <c r="AN167" s="23"/>
      <c r="AO167" s="23"/>
      <c r="AP167" s="23"/>
    </row>
    <row r="168" spans="1:42" s="1" customFormat="1" ht="15" customHeight="1">
      <c r="A168" s="35"/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AJ168" s="21"/>
      <c r="AK168" s="15"/>
      <c r="AL168" s="22"/>
      <c r="AM168" s="23"/>
      <c r="AN168" s="23"/>
      <c r="AO168" s="23"/>
      <c r="AP168" s="23"/>
    </row>
    <row r="169" spans="1:42" s="1" customFormat="1" ht="15" customHeight="1">
      <c r="A169" s="35"/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AJ169" s="21"/>
      <c r="AK169" s="15"/>
      <c r="AL169" s="22"/>
      <c r="AM169" s="23"/>
      <c r="AN169" s="23"/>
      <c r="AO169" s="23"/>
      <c r="AP169" s="23"/>
    </row>
    <row r="170" spans="1:42" s="1" customFormat="1" ht="15" customHeight="1">
      <c r="A170" s="35"/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AJ170" s="21"/>
      <c r="AK170" s="15"/>
      <c r="AL170" s="22"/>
      <c r="AM170" s="23"/>
      <c r="AN170" s="23"/>
      <c r="AO170" s="23"/>
      <c r="AP170" s="23"/>
    </row>
    <row r="171" spans="1:42" s="1" customFormat="1" ht="15" customHeight="1">
      <c r="A171" s="35"/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AJ171" s="21"/>
      <c r="AK171" s="15"/>
      <c r="AL171" s="22"/>
      <c r="AM171" s="23"/>
      <c r="AN171" s="23"/>
      <c r="AO171" s="23"/>
      <c r="AP171" s="23"/>
    </row>
    <row r="172" spans="1:42" s="1" customFormat="1" ht="15" customHeight="1">
      <c r="A172" s="35"/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AJ172" s="21"/>
      <c r="AK172" s="15"/>
      <c r="AL172" s="22"/>
      <c r="AM172" s="23"/>
      <c r="AN172" s="23"/>
      <c r="AO172" s="23"/>
      <c r="AP172" s="23"/>
    </row>
    <row r="173" spans="1:42" s="1" customFormat="1" ht="15" customHeight="1">
      <c r="A173" s="35"/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AJ173" s="21"/>
      <c r="AK173" s="15"/>
      <c r="AL173" s="22"/>
      <c r="AM173" s="23"/>
      <c r="AN173" s="23"/>
      <c r="AO173" s="23"/>
      <c r="AP173" s="23"/>
    </row>
    <row r="174" spans="1:42" s="1" customFormat="1" ht="15" customHeight="1">
      <c r="A174" s="35"/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AJ174" s="21"/>
      <c r="AK174" s="15"/>
      <c r="AL174" s="22"/>
      <c r="AM174" s="23"/>
      <c r="AN174" s="23"/>
      <c r="AO174" s="23"/>
      <c r="AP174" s="23"/>
    </row>
    <row r="175" spans="1:42" s="1" customFormat="1" ht="15" customHeight="1">
      <c r="A175" s="35"/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AJ175" s="21"/>
      <c r="AK175" s="15"/>
      <c r="AL175" s="22"/>
      <c r="AM175" s="23"/>
      <c r="AN175" s="23"/>
      <c r="AO175" s="23"/>
      <c r="AP175" s="23"/>
    </row>
    <row r="176" spans="1:42" s="1" customFormat="1" ht="15" customHeight="1">
      <c r="A176" s="35"/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AJ176" s="21"/>
      <c r="AK176" s="15"/>
      <c r="AL176" s="22"/>
      <c r="AM176" s="23"/>
      <c r="AN176" s="23"/>
      <c r="AO176" s="23"/>
      <c r="AP176" s="23"/>
    </row>
    <row r="177" spans="1:42" s="1" customFormat="1" ht="15" customHeight="1">
      <c r="A177" s="35"/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AJ177" s="21"/>
      <c r="AK177" s="15"/>
      <c r="AL177" s="22"/>
      <c r="AM177" s="23"/>
      <c r="AN177" s="23"/>
      <c r="AO177" s="23"/>
      <c r="AP177" s="23"/>
    </row>
    <row r="178" spans="1:42" s="1" customFormat="1" ht="15" customHeight="1">
      <c r="A178" s="35"/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AJ178" s="21"/>
      <c r="AK178" s="15"/>
      <c r="AL178" s="22"/>
      <c r="AM178" s="23"/>
      <c r="AN178" s="23"/>
      <c r="AO178" s="23"/>
      <c r="AP178" s="23"/>
    </row>
    <row r="179" spans="1:42" s="1" customFormat="1" ht="15" customHeight="1">
      <c r="A179" s="35"/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</row>
    <row r="180" spans="1:42" s="1" customFormat="1" ht="15" customHeight="1">
      <c r="A180" s="35"/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</row>
    <row r="181" spans="1:42" s="1" customFormat="1" ht="15" customHeight="1">
      <c r="A181" s="35"/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</row>
    <row r="182" spans="1:42" s="1" customFormat="1" ht="15" customHeight="1">
      <c r="A182" s="35"/>
      <c r="B182" s="35"/>
      <c r="C182" s="35"/>
      <c r="D182" s="35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</row>
    <row r="183" spans="1:42" s="1" customFormat="1" ht="15" customHeight="1">
      <c r="A183" s="35"/>
      <c r="B183" s="35"/>
      <c r="C183" s="35"/>
      <c r="D183" s="35"/>
      <c r="E183" s="35"/>
      <c r="F183" s="35"/>
      <c r="G183" s="35"/>
      <c r="H183" s="35"/>
      <c r="I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</row>
    <row r="184" spans="1:42" s="1" customFormat="1" ht="15" customHeight="1">
      <c r="A184" s="35"/>
      <c r="B184" s="35"/>
      <c r="C184" s="35"/>
      <c r="D184" s="35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</row>
    <row r="185" spans="1:42" s="1" customFormat="1" ht="15" customHeight="1">
      <c r="A185" s="35"/>
      <c r="B185" s="35"/>
      <c r="C185" s="35"/>
      <c r="D185" s="35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</row>
    <row r="186" spans="1:42" s="1" customFormat="1" ht="15" customHeight="1">
      <c r="A186" s="35"/>
      <c r="B186" s="35"/>
      <c r="C186" s="35"/>
      <c r="D186" s="35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</row>
    <row r="187" spans="1:42" s="1" customFormat="1" ht="15" customHeight="1">
      <c r="A187" s="35"/>
      <c r="B187" s="35"/>
      <c r="C187" s="35"/>
      <c r="D187" s="35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</row>
    <row r="188" spans="1:42" s="1" customFormat="1" ht="15" customHeight="1">
      <c r="A188" s="35"/>
      <c r="B188" s="35"/>
      <c r="C188" s="35"/>
      <c r="D188" s="35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</row>
    <row r="189" spans="1:42" s="1" customFormat="1" ht="15" customHeight="1">
      <c r="A189" s="35"/>
      <c r="B189" s="35"/>
      <c r="C189" s="35"/>
      <c r="D189" s="35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</row>
    <row r="190" spans="1:42" s="1" customFormat="1" ht="15" customHeight="1">
      <c r="A190" s="35"/>
      <c r="B190" s="35"/>
      <c r="C190" s="35"/>
      <c r="D190" s="35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</row>
    <row r="191" spans="1:42" s="1" customFormat="1" ht="15" customHeight="1">
      <c r="A191" s="35"/>
      <c r="B191" s="35"/>
      <c r="C191" s="35"/>
      <c r="D191" s="35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</row>
    <row r="192" spans="1:42" s="1" customFormat="1" ht="15" customHeight="1">
      <c r="A192" s="35"/>
      <c r="B192" s="35"/>
      <c r="C192" s="35"/>
      <c r="D192" s="35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</row>
    <row r="193" spans="1:19" s="1" customFormat="1" ht="15" customHeight="1">
      <c r="A193" s="35"/>
      <c r="B193" s="35"/>
      <c r="C193" s="35"/>
      <c r="D193" s="35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</row>
    <row r="194" spans="1:19" s="1" customFormat="1" ht="15" customHeight="1">
      <c r="A194" s="35"/>
      <c r="B194" s="35"/>
      <c r="C194" s="35"/>
      <c r="D194" s="35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</row>
    <row r="195" spans="1:19" s="1" customFormat="1" ht="15" customHeight="1">
      <c r="A195" s="35"/>
      <c r="B195" s="35"/>
      <c r="C195" s="35"/>
      <c r="D195" s="35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</row>
    <row r="196" spans="1:19" s="1" customFormat="1" ht="15" customHeight="1">
      <c r="A196" s="35"/>
      <c r="B196" s="35"/>
      <c r="C196" s="35"/>
      <c r="D196" s="35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</row>
    <row r="197" spans="1:19" s="1" customFormat="1" ht="15" customHeight="1">
      <c r="A197" s="35"/>
      <c r="B197" s="35"/>
      <c r="C197" s="35"/>
      <c r="D197" s="35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</row>
    <row r="198" spans="1:19" s="1" customFormat="1" ht="15" customHeight="1">
      <c r="A198" s="35"/>
      <c r="B198" s="35"/>
      <c r="C198" s="35"/>
      <c r="D198" s="35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</row>
    <row r="199" spans="1:19" s="1" customFormat="1" ht="15" customHeight="1">
      <c r="A199" s="35"/>
      <c r="B199" s="35"/>
      <c r="C199" s="35"/>
      <c r="D199" s="35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</row>
    <row r="200" spans="1:19" s="1" customFormat="1" ht="15" customHeight="1">
      <c r="A200" s="35"/>
      <c r="B200" s="35"/>
      <c r="C200" s="35"/>
      <c r="D200" s="35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</row>
    <row r="201" spans="1:19" s="1" customFormat="1" ht="15" customHeight="1">
      <c r="A201" s="35"/>
      <c r="B201" s="35"/>
      <c r="C201" s="35"/>
      <c r="D201" s="35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</row>
    <row r="202" spans="1:19" s="1" customFormat="1" ht="15" customHeight="1">
      <c r="A202" s="35"/>
      <c r="B202" s="35"/>
      <c r="C202" s="35"/>
      <c r="D202" s="35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</row>
    <row r="203" spans="1:19" s="1" customFormat="1" ht="15" customHeight="1">
      <c r="A203" s="35"/>
      <c r="B203" s="35"/>
      <c r="C203" s="35"/>
      <c r="D203" s="35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</row>
    <row r="204" spans="1:19" s="1" customFormat="1" ht="15" customHeight="1">
      <c r="A204" s="35"/>
      <c r="B204" s="35"/>
      <c r="C204" s="35"/>
      <c r="D204" s="35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</row>
    <row r="205" spans="1:19" s="1" customFormat="1" ht="15" customHeight="1">
      <c r="A205" s="35"/>
      <c r="B205" s="35"/>
      <c r="C205" s="35"/>
      <c r="D205" s="35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</row>
    <row r="206" spans="1:19" s="1" customFormat="1" ht="15" customHeight="1">
      <c r="A206" s="35"/>
      <c r="B206" s="35"/>
      <c r="C206" s="35"/>
      <c r="D206" s="35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</row>
    <row r="207" spans="1:19" s="1" customFormat="1" ht="15" customHeight="1">
      <c r="A207" s="35"/>
      <c r="B207" s="35"/>
      <c r="C207" s="35"/>
      <c r="D207" s="35"/>
      <c r="E207" s="35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</row>
    <row r="208" spans="1:19" s="1" customFormat="1" ht="15" customHeight="1">
      <c r="A208" s="35"/>
      <c r="B208" s="35"/>
      <c r="C208" s="35"/>
      <c r="D208" s="35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</row>
    <row r="209" spans="1:19" s="1" customFormat="1" ht="15" customHeight="1">
      <c r="A209" s="35"/>
      <c r="B209" s="35"/>
      <c r="C209" s="35"/>
      <c r="D209" s="35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</row>
    <row r="210" spans="1:19" s="1" customFormat="1" ht="15" customHeight="1">
      <c r="A210" s="35"/>
      <c r="B210" s="35"/>
      <c r="C210" s="35"/>
      <c r="D210" s="35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</row>
    <row r="211" spans="1:19" s="1" customFormat="1" ht="15" customHeight="1">
      <c r="A211" s="35"/>
      <c r="B211" s="35"/>
      <c r="C211" s="35"/>
      <c r="D211" s="35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</row>
    <row r="212" spans="1:19" s="1" customFormat="1" ht="15" customHeight="1">
      <c r="A212" s="35"/>
      <c r="B212" s="35"/>
      <c r="C212" s="35"/>
      <c r="D212" s="35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</row>
    <row r="213" spans="1:19" s="1" customFormat="1" ht="15" customHeight="1">
      <c r="A213" s="35"/>
      <c r="B213" s="35"/>
      <c r="C213" s="35"/>
      <c r="D213" s="35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</row>
    <row r="214" spans="1:19" s="1" customFormat="1" ht="15" customHeight="1">
      <c r="A214" s="35"/>
      <c r="B214" s="35"/>
      <c r="C214" s="35"/>
      <c r="D214" s="35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</row>
    <row r="215" spans="1:19" s="1" customFormat="1" ht="15" customHeight="1">
      <c r="A215" s="35"/>
      <c r="B215" s="35"/>
      <c r="C215" s="35"/>
      <c r="D215" s="35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</row>
    <row r="216" spans="1:19" s="1" customFormat="1" ht="15" customHeight="1">
      <c r="A216" s="35"/>
      <c r="B216" s="35"/>
      <c r="C216" s="35"/>
      <c r="D216" s="35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</row>
    <row r="217" spans="1:19" s="1" customFormat="1" ht="15" customHeight="1">
      <c r="A217" s="35"/>
      <c r="B217" s="35"/>
      <c r="C217" s="35"/>
      <c r="D217" s="35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</row>
    <row r="218" spans="1:19" s="1" customFormat="1" ht="15" customHeight="1">
      <c r="A218" s="35"/>
      <c r="B218" s="35"/>
      <c r="C218" s="35"/>
      <c r="D218" s="35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</row>
    <row r="219" spans="1:19" s="1" customFormat="1" ht="15" customHeight="1">
      <c r="A219" s="35"/>
      <c r="B219" s="35"/>
      <c r="C219" s="35"/>
      <c r="D219" s="35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</row>
    <row r="220" spans="1:19" s="1" customFormat="1" ht="15" customHeight="1">
      <c r="A220" s="35"/>
      <c r="B220" s="35"/>
      <c r="C220" s="35"/>
      <c r="D220" s="35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</row>
    <row r="221" spans="1:19" s="1" customFormat="1" ht="15" customHeight="1">
      <c r="A221" s="35"/>
      <c r="B221" s="35"/>
      <c r="C221" s="35"/>
      <c r="D221" s="35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</row>
    <row r="222" spans="1:19" s="1" customFormat="1" ht="15" customHeight="1">
      <c r="A222" s="35"/>
      <c r="B222" s="35"/>
      <c r="C222" s="35"/>
      <c r="D222" s="35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</row>
    <row r="223" spans="1:19" s="1" customFormat="1" ht="15" customHeight="1">
      <c r="A223" s="35"/>
      <c r="B223" s="35"/>
      <c r="C223" s="35"/>
      <c r="D223" s="35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</row>
    <row r="224" spans="1:19" s="1" customFormat="1" ht="15" customHeight="1">
      <c r="A224" s="35"/>
      <c r="B224" s="35"/>
      <c r="C224" s="35"/>
      <c r="D224" s="35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</row>
    <row r="225" spans="1:19" s="1" customFormat="1" ht="15" customHeight="1">
      <c r="A225" s="35"/>
      <c r="B225" s="35"/>
      <c r="C225" s="35"/>
      <c r="D225" s="35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</row>
    <row r="226" spans="1:19" s="1" customFormat="1" ht="15" customHeight="1">
      <c r="A226" s="35"/>
      <c r="B226" s="35"/>
      <c r="C226" s="35"/>
      <c r="D226" s="35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</row>
    <row r="227" spans="1:19" s="1" customFormat="1" ht="15" customHeight="1">
      <c r="A227" s="35"/>
      <c r="B227" s="35"/>
      <c r="C227" s="35"/>
      <c r="D227" s="35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</row>
    <row r="228" spans="1:19" s="1" customFormat="1" ht="15" customHeight="1">
      <c r="A228" s="35"/>
      <c r="B228" s="35"/>
      <c r="C228" s="35"/>
      <c r="D228" s="35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</row>
    <row r="229" spans="1:19" s="1" customFormat="1" ht="15" customHeight="1">
      <c r="A229" s="35"/>
      <c r="B229" s="35"/>
      <c r="C229" s="35"/>
      <c r="D229" s="35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</row>
    <row r="230" spans="1:19" s="1" customFormat="1" ht="15" customHeight="1">
      <c r="A230" s="35"/>
      <c r="B230" s="35"/>
      <c r="C230" s="35"/>
      <c r="D230" s="35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</row>
    <row r="231" spans="1:19" s="1" customFormat="1" ht="15" customHeight="1">
      <c r="A231" s="35"/>
      <c r="B231" s="35"/>
      <c r="C231" s="35"/>
      <c r="D231" s="35"/>
      <c r="E231" s="35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</row>
    <row r="232" spans="1:19" s="1" customFormat="1" ht="15" customHeight="1">
      <c r="A232" s="35"/>
      <c r="B232" s="35"/>
      <c r="C232" s="35"/>
      <c r="D232" s="35"/>
      <c r="E232" s="35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</row>
    <row r="233" spans="1:19" s="1" customFormat="1" ht="15" customHeight="1">
      <c r="A233" s="35"/>
      <c r="B233" s="35"/>
      <c r="C233" s="35"/>
      <c r="D233" s="35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</row>
    <row r="234" spans="1:19" s="1" customFormat="1" ht="15" customHeight="1">
      <c r="A234" s="35"/>
      <c r="B234" s="35"/>
      <c r="C234" s="35"/>
      <c r="D234" s="35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</row>
    <row r="235" spans="1:19" s="1" customFormat="1" ht="15" customHeight="1">
      <c r="A235" s="35"/>
      <c r="B235" s="35"/>
      <c r="C235" s="35"/>
      <c r="D235" s="35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</row>
    <row r="236" spans="1:19" s="1" customFormat="1" ht="15" customHeight="1">
      <c r="A236" s="35"/>
      <c r="B236" s="35"/>
      <c r="C236" s="35"/>
      <c r="D236" s="35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</row>
    <row r="237" spans="1:19" s="1" customFormat="1" ht="15" customHeight="1">
      <c r="A237" s="35"/>
      <c r="B237" s="35"/>
      <c r="C237" s="35"/>
      <c r="D237" s="35"/>
      <c r="E237" s="35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</row>
    <row r="238" spans="1:19" s="1" customFormat="1" ht="15" customHeight="1">
      <c r="A238" s="35"/>
      <c r="B238" s="35"/>
      <c r="C238" s="35"/>
      <c r="D238" s="35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</row>
    <row r="239" spans="1:19" s="1" customFormat="1" ht="15" customHeight="1">
      <c r="A239" s="35"/>
      <c r="B239" s="35"/>
      <c r="C239" s="35"/>
      <c r="D239" s="35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</row>
    <row r="240" spans="1:19" s="1" customFormat="1" ht="15" customHeight="1">
      <c r="A240" s="35"/>
      <c r="B240" s="35"/>
      <c r="C240" s="35"/>
      <c r="D240" s="35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</row>
    <row r="241" spans="1:19" s="1" customFormat="1" ht="15" customHeight="1">
      <c r="A241" s="35"/>
      <c r="B241" s="35"/>
      <c r="C241" s="35"/>
      <c r="D241" s="35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</row>
    <row r="242" spans="1:19" s="1" customFormat="1" ht="15" customHeight="1">
      <c r="A242" s="35"/>
      <c r="B242" s="35"/>
      <c r="C242" s="35"/>
      <c r="D242" s="35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</row>
    <row r="243" spans="1:19" s="1" customFormat="1" ht="15" customHeight="1">
      <c r="A243" s="35"/>
      <c r="B243" s="35"/>
      <c r="C243" s="35"/>
      <c r="D243" s="35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</row>
    <row r="244" spans="1:19" s="1" customFormat="1" ht="15" customHeight="1">
      <c r="A244" s="35"/>
      <c r="B244" s="35"/>
      <c r="C244" s="35"/>
      <c r="D244" s="35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</row>
    <row r="245" spans="1:19" s="1" customFormat="1" ht="15" customHeight="1">
      <c r="A245" s="35"/>
      <c r="B245" s="35"/>
      <c r="C245" s="35"/>
      <c r="D245" s="35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</row>
    <row r="246" spans="1:19" s="1" customFormat="1" ht="15" customHeight="1">
      <c r="A246" s="35"/>
      <c r="B246" s="35"/>
      <c r="C246" s="35"/>
      <c r="D246" s="35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</row>
    <row r="247" spans="1:19" s="1" customFormat="1" ht="15" customHeight="1">
      <c r="A247" s="35"/>
      <c r="B247" s="35"/>
      <c r="C247" s="35"/>
      <c r="D247" s="35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</row>
    <row r="248" spans="1:19" s="1" customFormat="1" ht="15" customHeight="1">
      <c r="A248" s="35"/>
      <c r="B248" s="35"/>
      <c r="C248" s="35"/>
      <c r="D248" s="35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</row>
    <row r="249" spans="1:19" s="1" customFormat="1" ht="15" customHeight="1">
      <c r="A249" s="35"/>
      <c r="B249" s="35"/>
      <c r="C249" s="35"/>
      <c r="D249" s="35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</row>
    <row r="250" spans="1:19" s="1" customFormat="1" ht="15" customHeight="1">
      <c r="A250" s="35"/>
      <c r="B250" s="35"/>
      <c r="C250" s="35"/>
      <c r="D250" s="35"/>
      <c r="E250" s="35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</row>
    <row r="251" spans="1:19" s="1" customFormat="1" ht="15" customHeight="1">
      <c r="A251" s="35"/>
      <c r="B251" s="35"/>
      <c r="C251" s="35"/>
      <c r="D251" s="35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</row>
    <row r="252" spans="1:19" s="1" customFormat="1" ht="15" customHeight="1">
      <c r="A252" s="35"/>
      <c r="B252" s="35"/>
      <c r="C252" s="35"/>
      <c r="D252" s="35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</row>
    <row r="253" spans="1:19" s="1" customFormat="1" ht="15" customHeight="1">
      <c r="A253" s="35"/>
      <c r="B253" s="35"/>
      <c r="C253" s="35"/>
      <c r="D253" s="35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</row>
    <row r="254" spans="1:19" s="1" customFormat="1" ht="15" customHeight="1">
      <c r="A254" s="35"/>
      <c r="B254" s="35"/>
      <c r="C254" s="35"/>
      <c r="D254" s="35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</row>
    <row r="255" spans="1:19" s="1" customFormat="1" ht="15" customHeight="1">
      <c r="A255" s="35"/>
      <c r="B255" s="35"/>
      <c r="C255" s="35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</row>
    <row r="256" spans="1:19" s="1" customFormat="1" ht="15" customHeight="1">
      <c r="A256" s="35"/>
      <c r="B256" s="35"/>
      <c r="C256" s="35"/>
      <c r="D256" s="35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</row>
    <row r="257" spans="1:19" s="1" customFormat="1" ht="15" customHeight="1">
      <c r="A257" s="35"/>
      <c r="B257" s="35"/>
      <c r="C257" s="35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</row>
    <row r="258" spans="1:19" s="1" customFormat="1" ht="15" customHeight="1">
      <c r="A258" s="35"/>
      <c r="B258" s="35"/>
      <c r="C258" s="35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</row>
    <row r="259" spans="1:19" s="1" customFormat="1" ht="15" customHeight="1">
      <c r="A259" s="35"/>
      <c r="B259" s="35"/>
      <c r="C259" s="35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</row>
    <row r="260" spans="1:19" s="1" customFormat="1" ht="15" customHeight="1">
      <c r="A260" s="35"/>
      <c r="B260" s="35"/>
      <c r="C260" s="35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</row>
    <row r="261" spans="1:19" s="1" customFormat="1" ht="15" customHeight="1">
      <c r="A261" s="35"/>
      <c r="B261" s="35"/>
      <c r="C261" s="35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</row>
    <row r="262" spans="1:19" s="1" customFormat="1" ht="15" customHeight="1">
      <c r="A262" s="35"/>
      <c r="B262" s="35"/>
      <c r="C262" s="35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</row>
    <row r="263" spans="1:19" s="1" customFormat="1" ht="15" customHeight="1">
      <c r="A263" s="35"/>
      <c r="B263" s="35"/>
      <c r="C263" s="35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</row>
    <row r="264" spans="1:19" s="1" customFormat="1" ht="15" customHeight="1">
      <c r="A264" s="35"/>
      <c r="B264" s="35"/>
      <c r="C264" s="35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</row>
    <row r="265" spans="1:19" s="1" customFormat="1" ht="15" customHeight="1">
      <c r="A265" s="35"/>
      <c r="B265" s="35"/>
      <c r="C265" s="35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</row>
    <row r="266" spans="1:19" s="1" customFormat="1" ht="15" customHeight="1">
      <c r="A266" s="35"/>
      <c r="B266" s="35"/>
      <c r="C266" s="35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</row>
    <row r="267" spans="1:19" s="1" customFormat="1" ht="15" customHeight="1">
      <c r="A267" s="35"/>
      <c r="B267" s="35"/>
      <c r="C267" s="35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</row>
    <row r="268" spans="1:19" s="1" customFormat="1" ht="15" customHeight="1">
      <c r="A268" s="35"/>
      <c r="B268" s="35"/>
      <c r="C268" s="35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</row>
    <row r="269" spans="1:19" s="1" customFormat="1" ht="15" customHeight="1">
      <c r="A269" s="35"/>
      <c r="B269" s="35"/>
      <c r="C269" s="35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</row>
    <row r="270" spans="1:19" s="1" customFormat="1" ht="15" customHeight="1">
      <c r="A270" s="35"/>
      <c r="B270" s="35"/>
      <c r="C270" s="35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</row>
    <row r="271" spans="1:19" s="1" customFormat="1" ht="15" customHeight="1">
      <c r="A271" s="35"/>
      <c r="B271" s="35"/>
      <c r="C271" s="35"/>
      <c r="D271" s="35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</row>
    <row r="272" spans="1:19" s="1" customFormat="1" ht="15" customHeight="1">
      <c r="A272" s="35"/>
      <c r="B272" s="35"/>
      <c r="C272" s="35"/>
      <c r="D272" s="35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</row>
    <row r="273" spans="1:19" s="1" customFormat="1" ht="15" customHeight="1">
      <c r="A273" s="35"/>
      <c r="B273" s="35"/>
      <c r="C273" s="35"/>
      <c r="D273" s="35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</row>
    <row r="274" spans="1:19" s="1" customFormat="1" ht="15" customHeight="1">
      <c r="A274" s="35"/>
      <c r="B274" s="35"/>
      <c r="C274" s="35"/>
      <c r="D274" s="35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</row>
    <row r="275" spans="1:19" s="1" customFormat="1" ht="15" customHeight="1">
      <c r="A275" s="35"/>
      <c r="B275" s="35"/>
      <c r="C275" s="35"/>
      <c r="D275" s="35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</row>
    <row r="276" spans="1:19" s="1" customFormat="1" ht="15" customHeight="1">
      <c r="A276" s="35"/>
      <c r="B276" s="35"/>
      <c r="C276" s="35"/>
      <c r="D276" s="35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</row>
    <row r="277" spans="1:19" s="1" customFormat="1" ht="15" customHeight="1">
      <c r="A277" s="35"/>
      <c r="B277" s="35"/>
      <c r="C277" s="35"/>
      <c r="D277" s="35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</row>
    <row r="278" spans="1:19" s="1" customFormat="1" ht="15" customHeight="1">
      <c r="A278" s="35"/>
      <c r="B278" s="35"/>
      <c r="C278" s="35"/>
      <c r="D278" s="35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</row>
    <row r="279" spans="1:19" s="1" customFormat="1" ht="15" customHeight="1">
      <c r="A279" s="35"/>
      <c r="B279" s="35"/>
      <c r="C279" s="35"/>
      <c r="D279" s="35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</row>
    <row r="280" spans="1:19" s="1" customFormat="1" ht="15" customHeight="1">
      <c r="A280" s="35"/>
      <c r="B280" s="35"/>
      <c r="C280" s="35"/>
      <c r="D280" s="35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</row>
    <row r="281" spans="1:19" s="1" customFormat="1" ht="15" customHeight="1">
      <c r="A281" s="35"/>
      <c r="B281" s="35"/>
      <c r="C281" s="35"/>
      <c r="D281" s="35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</row>
    <row r="282" spans="1:19" s="1" customFormat="1" ht="15" customHeight="1">
      <c r="A282" s="35"/>
      <c r="B282" s="35"/>
      <c r="C282" s="35"/>
      <c r="D282" s="35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</row>
    <row r="283" spans="1:19" s="1" customFormat="1" ht="15" customHeight="1">
      <c r="A283" s="35"/>
      <c r="B283" s="35"/>
      <c r="C283" s="35"/>
      <c r="D283" s="35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</row>
    <row r="284" spans="1:19" s="1" customFormat="1" ht="15" customHeight="1">
      <c r="A284" s="35"/>
      <c r="B284" s="35"/>
      <c r="C284" s="35"/>
      <c r="D284" s="35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</row>
    <row r="285" spans="1:19" s="1" customFormat="1" ht="15" customHeight="1">
      <c r="A285" s="35"/>
      <c r="B285" s="35"/>
      <c r="C285" s="35"/>
      <c r="D285" s="35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</row>
    <row r="286" spans="1:19" s="1" customFormat="1" ht="15" customHeight="1">
      <c r="A286" s="35"/>
      <c r="B286" s="35"/>
      <c r="C286" s="35"/>
      <c r="D286" s="35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</row>
    <row r="287" spans="1:19" s="1" customFormat="1" ht="15" customHeight="1">
      <c r="A287" s="35"/>
      <c r="B287" s="35"/>
      <c r="C287" s="35"/>
      <c r="D287" s="35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</row>
    <row r="288" spans="1:19" s="1" customFormat="1" ht="15" customHeight="1">
      <c r="A288" s="35"/>
      <c r="B288" s="35"/>
      <c r="C288" s="35"/>
      <c r="D288" s="35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</row>
    <row r="289" spans="1:19" s="1" customFormat="1" ht="15" customHeight="1">
      <c r="A289" s="35"/>
      <c r="B289" s="35"/>
      <c r="C289" s="35"/>
      <c r="D289" s="35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</row>
    <row r="290" spans="1:19" s="1" customFormat="1" ht="15" customHeight="1">
      <c r="A290" s="35"/>
      <c r="B290" s="35"/>
      <c r="C290" s="35"/>
      <c r="D290" s="35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</row>
    <row r="291" spans="1:19" s="1" customFormat="1" ht="15" customHeight="1">
      <c r="A291" s="35"/>
      <c r="B291" s="35"/>
      <c r="C291" s="35"/>
      <c r="D291" s="35"/>
      <c r="E291" s="35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</row>
    <row r="292" spans="1:19" s="1" customFormat="1" ht="15" customHeight="1">
      <c r="A292" s="35"/>
      <c r="B292" s="35"/>
      <c r="C292" s="35"/>
      <c r="D292" s="35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</row>
    <row r="293" spans="1:19" s="1" customFormat="1" ht="15" customHeight="1">
      <c r="A293" s="35"/>
      <c r="B293" s="35"/>
      <c r="C293" s="35"/>
      <c r="D293" s="35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</row>
    <row r="294" spans="1:19" s="1" customFormat="1" ht="15" customHeight="1">
      <c r="A294" s="35"/>
      <c r="B294" s="35"/>
      <c r="C294" s="35"/>
      <c r="D294" s="35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</row>
    <row r="295" spans="1:19" s="1" customFormat="1" ht="15" customHeight="1">
      <c r="A295" s="35"/>
      <c r="B295" s="35"/>
      <c r="C295" s="35"/>
      <c r="D295" s="35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</row>
    <row r="296" spans="1:19" s="1" customFormat="1" ht="15" customHeight="1">
      <c r="A296" s="35"/>
      <c r="B296" s="35"/>
      <c r="C296" s="35"/>
      <c r="D296" s="35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</row>
    <row r="297" spans="1:19" s="1" customFormat="1" ht="15" customHeight="1">
      <c r="A297" s="35"/>
      <c r="B297" s="35"/>
      <c r="C297" s="35"/>
      <c r="D297" s="35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</row>
    <row r="298" spans="1:19" s="1" customFormat="1" ht="15" customHeight="1">
      <c r="A298" s="35"/>
      <c r="B298" s="35"/>
      <c r="C298" s="35"/>
      <c r="D298" s="35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</row>
    <row r="299" spans="1:19" s="1" customFormat="1" ht="15" customHeight="1">
      <c r="A299" s="35"/>
      <c r="B299" s="35"/>
      <c r="C299" s="35"/>
      <c r="D299" s="35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</row>
    <row r="300" spans="1:19" s="1" customFormat="1" ht="15" customHeight="1">
      <c r="A300" s="35"/>
      <c r="B300" s="35"/>
      <c r="C300" s="35"/>
      <c r="D300" s="35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</row>
    <row r="301" spans="1:19" s="1" customFormat="1" ht="15" customHeight="1">
      <c r="A301" s="35"/>
      <c r="B301" s="35"/>
      <c r="C301" s="35"/>
      <c r="D301" s="35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</row>
    <row r="302" spans="1:19" s="1" customFormat="1" ht="15" customHeight="1">
      <c r="A302" s="35"/>
      <c r="B302" s="35"/>
      <c r="C302" s="35"/>
      <c r="D302" s="35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</row>
    <row r="303" spans="1:19" s="1" customFormat="1" ht="15" customHeight="1">
      <c r="A303" s="35"/>
      <c r="B303" s="35"/>
      <c r="C303" s="35"/>
      <c r="D303" s="35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</row>
    <row r="304" spans="1:19" s="1" customFormat="1" ht="15" customHeight="1">
      <c r="A304" s="35"/>
      <c r="B304" s="35"/>
      <c r="C304" s="35"/>
      <c r="D304" s="35"/>
      <c r="E304" s="35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</row>
    <row r="305" spans="1:19" s="1" customFormat="1" ht="15" customHeight="1">
      <c r="A305" s="35"/>
      <c r="B305" s="35"/>
      <c r="C305" s="35"/>
      <c r="D305" s="35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</row>
    <row r="306" spans="1:19" s="1" customFormat="1" ht="15" customHeight="1">
      <c r="A306" s="35"/>
      <c r="B306" s="35"/>
      <c r="C306" s="35"/>
      <c r="D306" s="35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</row>
    <row r="307" spans="1:19" s="1" customFormat="1" ht="15" customHeight="1">
      <c r="A307" s="35"/>
      <c r="B307" s="35"/>
      <c r="C307" s="35"/>
      <c r="D307" s="35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</row>
    <row r="308" spans="1:19" s="1" customFormat="1" ht="15" customHeight="1">
      <c r="A308" s="35"/>
      <c r="B308" s="35"/>
      <c r="C308" s="35"/>
      <c r="D308" s="35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</row>
    <row r="309" spans="1:19" s="1" customFormat="1" ht="15" customHeight="1">
      <c r="A309" s="35"/>
      <c r="B309" s="35"/>
      <c r="C309" s="35"/>
      <c r="D309" s="35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</row>
    <row r="310" spans="1:19" s="1" customFormat="1" ht="15" customHeight="1">
      <c r="A310" s="35"/>
      <c r="B310" s="35"/>
      <c r="C310" s="35"/>
      <c r="D310" s="35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</row>
    <row r="311" spans="1:19" s="1" customFormat="1" ht="15" customHeight="1">
      <c r="A311" s="35"/>
      <c r="B311" s="35"/>
      <c r="C311" s="35"/>
      <c r="D311" s="35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</row>
    <row r="312" spans="1:19" s="1" customFormat="1" ht="15" customHeight="1">
      <c r="A312" s="35"/>
      <c r="B312" s="35"/>
      <c r="C312" s="35"/>
      <c r="D312" s="35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</row>
    <row r="313" spans="1:19" s="1" customFormat="1" ht="15" customHeight="1">
      <c r="A313" s="35"/>
      <c r="B313" s="35"/>
      <c r="C313" s="35"/>
      <c r="D313" s="35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</row>
    <row r="314" spans="1:19" s="1" customFormat="1" ht="15" customHeight="1">
      <c r="A314" s="35"/>
      <c r="B314" s="35"/>
      <c r="C314" s="35"/>
      <c r="D314" s="35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</row>
    <row r="315" spans="1:19" s="1" customFormat="1" ht="15" customHeight="1">
      <c r="A315" s="35"/>
      <c r="B315" s="35"/>
      <c r="C315" s="35"/>
      <c r="D315" s="35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</row>
    <row r="316" spans="1:19" s="1" customFormat="1" ht="15" customHeight="1">
      <c r="A316" s="35"/>
      <c r="B316" s="35"/>
      <c r="C316" s="35"/>
      <c r="D316" s="35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</row>
    <row r="317" spans="1:19" s="1" customFormat="1" ht="15" customHeight="1">
      <c r="A317" s="35"/>
      <c r="B317" s="35"/>
      <c r="C317" s="35"/>
      <c r="D317" s="35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</row>
    <row r="318" spans="1:19" s="1" customFormat="1" ht="15" customHeight="1">
      <c r="A318" s="35"/>
      <c r="B318" s="35"/>
      <c r="C318" s="35"/>
      <c r="D318" s="35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</row>
    <row r="319" spans="1:19" s="1" customFormat="1" ht="15" customHeight="1">
      <c r="A319" s="35"/>
      <c r="B319" s="35"/>
      <c r="C319" s="35"/>
      <c r="D319" s="35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</row>
    <row r="320" spans="1:19" s="1" customFormat="1" ht="15" customHeight="1">
      <c r="A320" s="35"/>
      <c r="B320" s="35"/>
      <c r="C320" s="35"/>
      <c r="D320" s="35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</row>
    <row r="321" spans="1:19" s="1" customFormat="1" ht="15" customHeight="1">
      <c r="A321" s="35"/>
      <c r="B321" s="35"/>
      <c r="C321" s="35"/>
      <c r="D321" s="35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</row>
    <row r="322" spans="1:19" s="1" customFormat="1" ht="15" customHeight="1">
      <c r="A322" s="35"/>
      <c r="B322" s="35"/>
      <c r="C322" s="35"/>
      <c r="D322" s="35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</row>
    <row r="323" spans="1:19" s="1" customFormat="1" ht="15" customHeight="1">
      <c r="A323" s="35"/>
      <c r="B323" s="35"/>
      <c r="C323" s="35"/>
      <c r="D323" s="35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</row>
    <row r="324" spans="1:19" s="1" customFormat="1" ht="15" customHeight="1">
      <c r="A324" s="35"/>
      <c r="B324" s="35"/>
      <c r="C324" s="35"/>
      <c r="D324" s="35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R324" s="35"/>
      <c r="S324" s="35"/>
    </row>
    <row r="325" spans="1:19" s="1" customFormat="1" ht="15" customHeight="1">
      <c r="A325" s="35"/>
      <c r="B325" s="35"/>
      <c r="C325" s="35"/>
      <c r="D325" s="35"/>
      <c r="E325" s="35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</row>
    <row r="326" spans="1:19" s="1" customFormat="1" ht="15" customHeight="1">
      <c r="A326" s="35"/>
      <c r="B326" s="35"/>
      <c r="C326" s="35"/>
      <c r="D326" s="35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</row>
    <row r="327" spans="1:19" s="1" customFormat="1" ht="15" customHeight="1">
      <c r="A327" s="35"/>
      <c r="B327" s="35"/>
      <c r="C327" s="35"/>
      <c r="D327" s="35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</row>
    <row r="328" spans="1:19" s="1" customFormat="1" ht="15" customHeight="1">
      <c r="A328" s="35"/>
      <c r="B328" s="35"/>
      <c r="C328" s="35"/>
      <c r="D328" s="35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</row>
    <row r="329" spans="1:19" s="1" customFormat="1" ht="15" customHeight="1">
      <c r="A329" s="35"/>
      <c r="B329" s="35"/>
      <c r="C329" s="35"/>
      <c r="D329" s="35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</row>
    <row r="330" spans="1:19" s="1" customFormat="1" ht="15" customHeight="1">
      <c r="A330" s="35"/>
      <c r="B330" s="35"/>
      <c r="C330" s="35"/>
      <c r="D330" s="35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</row>
    <row r="331" spans="1:19" s="1" customFormat="1" ht="15" customHeight="1">
      <c r="A331" s="35"/>
      <c r="B331" s="35"/>
      <c r="C331" s="35"/>
      <c r="D331" s="35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</row>
    <row r="332" spans="1:19" s="1" customFormat="1" ht="15" customHeight="1">
      <c r="A332" s="35"/>
      <c r="B332" s="35"/>
      <c r="C332" s="35"/>
      <c r="D332" s="35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</row>
    <row r="333" spans="1:19" s="1" customFormat="1" ht="15" customHeight="1">
      <c r="A333" s="35"/>
      <c r="B333" s="35"/>
      <c r="C333" s="35"/>
      <c r="D333" s="35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</row>
    <row r="334" spans="1:19" s="1" customFormat="1" ht="15" customHeight="1">
      <c r="A334" s="35"/>
      <c r="B334" s="35"/>
      <c r="C334" s="35"/>
      <c r="D334" s="35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</row>
    <row r="335" spans="1:19" s="1" customFormat="1" ht="15" customHeight="1">
      <c r="A335" s="35"/>
      <c r="B335" s="35"/>
      <c r="C335" s="35"/>
      <c r="D335" s="35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</row>
    <row r="336" spans="1:19" s="1" customFormat="1" ht="15" customHeight="1">
      <c r="A336" s="35"/>
      <c r="B336" s="35"/>
      <c r="C336" s="35"/>
      <c r="D336" s="35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</row>
    <row r="337" spans="1:19" s="1" customFormat="1" ht="15" customHeight="1">
      <c r="A337" s="35"/>
      <c r="B337" s="35"/>
      <c r="C337" s="35"/>
      <c r="D337" s="35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</row>
    <row r="338" spans="1:19" s="1" customFormat="1" ht="15" customHeight="1">
      <c r="A338" s="35"/>
      <c r="B338" s="35"/>
      <c r="C338" s="35"/>
      <c r="D338" s="35"/>
      <c r="E338" s="35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</row>
    <row r="339" spans="1:19" s="1" customFormat="1" ht="15" customHeight="1">
      <c r="A339" s="35"/>
      <c r="B339" s="35"/>
      <c r="C339" s="35"/>
      <c r="D339" s="35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</row>
    <row r="340" spans="1:19" s="1" customFormat="1" ht="15" customHeight="1">
      <c r="A340" s="35"/>
      <c r="B340" s="35"/>
      <c r="C340" s="35"/>
      <c r="D340" s="35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</row>
    <row r="341" spans="1:19" s="1" customFormat="1" ht="15" customHeight="1">
      <c r="A341" s="35"/>
      <c r="B341" s="35"/>
      <c r="C341" s="35"/>
      <c r="D341" s="35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</row>
    <row r="342" spans="1:19" s="1" customFormat="1" ht="15" customHeight="1">
      <c r="A342" s="35"/>
      <c r="B342" s="35"/>
      <c r="C342" s="35"/>
      <c r="D342" s="35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</row>
    <row r="343" spans="1:19" s="1" customFormat="1" ht="15" customHeight="1">
      <c r="A343" s="35"/>
      <c r="B343" s="35"/>
      <c r="C343" s="35"/>
      <c r="D343" s="35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</row>
    <row r="344" spans="1:19" s="1" customFormat="1" ht="15" customHeight="1">
      <c r="A344" s="35"/>
      <c r="B344" s="35"/>
      <c r="C344" s="35"/>
      <c r="D344" s="35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</row>
    <row r="345" spans="1:19" s="1" customFormat="1" ht="15" customHeight="1">
      <c r="A345" s="35"/>
      <c r="B345" s="35"/>
      <c r="C345" s="35"/>
      <c r="D345" s="35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</row>
    <row r="346" spans="1:19" s="1" customFormat="1" ht="15" customHeight="1">
      <c r="A346" s="35"/>
      <c r="B346" s="35"/>
      <c r="C346" s="35"/>
      <c r="D346" s="35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</row>
    <row r="347" spans="1:19" s="1" customFormat="1" ht="15" customHeight="1">
      <c r="A347" s="35"/>
      <c r="B347" s="35"/>
      <c r="C347" s="35"/>
      <c r="D347" s="35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</row>
    <row r="348" spans="1:19" s="1" customFormat="1" ht="15" customHeight="1">
      <c r="A348" s="35"/>
      <c r="B348" s="35"/>
      <c r="C348" s="35"/>
      <c r="D348" s="35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</row>
    <row r="349" spans="1:19" s="1" customFormat="1" ht="15" customHeight="1">
      <c r="A349" s="35"/>
      <c r="B349" s="35"/>
      <c r="C349" s="35"/>
      <c r="D349" s="35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</row>
    <row r="350" spans="1:19" s="1" customFormat="1" ht="15" customHeight="1">
      <c r="A350" s="35"/>
      <c r="B350" s="35"/>
      <c r="C350" s="35"/>
      <c r="D350" s="35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</row>
    <row r="351" spans="1:19" s="1" customFormat="1" ht="15" customHeight="1">
      <c r="A351" s="35"/>
      <c r="B351" s="35"/>
      <c r="C351" s="35"/>
      <c r="D351" s="35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</row>
    <row r="352" spans="1:19" s="1" customFormat="1" ht="15" customHeight="1">
      <c r="A352" s="35"/>
      <c r="B352" s="35"/>
      <c r="C352" s="35"/>
      <c r="D352" s="35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</row>
    <row r="353" spans="1:19" s="1" customFormat="1" ht="15" customHeight="1">
      <c r="A353" s="35"/>
      <c r="B353" s="35"/>
      <c r="C353" s="35"/>
      <c r="D353" s="35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</row>
    <row r="354" spans="1:19" s="1" customFormat="1" ht="15" customHeight="1">
      <c r="A354" s="35"/>
      <c r="B354" s="35"/>
      <c r="C354" s="35"/>
      <c r="D354" s="35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</row>
    <row r="355" spans="1:19" s="1" customFormat="1" ht="15" customHeight="1">
      <c r="A355" s="35"/>
      <c r="B355" s="35"/>
      <c r="C355" s="35"/>
      <c r="D355" s="35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</row>
    <row r="356" spans="1:19" s="1" customFormat="1" ht="15" customHeight="1">
      <c r="A356" s="35"/>
      <c r="B356" s="35"/>
      <c r="C356" s="35"/>
      <c r="D356" s="35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</row>
    <row r="357" spans="1:19" s="1" customFormat="1" ht="15" customHeight="1">
      <c r="A357" s="35"/>
      <c r="B357" s="35"/>
      <c r="C357" s="35"/>
      <c r="D357" s="35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</row>
    <row r="358" spans="1:19" s="1" customFormat="1" ht="15" customHeight="1">
      <c r="A358" s="35"/>
      <c r="B358" s="35"/>
      <c r="C358" s="35"/>
      <c r="D358" s="35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</row>
    <row r="359" spans="1:19" s="1" customFormat="1" ht="15" customHeight="1">
      <c r="A359" s="35"/>
      <c r="B359" s="35"/>
      <c r="C359" s="35"/>
      <c r="D359" s="35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</row>
    <row r="360" spans="1:19" s="1" customFormat="1" ht="15" customHeight="1">
      <c r="A360" s="35"/>
      <c r="B360" s="35"/>
      <c r="C360" s="35"/>
      <c r="D360" s="35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</row>
    <row r="361" spans="1:19" s="1" customFormat="1" ht="15" customHeight="1">
      <c r="A361" s="35"/>
      <c r="B361" s="35"/>
      <c r="C361" s="35"/>
      <c r="D361" s="35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</row>
    <row r="362" spans="1:19" s="1" customFormat="1" ht="15" customHeight="1">
      <c r="A362" s="35"/>
      <c r="B362" s="35"/>
      <c r="C362" s="35"/>
      <c r="D362" s="35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</row>
    <row r="363" spans="1:19" s="1" customFormat="1" ht="15" customHeight="1">
      <c r="A363" s="35"/>
      <c r="B363" s="35"/>
      <c r="C363" s="35"/>
      <c r="D363" s="35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</row>
    <row r="364" spans="1:19" s="1" customFormat="1" ht="15" customHeight="1">
      <c r="A364" s="35"/>
      <c r="B364" s="35"/>
      <c r="C364" s="35"/>
      <c r="D364" s="35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</row>
    <row r="365" spans="1:19" s="1" customFormat="1" ht="15" customHeight="1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</row>
    <row r="366" spans="1:19" s="1" customFormat="1" ht="15" customHeight="1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</row>
    <row r="367" spans="1:19" s="1" customFormat="1" ht="15" customHeight="1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</row>
    <row r="368" spans="1:19" s="1" customFormat="1" ht="15" customHeight="1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</row>
    <row r="369" spans="1:19" s="1" customFormat="1" ht="15" customHeight="1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</row>
    <row r="370" spans="1:19" s="1" customFormat="1" ht="15" customHeight="1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</row>
    <row r="371" spans="1:19" s="1" customFormat="1" ht="15" customHeight="1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</row>
    <row r="372" spans="1:19" s="1" customFormat="1" ht="15" customHeight="1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</row>
    <row r="373" spans="1:19" s="1" customFormat="1" ht="15" customHeight="1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</row>
    <row r="374" spans="1:19" s="1" customFormat="1" ht="15" customHeight="1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</row>
    <row r="375" spans="1:19" s="1" customFormat="1" ht="15" customHeight="1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</row>
    <row r="376" spans="1:19" s="1" customFormat="1" ht="15" customHeight="1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</row>
    <row r="377" spans="1:19" s="1" customFormat="1" ht="15" customHeight="1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</row>
    <row r="378" spans="1:19" s="1" customFormat="1" ht="15" customHeight="1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</row>
    <row r="379" spans="1:19" s="1" customFormat="1" ht="15" customHeight="1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</row>
    <row r="380" spans="1:19" s="1" customFormat="1" ht="15" customHeight="1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</row>
    <row r="381" spans="1:19" s="1" customFormat="1" ht="15" customHeight="1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</row>
    <row r="382" spans="1:19" s="1" customFormat="1" ht="15" customHeight="1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</row>
    <row r="383" spans="1:19" s="1" customFormat="1" ht="15" customHeight="1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</row>
    <row r="384" spans="1:19" s="1" customFormat="1" ht="15" customHeight="1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</row>
    <row r="385" spans="1:19" s="1" customFormat="1" ht="15" customHeight="1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</row>
    <row r="386" spans="1:19" s="1" customFormat="1" ht="15" customHeight="1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</row>
    <row r="387" spans="1:19" s="1" customFormat="1" ht="15" customHeight="1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</row>
    <row r="388" spans="1:19" s="1" customFormat="1" ht="15" customHeight="1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</row>
    <row r="389" spans="1:19" s="1" customFormat="1" ht="15" customHeight="1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</row>
    <row r="390" spans="1:19" s="1" customFormat="1" ht="15" customHeight="1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</row>
    <row r="391" spans="1:19" s="1" customFormat="1" ht="15" customHeight="1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</row>
    <row r="392" spans="1:19" s="1" customFormat="1" ht="15" customHeight="1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</row>
    <row r="393" spans="1:19" s="1" customFormat="1" ht="15" customHeight="1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</row>
    <row r="394" spans="1:19" s="1" customFormat="1" ht="15" customHeight="1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</row>
    <row r="395" spans="1:19" s="1" customFormat="1" ht="15" customHeight="1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</row>
    <row r="396" spans="1:19" s="1" customFormat="1" ht="15" customHeight="1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</row>
    <row r="397" spans="1:19" s="1" customFormat="1" ht="15" customHeight="1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</row>
    <row r="398" spans="1:19" s="1" customFormat="1" ht="15" customHeight="1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</row>
    <row r="399" spans="1:19" s="1" customFormat="1" ht="15" customHeight="1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</row>
    <row r="400" spans="1:19" s="1" customFormat="1" ht="15" customHeight="1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</row>
    <row r="401" spans="1:19" s="1" customFormat="1" ht="15" customHeight="1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</row>
    <row r="402" spans="1:19" s="1" customFormat="1" ht="15" customHeight="1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</row>
    <row r="403" spans="1:19" s="1" customFormat="1" ht="15" customHeight="1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</row>
    <row r="404" spans="1:19" s="1" customFormat="1" ht="15" customHeight="1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</row>
    <row r="405" spans="1:19" s="1" customFormat="1" ht="15" customHeight="1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</row>
    <row r="406" spans="1:19" s="1" customFormat="1" ht="15" customHeight="1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</row>
    <row r="407" spans="1:19" s="1" customFormat="1" ht="15" customHeight="1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</row>
    <row r="408" spans="1:19" s="1" customFormat="1" ht="15" customHeight="1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</row>
    <row r="409" spans="1:19" s="1" customFormat="1" ht="15" customHeight="1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</row>
    <row r="410" spans="1:19" s="1" customFormat="1" ht="15" customHeight="1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</row>
    <row r="411" spans="1:19" s="1" customFormat="1" ht="15" customHeight="1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</row>
    <row r="412" spans="1:19" s="1" customFormat="1" ht="15" customHeight="1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</row>
    <row r="413" spans="1:19" s="1" customFormat="1" ht="15" customHeight="1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</row>
    <row r="414" spans="1:19" s="1" customFormat="1" ht="15" customHeight="1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</row>
    <row r="415" spans="1:19" s="1" customFormat="1" ht="15" customHeight="1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</row>
    <row r="416" spans="1:19" s="1" customFormat="1" ht="15" customHeight="1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</row>
    <row r="417" spans="1:19" s="1" customFormat="1" ht="15" customHeight="1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</row>
    <row r="418" spans="1:19" s="1" customFormat="1" ht="15" customHeight="1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</row>
    <row r="419" spans="1:19" s="1" customFormat="1" ht="15" customHeight="1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</row>
    <row r="420" spans="1:19" s="1" customFormat="1" ht="15" customHeight="1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</row>
    <row r="421" spans="1:19" s="1" customFormat="1" ht="15" customHeight="1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</row>
    <row r="422" spans="1:19" s="1" customFormat="1" ht="15" customHeight="1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</row>
    <row r="423" spans="1:19" s="1" customFormat="1" ht="15" customHeight="1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</row>
    <row r="424" spans="1:19" s="1" customFormat="1" ht="15" customHeight="1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</row>
    <row r="425" spans="1:19" s="1" customFormat="1" ht="15" customHeight="1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</row>
    <row r="426" spans="1:19" s="1" customFormat="1" ht="15" customHeight="1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</row>
    <row r="427" spans="1:19" s="1" customFormat="1" ht="15" customHeight="1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</row>
    <row r="428" spans="1:19" s="1" customFormat="1" ht="15" customHeight="1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</row>
    <row r="429" spans="1:19" s="1" customFormat="1" ht="15" customHeight="1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</row>
    <row r="430" spans="1:19" s="1" customFormat="1" ht="15" customHeight="1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</row>
    <row r="431" spans="1:19" s="1" customFormat="1" ht="15" customHeight="1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</row>
    <row r="432" spans="1:19" s="1" customFormat="1" ht="15" customHeight="1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</row>
    <row r="433" spans="1:19" s="1" customFormat="1" ht="15" customHeight="1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</row>
    <row r="434" spans="1:19" s="1" customFormat="1" ht="15" customHeight="1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</row>
    <row r="435" spans="1:19" s="1" customFormat="1" ht="15" customHeight="1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</row>
    <row r="436" spans="1:19" s="1" customFormat="1" ht="15" customHeight="1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</row>
    <row r="437" spans="1:19" s="1" customFormat="1" ht="15" customHeight="1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</row>
    <row r="438" spans="1:19" s="1" customFormat="1" ht="15" customHeight="1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</row>
    <row r="439" spans="1:19" s="1" customFormat="1" ht="15" customHeight="1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</row>
    <row r="440" spans="1:19" s="1" customFormat="1" ht="15" customHeight="1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</row>
    <row r="441" spans="1:19" s="1" customFormat="1" ht="15" customHeight="1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</row>
    <row r="442" spans="1:19" s="1" customFormat="1" ht="15" customHeight="1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</row>
    <row r="443" spans="1:19" s="1" customFormat="1" ht="15" customHeight="1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</row>
    <row r="444" spans="1:19" s="1" customFormat="1" ht="15" customHeight="1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</row>
    <row r="445" spans="1:19" s="1" customFormat="1" ht="15" customHeight="1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</row>
    <row r="446" spans="1:19" s="1" customFormat="1" ht="15" customHeight="1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</row>
    <row r="447" spans="1:19" s="1" customFormat="1" ht="15" customHeight="1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</row>
    <row r="448" spans="1:19" s="1" customFormat="1" ht="15" customHeight="1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</row>
    <row r="449" spans="1:19" s="1" customFormat="1" ht="15" customHeight="1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</row>
    <row r="450" spans="1:19" s="1" customFormat="1" ht="15" customHeight="1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</row>
    <row r="451" spans="1:19" s="1" customFormat="1" ht="15" customHeight="1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</row>
    <row r="452" spans="1:19" s="1" customFormat="1" ht="15" customHeight="1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</row>
    <row r="453" spans="1:19" s="1" customFormat="1" ht="15" customHeight="1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</row>
    <row r="454" spans="1:19" s="1" customFormat="1" ht="15" customHeight="1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</row>
    <row r="455" spans="1:19" s="1" customFormat="1" ht="15" customHeight="1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</row>
    <row r="456" spans="1:19" s="1" customFormat="1" ht="15" customHeight="1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</row>
    <row r="457" spans="1:19" s="1" customFormat="1" ht="15" customHeight="1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</row>
    <row r="458" spans="1:19" s="1" customFormat="1" ht="15" customHeight="1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</row>
    <row r="459" spans="1:19" s="1" customFormat="1" ht="15" customHeight="1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</row>
    <row r="460" spans="1:19" s="1" customFormat="1" ht="15" customHeight="1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</row>
    <row r="461" spans="1:19" s="1" customFormat="1" ht="15" customHeight="1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</row>
    <row r="462" spans="1:19" s="1" customFormat="1" ht="15" customHeight="1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</row>
    <row r="463" spans="1:19" s="1" customFormat="1" ht="15" customHeight="1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</row>
    <row r="464" spans="1:19" s="1" customFormat="1" ht="15" customHeight="1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</row>
    <row r="465" spans="1:19" s="1" customFormat="1" ht="15" customHeight="1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</row>
    <row r="466" spans="1:19" s="1" customFormat="1" ht="15" customHeight="1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</row>
    <row r="467" spans="1:19" s="1" customFormat="1" ht="15" customHeight="1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</row>
    <row r="468" spans="1:19" s="1" customFormat="1" ht="15" customHeight="1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</row>
    <row r="469" spans="1:19" s="1" customFormat="1" ht="15" customHeight="1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</row>
    <row r="470" spans="1:19" s="1" customFormat="1" ht="15" customHeight="1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</row>
    <row r="471" spans="1:19" s="1" customFormat="1" ht="15" customHeight="1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</row>
    <row r="472" spans="1:19" s="1" customFormat="1" ht="15" customHeight="1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</row>
    <row r="473" spans="1:19" s="1" customFormat="1" ht="15" customHeight="1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</row>
    <row r="474" spans="1:19" s="1" customFormat="1" ht="15" customHeight="1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</row>
    <row r="475" spans="1:19" s="1" customFormat="1" ht="15" customHeight="1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</row>
    <row r="476" spans="1:19" s="1" customFormat="1" ht="15" customHeight="1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</row>
    <row r="477" spans="1:19" s="1" customFormat="1" ht="15" customHeight="1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</row>
    <row r="478" spans="1:19" s="1" customFormat="1" ht="15" customHeight="1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</row>
    <row r="479" spans="1:19" s="1" customFormat="1" ht="15" customHeight="1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</row>
    <row r="480" spans="1:19" s="1" customFormat="1" ht="15" customHeight="1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</row>
    <row r="481" spans="1:19" s="1" customFormat="1" ht="15" customHeight="1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</row>
    <row r="482" spans="1:19" s="1" customFormat="1" ht="15" customHeight="1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</row>
    <row r="483" spans="1:19" s="1" customFormat="1" ht="15" customHeight="1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</row>
    <row r="484" spans="1:19" s="1" customFormat="1" ht="15" customHeight="1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</row>
    <row r="485" spans="1:19" s="1" customFormat="1" ht="15" customHeight="1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</row>
    <row r="486" spans="1:19" s="1" customFormat="1" ht="15" customHeight="1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</row>
    <row r="487" spans="1:19" s="1" customFormat="1" ht="15" customHeight="1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</row>
    <row r="488" spans="1:19" s="1" customFormat="1" ht="15" customHeight="1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</row>
    <row r="489" spans="1:19" s="1" customFormat="1" ht="15" customHeight="1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</row>
    <row r="490" spans="1:19" s="1" customFormat="1" ht="15" customHeight="1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</row>
    <row r="491" spans="1:19" s="1" customFormat="1" ht="15" customHeight="1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</row>
    <row r="492" spans="1:19" s="1" customFormat="1" ht="15" customHeight="1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</row>
    <row r="493" spans="1:19" s="1" customFormat="1" ht="15" customHeight="1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</row>
    <row r="494" spans="1:19" s="1" customFormat="1" ht="15" customHeight="1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</row>
    <row r="495" spans="1:19" s="1" customFormat="1" ht="15" customHeight="1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</row>
    <row r="496" spans="1:19" s="1" customFormat="1" ht="15" customHeight="1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</row>
    <row r="497" spans="1:19" s="1" customFormat="1" ht="15" customHeight="1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</row>
    <row r="498" spans="1:19" s="1" customFormat="1" ht="15" customHeight="1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</row>
    <row r="499" spans="1:19" s="1" customFormat="1" ht="15" customHeight="1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</row>
    <row r="500" spans="1:19" s="1" customFormat="1" ht="15" customHeight="1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</row>
    <row r="501" spans="1:19" s="1" customFormat="1" ht="15" customHeight="1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</row>
    <row r="502" spans="1:19" s="1" customFormat="1" ht="15" customHeight="1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</row>
    <row r="503" spans="1:19" s="1" customFormat="1" ht="15" customHeight="1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</row>
    <row r="504" spans="1:19" s="1" customFormat="1" ht="15" customHeight="1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</row>
    <row r="505" spans="1:19" s="1" customFormat="1" ht="15" customHeight="1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</row>
    <row r="506" spans="1:19" s="1" customFormat="1" ht="15" customHeight="1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</row>
    <row r="507" spans="1:19" s="1" customFormat="1" ht="15" customHeight="1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</row>
    <row r="508" spans="1:19" s="1" customFormat="1" ht="15" customHeight="1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</row>
    <row r="509" spans="1:19" s="1" customFormat="1" ht="15" customHeight="1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</row>
    <row r="510" spans="1:19" s="1" customFormat="1" ht="15" customHeight="1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</row>
    <row r="511" spans="1:19" s="1" customFormat="1" ht="15" customHeight="1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</row>
    <row r="512" spans="1:19" s="1" customFormat="1" ht="15" customHeight="1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</row>
    <row r="513" spans="1:19" s="1" customFormat="1" ht="15" customHeight="1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</row>
    <row r="514" spans="1:19" s="1" customFormat="1" ht="15" customHeight="1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</row>
    <row r="515" spans="1:19" s="1" customFormat="1" ht="15" customHeight="1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</row>
    <row r="516" spans="1:19" s="1" customFormat="1" ht="15" customHeight="1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</row>
    <row r="517" spans="1:19" s="1" customFormat="1" ht="15" customHeight="1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</row>
    <row r="518" spans="1:19" s="1" customFormat="1" ht="15" customHeight="1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</row>
    <row r="519" spans="1:19" s="1" customFormat="1" ht="15" customHeight="1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</row>
    <row r="520" spans="1:19" s="1" customFormat="1" ht="15" customHeight="1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</row>
    <row r="521" spans="1:19" s="1" customFormat="1" ht="15" customHeight="1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</row>
    <row r="522" spans="1:19" s="1" customFormat="1" ht="15" customHeight="1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</row>
    <row r="523" spans="1:19" s="1" customFormat="1" ht="15" customHeight="1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</row>
    <row r="524" spans="1:19" s="1" customFormat="1" ht="15" customHeight="1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</row>
    <row r="525" spans="1:19" s="1" customFormat="1" ht="15" customHeight="1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</row>
    <row r="526" spans="1:19" s="1" customFormat="1" ht="15" customHeight="1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</row>
    <row r="527" spans="1:19" s="1" customFormat="1" ht="15" customHeight="1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</row>
    <row r="528" spans="1:19" s="1" customFormat="1" ht="15" customHeight="1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</row>
    <row r="529" spans="1:19" s="1" customFormat="1" ht="15" customHeight="1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</row>
    <row r="530" spans="1:19" s="1" customFormat="1" ht="15" customHeight="1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</row>
    <row r="531" spans="1:19" s="1" customFormat="1" ht="15" customHeight="1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</row>
    <row r="532" spans="1:19" s="1" customFormat="1" ht="15" customHeight="1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</row>
    <row r="533" spans="1:19" s="1" customFormat="1" ht="15" customHeight="1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</row>
    <row r="534" spans="1:19" s="1" customFormat="1" ht="15" customHeight="1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</row>
    <row r="535" spans="1:19" s="1" customFormat="1" ht="15" customHeight="1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</row>
    <row r="536" spans="1:19" s="1" customFormat="1" ht="15" customHeight="1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</row>
    <row r="537" spans="1:19" s="1" customFormat="1" ht="15" customHeight="1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</row>
    <row r="538" spans="1:19" s="1" customFormat="1" ht="15" customHeight="1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</row>
    <row r="539" spans="1:19" s="1" customFormat="1" ht="15" customHeight="1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</row>
    <row r="540" spans="1:19" s="1" customFormat="1" ht="15" customHeight="1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</row>
    <row r="541" spans="1:19" s="1" customFormat="1" ht="15" customHeight="1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</row>
    <row r="542" spans="1:19" s="1" customFormat="1" ht="15" customHeight="1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</row>
    <row r="543" spans="1:19" s="1" customFormat="1" ht="15" customHeight="1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</row>
    <row r="544" spans="1:19" s="1" customFormat="1" ht="15" customHeight="1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</row>
    <row r="545" spans="1:19" s="1" customFormat="1" ht="15" customHeight="1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</row>
    <row r="546" spans="1:19" s="1" customFormat="1" ht="15" customHeight="1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</row>
    <row r="547" spans="1:19" s="1" customFormat="1" ht="15" customHeight="1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</row>
    <row r="548" spans="1:19" s="1" customFormat="1" ht="15" customHeight="1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</row>
    <row r="549" spans="1:19" s="1" customFormat="1" ht="15" customHeight="1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</row>
    <row r="550" spans="1:19" s="1" customFormat="1" ht="15" customHeight="1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</row>
    <row r="551" spans="1:19" s="1" customFormat="1" ht="15" customHeight="1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</row>
    <row r="552" spans="1:19" s="1" customFormat="1" ht="15" customHeight="1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</row>
    <row r="553" spans="1:19" s="1" customFormat="1" ht="15" customHeight="1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</row>
    <row r="554" spans="1:19" s="1" customFormat="1" ht="15" customHeight="1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</row>
    <row r="555" spans="1:19" s="1" customFormat="1" ht="15" customHeight="1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</row>
    <row r="556" spans="1:19" s="1" customFormat="1" ht="15" customHeight="1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</row>
    <row r="557" spans="1:19" s="1" customFormat="1" ht="15" customHeight="1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</row>
    <row r="558" spans="1:19" s="1" customFormat="1" ht="15" customHeight="1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</row>
    <row r="559" spans="1:19" s="1" customFormat="1" ht="15" customHeight="1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</row>
    <row r="560" spans="1:19" s="1" customFormat="1" ht="15" customHeight="1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</row>
    <row r="561" spans="1:19" s="1" customFormat="1" ht="15" customHeight="1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</row>
    <row r="562" spans="1:19" s="1" customFormat="1" ht="15" customHeight="1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</row>
    <row r="563" spans="1:19" s="1" customFormat="1" ht="15" customHeight="1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</row>
    <row r="564" spans="1:19" s="1" customFormat="1" ht="15" customHeight="1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</row>
    <row r="565" spans="1:19" s="1" customFormat="1" ht="15" customHeight="1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</row>
    <row r="566" spans="1:19" s="1" customFormat="1" ht="15" customHeight="1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</row>
    <row r="567" spans="1:19" s="1" customFormat="1" ht="15" customHeight="1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</row>
    <row r="568" spans="1:19" s="1" customFormat="1" ht="15" customHeight="1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</row>
    <row r="569" spans="1:19" s="1" customFormat="1" ht="15" customHeight="1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</row>
    <row r="570" spans="1:19" s="1" customFormat="1" ht="15" customHeight="1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</row>
    <row r="571" spans="1:19" s="1" customFormat="1" ht="15" customHeight="1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</row>
    <row r="572" spans="1:19" s="1" customFormat="1" ht="15" customHeight="1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</row>
    <row r="573" spans="1:19" s="1" customFormat="1" ht="15" customHeight="1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</row>
    <row r="574" spans="1:19" s="1" customFormat="1" ht="15" customHeight="1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</row>
    <row r="575" spans="1:19" s="1" customFormat="1" ht="15" customHeight="1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</row>
    <row r="576" spans="1:19" s="1" customFormat="1" ht="15" customHeight="1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</row>
    <row r="577" spans="1:19" s="1" customFormat="1" ht="15" customHeight="1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</row>
    <row r="578" spans="1:19" s="1" customFormat="1" ht="15" customHeight="1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</row>
    <row r="579" spans="1:19" s="1" customFormat="1" ht="15" customHeight="1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</row>
    <row r="580" spans="1:19" s="1" customFormat="1" ht="15" customHeight="1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</row>
    <row r="581" spans="1:19" s="1" customFormat="1" ht="15" customHeight="1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</row>
    <row r="582" spans="1:19" s="1" customFormat="1" ht="15" customHeight="1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</row>
    <row r="583" spans="1:19" s="1" customFormat="1" ht="15" customHeight="1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</row>
    <row r="584" spans="1:19" s="1" customFormat="1" ht="15" customHeight="1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</row>
    <row r="585" spans="1:19" s="1" customFormat="1" ht="15" customHeight="1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</row>
    <row r="586" spans="1:19" s="1" customFormat="1" ht="15" customHeight="1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</row>
    <row r="587" spans="1:19" s="1" customFormat="1" ht="15" customHeight="1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</row>
    <row r="588" spans="1:19" s="1" customFormat="1" ht="15" customHeight="1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</row>
    <row r="589" spans="1:19" s="1" customFormat="1" ht="15" customHeight="1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</row>
    <row r="590" spans="1:19" s="1" customFormat="1" ht="15" customHeight="1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</row>
    <row r="591" spans="1:19" s="1" customFormat="1" ht="15" customHeight="1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</row>
    <row r="592" spans="1:19" s="1" customFormat="1" ht="15" customHeight="1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</row>
    <row r="593" spans="1:19" s="1" customFormat="1" ht="15" customHeight="1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</row>
    <row r="594" spans="1:19" s="1" customFormat="1" ht="15" customHeight="1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</row>
    <row r="595" spans="1:19" s="1" customFormat="1" ht="15" customHeight="1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</row>
    <row r="596" spans="1:19" s="1" customFormat="1" ht="15" customHeight="1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</row>
    <row r="597" spans="1:19" s="1" customFormat="1" ht="15" customHeight="1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</row>
    <row r="598" spans="1:19" s="1" customFormat="1" ht="15" customHeight="1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</row>
    <row r="599" spans="1:19" s="1" customFormat="1" ht="15" customHeight="1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</row>
    <row r="600" spans="1:19" s="1" customFormat="1" ht="15" customHeight="1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</row>
    <row r="601" spans="1:19" s="1" customFormat="1" ht="15" customHeight="1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</row>
    <row r="602" spans="1:19" s="1" customFormat="1" ht="15" customHeight="1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</row>
    <row r="603" spans="1:19" s="1" customFormat="1" ht="15" customHeight="1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</row>
    <row r="604" spans="1:19" s="1" customFormat="1" ht="15" customHeight="1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</row>
    <row r="605" spans="1:19" s="1" customFormat="1" ht="15" customHeight="1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</row>
    <row r="606" spans="1:19" s="1" customFormat="1" ht="15" customHeight="1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</row>
    <row r="607" spans="1:19" s="1" customFormat="1" ht="15" customHeight="1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</row>
    <row r="608" spans="1:19" s="1" customFormat="1" ht="15" customHeight="1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</row>
    <row r="609" spans="1:19" s="1" customFormat="1" ht="15" customHeight="1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</row>
    <row r="610" spans="1:19" s="1" customFormat="1" ht="15" customHeight="1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</row>
    <row r="611" spans="1:19" s="1" customFormat="1" ht="15" customHeight="1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</row>
    <row r="612" spans="1:19" s="1" customFormat="1" ht="15" customHeight="1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</row>
    <row r="613" spans="1:19" s="1" customFormat="1" ht="15" customHeight="1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</row>
    <row r="614" spans="1:19" s="1" customFormat="1" ht="15" customHeight="1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</row>
    <row r="615" spans="1:19" s="1" customFormat="1" ht="15" customHeight="1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</row>
    <row r="616" spans="1:19" s="1" customFormat="1" ht="15" customHeight="1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</row>
    <row r="617" spans="1:19" s="1" customFormat="1" ht="15" customHeight="1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</row>
    <row r="618" spans="1:19" s="1" customFormat="1" ht="15" customHeight="1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</row>
    <row r="619" spans="1:19" s="1" customFormat="1" ht="15" customHeight="1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</row>
    <row r="620" spans="1:19" s="1" customFormat="1" ht="15" customHeight="1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</row>
    <row r="621" spans="1:19" s="1" customFormat="1" ht="15" customHeight="1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</row>
    <row r="622" spans="1:19" s="1" customFormat="1" ht="15" customHeight="1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</row>
    <row r="623" spans="1:19" s="1" customFormat="1" ht="15" customHeight="1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</row>
    <row r="624" spans="1:19" s="1" customFormat="1" ht="15" customHeight="1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</row>
    <row r="625" spans="1:19" s="1" customFormat="1" ht="15" customHeight="1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</row>
    <row r="626" spans="1:19" s="1" customFormat="1" ht="15" customHeight="1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</row>
    <row r="627" spans="1:19" s="1" customFormat="1" ht="15" customHeight="1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</row>
    <row r="628" spans="1:19" s="1" customFormat="1" ht="15" customHeight="1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</row>
    <row r="629" spans="1:19" s="1" customFormat="1" ht="15" customHeight="1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</row>
    <row r="630" spans="1:19" s="1" customFormat="1" ht="15" customHeight="1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</row>
    <row r="631" spans="1:19" s="1" customFormat="1" ht="15" customHeight="1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</row>
    <row r="632" spans="1:19" s="1" customFormat="1" ht="15" customHeight="1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</row>
    <row r="633" spans="1:19" s="1" customFormat="1" ht="15" customHeight="1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</row>
    <row r="634" spans="1:19" s="1" customFormat="1" ht="15" customHeight="1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</row>
    <row r="635" spans="1:19" s="1" customFormat="1" ht="15" customHeight="1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</row>
    <row r="636" spans="1:19" s="1" customFormat="1" ht="15" customHeight="1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</row>
    <row r="637" spans="1:19" s="1" customFormat="1" ht="15" customHeight="1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</row>
    <row r="638" spans="1:19" s="1" customFormat="1" ht="15" customHeight="1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</row>
    <row r="639" spans="1:19" s="1" customFormat="1" ht="15" customHeight="1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</row>
    <row r="640" spans="1:19" s="1" customFormat="1" ht="15" customHeight="1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</row>
    <row r="641" spans="1:19" s="1" customFormat="1" ht="15" customHeight="1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</row>
    <row r="642" spans="1:19" s="1" customFormat="1" ht="15" customHeight="1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</row>
    <row r="643" spans="1:19" s="1" customFormat="1" ht="15" customHeight="1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</row>
    <row r="644" spans="1:19" s="1" customFormat="1" ht="15" customHeight="1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</row>
    <row r="645" spans="1:19" s="1" customFormat="1" ht="15" customHeight="1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</row>
    <row r="646" spans="1:19" s="1" customFormat="1" ht="15" customHeight="1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</row>
    <row r="647" spans="1:19" s="1" customFormat="1" ht="15" customHeight="1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</row>
    <row r="648" spans="1:19" s="1" customFormat="1" ht="15" customHeight="1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</row>
    <row r="649" spans="1:19" s="1" customFormat="1" ht="15" customHeight="1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</row>
    <row r="650" spans="1:19" s="1" customFormat="1" ht="15" customHeight="1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</row>
    <row r="651" spans="1:19" s="1" customFormat="1" ht="15" customHeight="1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</row>
    <row r="652" spans="1:19" s="1" customFormat="1" ht="15" customHeight="1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</row>
    <row r="653" spans="1:19" s="1" customFormat="1" ht="15" customHeight="1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</row>
    <row r="654" spans="1:19" s="1" customFormat="1" ht="15" customHeight="1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</row>
    <row r="655" spans="1:19" s="1" customFormat="1" ht="15" customHeight="1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</row>
    <row r="656" spans="1:19" s="1" customFormat="1" ht="15" customHeight="1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</row>
    <row r="657" spans="1:19" s="1" customFormat="1" ht="15" customHeight="1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</row>
    <row r="658" spans="1:19" s="1" customFormat="1" ht="15" customHeight="1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</row>
    <row r="659" spans="1:19" s="1" customFormat="1" ht="15" customHeight="1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</row>
    <row r="660" spans="1:19" s="1" customFormat="1" ht="1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</row>
    <row r="661" spans="1:19" s="1" customFormat="1" ht="1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</row>
    <row r="662" spans="1:19" s="1" customFormat="1" ht="1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</row>
    <row r="663" spans="1:19" s="1" customFormat="1" ht="1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</row>
    <row r="664" spans="1:19" s="1" customFormat="1" ht="1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</row>
    <row r="665" spans="1:19" s="1" customFormat="1" ht="1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</row>
    <row r="666" spans="1:19" s="1" customFormat="1" ht="1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</row>
    <row r="667" spans="1:19" s="1" customFormat="1" ht="1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</row>
    <row r="668" spans="1:19" s="1" customFormat="1" ht="1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</row>
    <row r="669" spans="1:19" s="1" customFormat="1" ht="1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</row>
    <row r="670" spans="1:19" s="1" customFormat="1" ht="1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</row>
    <row r="671" spans="1:19" s="1" customFormat="1" ht="1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</row>
    <row r="672" spans="1:19" s="1" customFormat="1" ht="1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</row>
    <row r="673" spans="1:19" s="1" customFormat="1" ht="1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</row>
    <row r="674" spans="1:19" s="1" customFormat="1" ht="1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</row>
    <row r="675" spans="1:19" s="1" customFormat="1" ht="1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</row>
    <row r="676" spans="1:19" s="1" customFormat="1" ht="1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</row>
    <row r="677" spans="1:19" s="1" customFormat="1" ht="1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</row>
    <row r="678" spans="1:19" s="1" customFormat="1" ht="1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</row>
    <row r="679" spans="1:19" s="1" customFormat="1" ht="1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</row>
    <row r="680" spans="1:19" s="1" customFormat="1" ht="1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</row>
    <row r="681" spans="1:19" s="1" customFormat="1" ht="1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</row>
    <row r="682" spans="1:19" s="1" customFormat="1" ht="1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</row>
    <row r="683" spans="1:19" s="1" customFormat="1" ht="1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</row>
    <row r="684" spans="1:19" s="1" customFormat="1" ht="1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</row>
    <row r="685" spans="1:19" s="1" customFormat="1" ht="1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</row>
    <row r="686" spans="1:19" s="1" customFormat="1" ht="1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</row>
    <row r="687" spans="1:19" s="1" customFormat="1" ht="1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</row>
    <row r="688" spans="1:19" s="1" customFormat="1" ht="1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</row>
    <row r="689" spans="1:19" s="1" customFormat="1" ht="1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</row>
    <row r="690" spans="1:19" s="1" customFormat="1" ht="1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</row>
    <row r="691" spans="1:19" s="1" customFormat="1" ht="1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</row>
    <row r="692" spans="1:19" s="1" customFormat="1" ht="1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</row>
    <row r="693" spans="1:19" s="1" customFormat="1" ht="1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</row>
    <row r="694" spans="1:19" s="1" customFormat="1" ht="1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</row>
    <row r="695" spans="1:19" s="1" customFormat="1" ht="1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</row>
    <row r="696" spans="1:19" s="1" customFormat="1" ht="1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</row>
    <row r="697" spans="1:19" s="1" customFormat="1" ht="1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</row>
    <row r="698" spans="1:19" s="1" customFormat="1" ht="1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</row>
    <row r="699" spans="1:19" s="1" customFormat="1" ht="1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</row>
    <row r="700" spans="1:19" s="1" customFormat="1" ht="1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</row>
    <row r="701" spans="1:19" s="1" customFormat="1" ht="1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</row>
    <row r="702" spans="1:19" s="1" customFormat="1" ht="1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</row>
    <row r="703" spans="1:19" s="1" customFormat="1" ht="1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</row>
    <row r="704" spans="1:19" s="1" customFormat="1" ht="1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</row>
    <row r="705" spans="1:19" s="1" customFormat="1" ht="1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</row>
    <row r="706" spans="1:19" s="1" customFormat="1" ht="1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</row>
    <row r="707" spans="1:19" s="1" customFormat="1" ht="1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</row>
    <row r="708" spans="1:19" s="1" customFormat="1" ht="1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</row>
    <row r="709" spans="1:19" s="1" customFormat="1" ht="1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</row>
    <row r="710" spans="1:19" s="1" customFormat="1" ht="1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</row>
    <row r="711" spans="1:19" s="1" customFormat="1" ht="1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</row>
    <row r="712" spans="1:19" s="1" customFormat="1" ht="1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</row>
    <row r="713" spans="1:19" s="1" customFormat="1" ht="1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</row>
    <row r="714" spans="1:19" s="1" customFormat="1" ht="1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</row>
    <row r="715" spans="1:19" s="1" customFormat="1" ht="1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</row>
    <row r="716" spans="1:19" s="1" customFormat="1" ht="1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</row>
    <row r="717" spans="1:19" s="1" customFormat="1" ht="1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</row>
    <row r="718" spans="1:19" s="1" customFormat="1" ht="1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</row>
    <row r="719" spans="1:19" s="1" customFormat="1" ht="1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</row>
    <row r="720" spans="1:19" s="1" customFormat="1" ht="1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</row>
    <row r="721" spans="1:19" s="1" customFormat="1" ht="1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</row>
    <row r="722" spans="1:19" s="1" customFormat="1" ht="1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</row>
    <row r="723" spans="1:19" s="1" customFormat="1" ht="1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</row>
    <row r="724" spans="1:19" s="1" customFormat="1" ht="1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</row>
    <row r="725" spans="1:19" s="1" customFormat="1" ht="1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</row>
    <row r="726" spans="1:19" s="1" customFormat="1" ht="1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</row>
    <row r="727" spans="1:19" s="1" customFormat="1" ht="1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</row>
    <row r="728" spans="1:19" s="1" customFormat="1" ht="1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</row>
    <row r="729" spans="1:19" s="1" customFormat="1" ht="1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</row>
    <row r="730" spans="1:19" s="1" customFormat="1" ht="1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</row>
    <row r="731" spans="1:19" s="1" customFormat="1" ht="1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</row>
    <row r="732" spans="1:19" s="1" customFormat="1" ht="1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</row>
    <row r="733" spans="1:19" s="1" customFormat="1" ht="1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</row>
    <row r="734" spans="1:19" s="1" customFormat="1" ht="1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</row>
    <row r="735" spans="1:19" s="1" customFormat="1" ht="1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</row>
    <row r="736" spans="1:19" s="1" customFormat="1" ht="1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</row>
    <row r="737" spans="1:19" s="1" customFormat="1" ht="1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</row>
    <row r="738" spans="1:19" s="1" customFormat="1" ht="1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</row>
    <row r="739" spans="1:19" s="1" customFormat="1" ht="1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</row>
    <row r="740" spans="1:19" s="1" customFormat="1" ht="1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</row>
    <row r="741" spans="1:19" s="1" customFormat="1" ht="1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</row>
    <row r="742" spans="1:19" s="1" customFormat="1" ht="1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</row>
    <row r="743" spans="1:19" s="1" customFormat="1" ht="1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</row>
    <row r="744" spans="1:19" s="1" customFormat="1" ht="1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</row>
    <row r="745" spans="1:19" s="1" customFormat="1" ht="1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</row>
    <row r="746" spans="1:19" s="1" customFormat="1" ht="1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</row>
    <row r="747" spans="1:19" s="1" customFormat="1" ht="1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</row>
    <row r="748" spans="1:19" s="1" customFormat="1" ht="1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</row>
    <row r="749" spans="1:19" s="1" customFormat="1" ht="1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</row>
    <row r="750" spans="1:19" s="1" customFormat="1" ht="1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</row>
    <row r="751" spans="1:19" s="1" customFormat="1" ht="1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</row>
    <row r="752" spans="1:19" s="1" customFormat="1" ht="1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</row>
    <row r="753" spans="1:19" s="1" customFormat="1" ht="1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</row>
    <row r="754" spans="1:19" s="1" customFormat="1" ht="1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</row>
    <row r="755" spans="1:19" s="1" customFormat="1" ht="1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</row>
    <row r="756" spans="1:19" s="1" customFormat="1" ht="1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</row>
    <row r="757" spans="1:19" s="1" customFormat="1" ht="1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</row>
    <row r="758" spans="1:19" s="1" customFormat="1" ht="1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</row>
    <row r="759" spans="1:19" s="1" customFormat="1" ht="1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</row>
    <row r="760" spans="1:19" s="1" customFormat="1" ht="1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</row>
    <row r="761" spans="1:19" s="1" customFormat="1" ht="1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</row>
    <row r="762" spans="1:19" s="1" customFormat="1" ht="1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</row>
    <row r="763" spans="1:19" s="1" customFormat="1" ht="1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</row>
    <row r="764" spans="1:19" s="1" customFormat="1" ht="1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</row>
    <row r="765" spans="1:19" s="1" customFormat="1" ht="1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</row>
    <row r="766" spans="1:19" s="1" customFormat="1" ht="1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</row>
    <row r="767" spans="1:19" s="1" customFormat="1" ht="1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</row>
    <row r="768" spans="1:19" s="1" customFormat="1" ht="1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</row>
    <row r="769" spans="1:19" s="1" customFormat="1" ht="1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</row>
    <row r="770" spans="1:19" s="1" customFormat="1" ht="1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</row>
    <row r="771" spans="1:19" s="1" customFormat="1" ht="1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</row>
    <row r="772" spans="1:19" s="1" customFormat="1" ht="1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</row>
    <row r="773" spans="1:19" s="1" customFormat="1" ht="1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</row>
    <row r="774" spans="1:19" s="1" customFormat="1" ht="1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</row>
    <row r="775" spans="1:19" s="1" customFormat="1" ht="1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</row>
    <row r="776" spans="1:19" s="1" customFormat="1" ht="1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</row>
    <row r="777" spans="1:19" s="1" customFormat="1" ht="1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</row>
    <row r="778" spans="1:19" s="1" customFormat="1" ht="1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</row>
    <row r="779" spans="1:19" s="1" customFormat="1" ht="1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</row>
    <row r="780" spans="1:19" s="1" customFormat="1" ht="1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</row>
    <row r="781" spans="1:19" s="1" customFormat="1" ht="1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</row>
    <row r="782" spans="1:19" s="1" customFormat="1" ht="1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</row>
    <row r="783" spans="1:19" s="1" customFormat="1" ht="1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</row>
    <row r="784" spans="1:19" s="1" customFormat="1" ht="1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</row>
    <row r="785" spans="1:19" s="1" customFormat="1" ht="1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</row>
    <row r="786" spans="1:19" s="1" customFormat="1" ht="1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</row>
    <row r="787" spans="1:19" s="1" customFormat="1" ht="1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</row>
    <row r="788" spans="1:19" s="1" customFormat="1" ht="1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</row>
    <row r="789" spans="1:19" s="1" customFormat="1" ht="1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</row>
    <row r="790" spans="1:19" s="1" customFormat="1" ht="1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</row>
    <row r="791" spans="1:19" s="1" customFormat="1" ht="1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</row>
    <row r="792" spans="1:19" s="1" customFormat="1" ht="1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</row>
    <row r="793" spans="1:19" s="1" customFormat="1" ht="1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</row>
    <row r="794" spans="1:19" s="1" customFormat="1" ht="1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</row>
    <row r="795" spans="1:19" s="1" customFormat="1" ht="1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</row>
    <row r="796" spans="1:19" s="1" customFormat="1" ht="1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</row>
    <row r="797" spans="1:19" s="1" customFormat="1" ht="1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</row>
    <row r="798" spans="1:19" s="1" customFormat="1" ht="1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</row>
    <row r="799" spans="1:19" s="1" customFormat="1" ht="1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</row>
    <row r="800" spans="1:19" s="1" customFormat="1" ht="1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</row>
    <row r="801" spans="1:19" s="1" customFormat="1" ht="1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</row>
    <row r="802" spans="1:19" s="1" customFormat="1" ht="1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</row>
    <row r="803" spans="1:19" s="1" customFormat="1" ht="1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</row>
    <row r="804" spans="1:19" s="1" customFormat="1" ht="1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</row>
    <row r="805" spans="1:19" s="1" customFormat="1" ht="1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</row>
    <row r="806" spans="1:19" s="1" customFormat="1" ht="1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</row>
    <row r="807" spans="1:19" s="1" customFormat="1" ht="1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</row>
    <row r="808" spans="1:19" s="1" customFormat="1" ht="1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</row>
    <row r="809" spans="1:19" s="1" customFormat="1" ht="1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</row>
    <row r="810" spans="1:19" s="1" customFormat="1" ht="1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</row>
    <row r="811" spans="1:19" s="1" customFormat="1" ht="1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</row>
    <row r="812" spans="1:19" s="1" customFormat="1" ht="1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</row>
    <row r="813" spans="1:19" s="1" customFormat="1" ht="1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</row>
    <row r="814" spans="1:19" s="1" customFormat="1" ht="1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</row>
    <row r="815" spans="1:19" s="1" customFormat="1" ht="1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</row>
    <row r="816" spans="1:19" s="1" customFormat="1" ht="1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</row>
    <row r="817" spans="1:19" s="1" customFormat="1" ht="1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</row>
    <row r="818" spans="1:19" s="1" customFormat="1" ht="1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</row>
    <row r="819" spans="1:19" s="1" customFormat="1" ht="1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</row>
    <row r="820" spans="1:19" s="1" customFormat="1" ht="1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</row>
    <row r="821" spans="1:19" s="1" customFormat="1" ht="1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</row>
    <row r="822" spans="1:19" s="1" customFormat="1" ht="1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</row>
    <row r="823" spans="1:19" s="1" customFormat="1" ht="1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</row>
    <row r="824" spans="1:19" s="1" customFormat="1" ht="1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</row>
    <row r="825" spans="1:19" s="1" customFormat="1" ht="1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</row>
    <row r="826" spans="1:19" s="1" customFormat="1" ht="1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</row>
    <row r="827" spans="1:19" s="1" customFormat="1" ht="1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</row>
    <row r="828" spans="1:19" s="1" customFormat="1" ht="1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</row>
    <row r="829" spans="1:19" s="1" customFormat="1" ht="1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</row>
    <row r="830" spans="1:19" s="1" customFormat="1" ht="1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</row>
    <row r="831" spans="1:19" s="1" customFormat="1" ht="1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</row>
    <row r="832" spans="1:19" s="1" customFormat="1" ht="1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</row>
    <row r="833" spans="1:19" s="1" customFormat="1" ht="1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</row>
    <row r="834" spans="1:19" s="1" customFormat="1" ht="1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</row>
    <row r="835" spans="1:19" s="1" customFormat="1" ht="1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</row>
    <row r="836" spans="1:19" s="1" customFormat="1" ht="1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</row>
    <row r="837" spans="1:19" s="1" customFormat="1" ht="1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</row>
    <row r="838" spans="1:19" s="1" customFormat="1" ht="1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</row>
    <row r="839" spans="1:19" s="1" customFormat="1" ht="1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</row>
    <row r="840" spans="1:19" s="1" customFormat="1" ht="1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</row>
    <row r="841" spans="1:19" s="1" customFormat="1" ht="1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</row>
    <row r="842" spans="1:19" s="1" customFormat="1" ht="1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</row>
    <row r="843" spans="1:19" s="1" customFormat="1" ht="1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</row>
    <row r="844" spans="1:19" s="1" customFormat="1" ht="1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</row>
    <row r="845" spans="1:19" s="1" customFormat="1" ht="1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</row>
    <row r="846" spans="1:19" s="1" customFormat="1" ht="1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</row>
    <row r="847" spans="1:19" s="1" customFormat="1" ht="1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</row>
    <row r="848" spans="1:19" s="1" customFormat="1" ht="1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</row>
    <row r="849" spans="1:19" s="1" customFormat="1" ht="1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</row>
    <row r="850" spans="1:19" s="1" customFormat="1" ht="1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</row>
    <row r="851" spans="1:19" s="1" customFormat="1" ht="1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</row>
    <row r="852" spans="1:19" s="1" customFormat="1" ht="1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</row>
    <row r="853" spans="1:19" s="1" customFormat="1" ht="1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</row>
    <row r="854" spans="1:19" s="1" customFormat="1" ht="1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</row>
    <row r="855" spans="1:19" s="1" customFormat="1" ht="1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</row>
    <row r="856" spans="1:19" s="1" customFormat="1" ht="1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</row>
    <row r="857" spans="1:19" s="1" customFormat="1" ht="1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</row>
    <row r="858" spans="1:19" s="1" customFormat="1" ht="1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</row>
    <row r="859" spans="1:19" s="1" customFormat="1" ht="1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</row>
    <row r="860" spans="1:19" s="1" customFormat="1" ht="1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</row>
    <row r="861" spans="1:19" s="1" customFormat="1" ht="1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</row>
    <row r="862" spans="1:19" s="1" customFormat="1" ht="1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</row>
    <row r="863" spans="1:19" s="1" customFormat="1" ht="1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</row>
    <row r="864" spans="1:19" s="1" customFormat="1" ht="1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</row>
    <row r="865" spans="1:19" s="1" customFormat="1" ht="1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</row>
    <row r="866" spans="1:19" s="1" customFormat="1" ht="1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</row>
    <row r="867" spans="1:19" s="1" customFormat="1" ht="1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</row>
    <row r="868" spans="1:19" s="1" customFormat="1" ht="1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</row>
    <row r="869" spans="1:19" s="1" customFormat="1" ht="1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</row>
    <row r="870" spans="1:19" s="1" customFormat="1" ht="1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</row>
    <row r="871" spans="1:19" s="1" customFormat="1" ht="1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</row>
    <row r="872" spans="1:19" s="1" customFormat="1" ht="1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</row>
    <row r="873" spans="1:19" s="1" customFormat="1" ht="1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</row>
    <row r="874" spans="1:19" s="1" customFormat="1" ht="1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</row>
    <row r="875" spans="1:19" s="1" customFormat="1" ht="1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</row>
    <row r="876" spans="1:19" s="1" customFormat="1" ht="1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</row>
    <row r="877" spans="1:19" s="1" customFormat="1" ht="1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</row>
    <row r="878" spans="1:19" s="1" customFormat="1" ht="1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</row>
    <row r="879" spans="1:19" s="1" customFormat="1" ht="1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</row>
    <row r="880" spans="1:19" s="1" customFormat="1" ht="1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</row>
    <row r="881" spans="1:19" s="1" customFormat="1" ht="1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</row>
    <row r="882" spans="1:19" s="1" customFormat="1" ht="1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</row>
    <row r="883" spans="1:19" s="1" customFormat="1" ht="1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</row>
    <row r="884" spans="1:19" s="1" customFormat="1" ht="1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</row>
    <row r="885" spans="1:19" s="1" customFormat="1" ht="1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</row>
    <row r="886" spans="1:19" s="1" customFormat="1" ht="1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</row>
    <row r="887" spans="1:19" s="1" customFormat="1" ht="1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</row>
    <row r="888" spans="1:19" s="1" customFormat="1" ht="1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</row>
    <row r="889" spans="1:19" s="1" customFormat="1" ht="1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</row>
    <row r="890" spans="1:19" s="1" customFormat="1" ht="1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</row>
    <row r="891" spans="1:19" s="1" customFormat="1" ht="1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</row>
    <row r="892" spans="1:19" s="1" customFormat="1" ht="1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</row>
    <row r="893" spans="1:19" s="1" customFormat="1" ht="1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</row>
    <row r="894" spans="1:19" s="1" customFormat="1" ht="1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</row>
    <row r="895" spans="1:19" s="1" customFormat="1" ht="1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</row>
    <row r="896" spans="1:19" s="1" customFormat="1" ht="1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</row>
    <row r="897" spans="1:19" s="1" customFormat="1" ht="1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</row>
    <row r="898" spans="1:19" s="1" customFormat="1" ht="1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</row>
    <row r="899" spans="1:19" s="1" customFormat="1" ht="1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</row>
    <row r="900" spans="1:19" s="1" customFormat="1" ht="1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</row>
    <row r="901" spans="1:19" s="1" customFormat="1" ht="1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</row>
    <row r="902" spans="1:19" s="1" customFormat="1" ht="1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</row>
    <row r="903" spans="1:19" s="1" customFormat="1" ht="1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</row>
    <row r="904" spans="1:19" s="1" customFormat="1" ht="1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</row>
    <row r="905" spans="1:19" s="1" customFormat="1" ht="1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</row>
    <row r="906" spans="1:19" s="1" customFormat="1" ht="1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</row>
    <row r="907" spans="1:19" s="1" customFormat="1" ht="1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</row>
    <row r="908" spans="1:19" s="1" customFormat="1" ht="1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</row>
    <row r="909" spans="1:19" s="1" customFormat="1" ht="1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</row>
    <row r="910" spans="1:19" s="1" customFormat="1" ht="1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</row>
    <row r="911" spans="1:19" s="1" customFormat="1" ht="1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</row>
    <row r="912" spans="1:19" s="1" customFormat="1" ht="1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</row>
    <row r="913" spans="1:19" s="1" customFormat="1" ht="1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</row>
    <row r="914" spans="1:19" s="1" customFormat="1" ht="1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</row>
    <row r="915" spans="1:19" s="1" customFormat="1" ht="1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</row>
    <row r="916" spans="1:19" s="1" customFormat="1" ht="1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</row>
    <row r="917" spans="1:19" s="1" customFormat="1" ht="1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</row>
    <row r="918" spans="1:19" s="1" customFormat="1" ht="1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</row>
    <row r="919" spans="1:19" s="1" customFormat="1" ht="1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</row>
    <row r="920" spans="1:19" s="1" customFormat="1" ht="1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</row>
    <row r="921" spans="1:19" s="1" customFormat="1" ht="1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</row>
    <row r="922" spans="1:19" s="1" customFormat="1" ht="1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</row>
    <row r="923" spans="1:19" s="1" customFormat="1" ht="1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</row>
    <row r="924" spans="1:19" s="1" customFormat="1" ht="1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</row>
    <row r="925" spans="1:19" s="1" customFormat="1" ht="1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</row>
    <row r="926" spans="1:19" s="1" customFormat="1" ht="1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</row>
    <row r="927" spans="1:19" s="1" customFormat="1" ht="1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</row>
    <row r="928" spans="1:19" s="1" customFormat="1" ht="1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</row>
    <row r="929" spans="1:19" s="1" customFormat="1" ht="1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</row>
    <row r="930" spans="1:19" s="1" customFormat="1" ht="1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</row>
    <row r="931" spans="1:19" s="1" customFormat="1" ht="1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</row>
    <row r="932" spans="1:19" s="1" customFormat="1" ht="1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</row>
    <row r="933" spans="1:19" s="1" customFormat="1" ht="1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</row>
    <row r="934" spans="1:19" s="1" customFormat="1" ht="1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</row>
    <row r="935" spans="1:19" s="1" customFormat="1" ht="1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</row>
    <row r="936" spans="1:19" s="1" customFormat="1" ht="1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</row>
    <row r="937" spans="1:19" s="1" customFormat="1" ht="1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</row>
    <row r="938" spans="1:19" s="1" customFormat="1" ht="1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</row>
    <row r="939" spans="1:19" s="1" customFormat="1" ht="1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</row>
    <row r="940" spans="1:19" s="1" customFormat="1" ht="1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</row>
    <row r="941" spans="1:19" s="1" customFormat="1" ht="1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</row>
    <row r="942" spans="1:19" s="1" customFormat="1" ht="1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</row>
    <row r="943" spans="1:19" s="1" customFormat="1" ht="1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</row>
    <row r="944" spans="1:19" s="1" customFormat="1" ht="1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</row>
    <row r="945" spans="1:19" s="1" customFormat="1" ht="1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</row>
    <row r="946" spans="1:19" s="1" customFormat="1" ht="1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</row>
    <row r="947" spans="1:19" s="1" customFormat="1" ht="1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</row>
    <row r="948" spans="1:19" s="1" customFormat="1" ht="1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</row>
    <row r="949" spans="1:19" s="1" customFormat="1" ht="1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</row>
    <row r="950" spans="1:19" s="1" customFormat="1" ht="1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</row>
    <row r="951" spans="1:19" s="1" customFormat="1" ht="1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</row>
    <row r="952" spans="1:19" s="1" customFormat="1" ht="1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</row>
    <row r="953" spans="1:19" s="1" customFormat="1" ht="1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</row>
    <row r="954" spans="1:19" s="1" customFormat="1" ht="1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</row>
    <row r="955" spans="1:19" s="1" customFormat="1" ht="1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</row>
    <row r="956" spans="1:19" s="1" customFormat="1" ht="1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</row>
    <row r="957" spans="1:19" s="1" customFormat="1" ht="1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</row>
    <row r="958" spans="1:19" s="1" customFormat="1" ht="1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</row>
    <row r="959" spans="1:19" s="1" customFormat="1" ht="1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</row>
    <row r="960" spans="1:19" s="1" customFormat="1" ht="1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</row>
    <row r="961" spans="1:19" s="1" customFormat="1" ht="1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</row>
    <row r="962" spans="1:19" s="1" customFormat="1" ht="1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</row>
    <row r="963" spans="1:19" s="1" customFormat="1" ht="1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</row>
    <row r="964" spans="1:19" s="1" customFormat="1" ht="1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</row>
    <row r="965" spans="1:19" s="1" customFormat="1" ht="1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</row>
    <row r="966" spans="1:19" s="1" customFormat="1" ht="1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</row>
    <row r="967" spans="1:19" s="1" customFormat="1" ht="1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</row>
    <row r="968" spans="1:19" s="1" customFormat="1" ht="1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</row>
    <row r="969" spans="1:19" s="1" customFormat="1" ht="1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</row>
    <row r="970" spans="1:19" s="1" customFormat="1" ht="1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</row>
    <row r="971" spans="1:19" s="1" customFormat="1" ht="1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</row>
    <row r="972" spans="1:19" s="1" customFormat="1" ht="1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</row>
    <row r="973" spans="1:19" s="1" customFormat="1" ht="1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</row>
    <row r="974" spans="1:19" s="1" customFormat="1" ht="1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</row>
    <row r="975" spans="1:19" s="1" customFormat="1" ht="1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</row>
    <row r="976" spans="1:19" s="1" customFormat="1" ht="1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</row>
    <row r="977" spans="1:19" s="1" customFormat="1" ht="1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</row>
    <row r="978" spans="1:19" s="1" customFormat="1" ht="1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</row>
    <row r="979" spans="1:19" s="1" customFormat="1" ht="1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</row>
    <row r="980" spans="1:19" s="1" customFormat="1" ht="1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</row>
    <row r="981" spans="1:19" s="1" customFormat="1" ht="1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</row>
    <row r="982" spans="1:19" s="1" customFormat="1" ht="1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</row>
    <row r="983" spans="1:19" s="1" customFormat="1" ht="1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</row>
    <row r="984" spans="1:19" s="1" customFormat="1" ht="1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</row>
    <row r="985" spans="1:19" s="1" customFormat="1" ht="1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</row>
    <row r="986" spans="1:19" s="1" customFormat="1" ht="1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</row>
    <row r="987" spans="1:19" s="1" customFormat="1" ht="1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</row>
    <row r="988" spans="1:19" s="1" customFormat="1" ht="1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</row>
    <row r="989" spans="1:19" s="1" customFormat="1" ht="1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</row>
    <row r="990" spans="1:19" s="1" customFormat="1" ht="1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</row>
    <row r="991" spans="1:19" s="1" customFormat="1" ht="1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</row>
    <row r="992" spans="1:19" s="1" customFormat="1" ht="1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</row>
    <row r="993" spans="1:19" s="1" customFormat="1" ht="1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</row>
    <row r="994" spans="1:19" s="1" customFormat="1" ht="1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</row>
    <row r="995" spans="1:19" s="1" customFormat="1" ht="1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</row>
    <row r="996" spans="1:19" s="1" customFormat="1" ht="1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</row>
    <row r="997" spans="1:19" s="1" customFormat="1" ht="1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</row>
    <row r="998" spans="1:19" s="1" customFormat="1" ht="1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</row>
    <row r="999" spans="1:19" s="1" customFormat="1" ht="1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</row>
    <row r="1000" spans="1:19" s="1" customFormat="1" ht="1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</row>
    <row r="1001" spans="1:19" s="1" customFormat="1" ht="15" customHeight="1">
      <c r="A1001" s="35"/>
      <c r="B1001" s="35"/>
      <c r="C1001" s="35"/>
      <c r="D1001" s="35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</row>
    <row r="1002" spans="1:19" s="1" customFormat="1" ht="15" customHeight="1">
      <c r="A1002" s="35"/>
      <c r="B1002" s="35"/>
      <c r="C1002" s="35"/>
      <c r="D1002" s="35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</row>
    <row r="1003" spans="1:19" s="1" customFormat="1" ht="15" customHeight="1">
      <c r="A1003" s="35"/>
      <c r="B1003" s="35"/>
      <c r="C1003" s="35"/>
      <c r="D1003" s="35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</row>
    <row r="1004" spans="1:19" s="1" customFormat="1" ht="15" customHeight="1">
      <c r="A1004" s="35"/>
      <c r="B1004" s="35"/>
      <c r="C1004" s="35"/>
      <c r="D1004" s="35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</row>
    <row r="1005" spans="1:19" s="1" customFormat="1" ht="15" customHeight="1">
      <c r="A1005" s="35"/>
      <c r="B1005" s="35"/>
      <c r="C1005" s="35"/>
      <c r="D1005" s="35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</row>
    <row r="1006" spans="1:19" s="1" customFormat="1" ht="15" customHeight="1">
      <c r="A1006" s="35"/>
      <c r="B1006" s="35"/>
      <c r="C1006" s="35"/>
      <c r="D1006" s="35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</row>
    <row r="1007" spans="1:19" s="1" customFormat="1" ht="15" customHeight="1">
      <c r="A1007" s="35"/>
      <c r="B1007" s="35"/>
      <c r="C1007" s="35"/>
      <c r="D1007" s="35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</row>
    <row r="1008" spans="1:19" s="1" customFormat="1" ht="15" customHeight="1">
      <c r="A1008" s="35"/>
      <c r="B1008" s="35"/>
      <c r="C1008" s="35"/>
      <c r="D1008" s="35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</row>
    <row r="1009" spans="1:19" s="1" customFormat="1" ht="15" customHeight="1">
      <c r="A1009" s="35"/>
      <c r="B1009" s="35"/>
      <c r="C1009" s="35"/>
      <c r="D1009" s="35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</row>
    <row r="1010" spans="1:19" s="1" customFormat="1" ht="15" customHeight="1">
      <c r="A1010" s="35"/>
      <c r="B1010" s="35"/>
      <c r="C1010" s="35"/>
      <c r="D1010" s="35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</row>
    <row r="1011" spans="1:19" s="1" customFormat="1" ht="15" customHeight="1">
      <c r="A1011" s="35"/>
      <c r="B1011" s="35"/>
      <c r="C1011" s="35"/>
      <c r="D1011" s="35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</row>
    <row r="1012" spans="1:19" s="1" customFormat="1" ht="15" customHeight="1">
      <c r="A1012" s="35"/>
      <c r="B1012" s="35"/>
      <c r="C1012" s="35"/>
      <c r="D1012" s="35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</row>
    <row r="1013" spans="1:19" s="1" customFormat="1" ht="15" customHeight="1">
      <c r="A1013" s="35"/>
      <c r="B1013" s="35"/>
      <c r="C1013" s="35"/>
      <c r="D1013" s="35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</row>
    <row r="1014" spans="1:19" s="1" customFormat="1" ht="15" customHeight="1">
      <c r="A1014" s="35"/>
      <c r="B1014" s="35"/>
      <c r="C1014" s="35"/>
      <c r="D1014" s="35"/>
      <c r="E1014" s="35"/>
      <c r="F1014" s="35"/>
      <c r="G1014" s="35"/>
      <c r="H1014" s="35"/>
      <c r="I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</row>
    <row r="1015" spans="1:19" s="1" customFormat="1" ht="15" customHeight="1">
      <c r="A1015" s="35"/>
      <c r="B1015" s="35"/>
      <c r="C1015" s="35"/>
      <c r="D1015" s="35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</row>
    <row r="1016" spans="1:19" s="1" customFormat="1" ht="15" customHeight="1">
      <c r="A1016" s="35"/>
      <c r="B1016" s="35"/>
      <c r="C1016" s="35"/>
      <c r="D1016" s="35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</row>
    <row r="1017" spans="1:19" s="1" customFormat="1" ht="15" customHeight="1">
      <c r="A1017" s="35"/>
      <c r="B1017" s="35"/>
      <c r="C1017" s="35"/>
      <c r="D1017" s="35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</row>
    <row r="1018" spans="1:19" s="1" customFormat="1" ht="15" customHeight="1">
      <c r="A1018" s="35"/>
      <c r="B1018" s="35"/>
      <c r="C1018" s="35"/>
      <c r="D1018" s="35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</row>
    <row r="1019" spans="1:19" s="1" customFormat="1" ht="15" customHeight="1">
      <c r="A1019" s="35"/>
      <c r="B1019" s="35"/>
      <c r="C1019" s="35"/>
      <c r="D1019" s="35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</row>
    <row r="1020" spans="1:19" s="1" customFormat="1" ht="15" customHeight="1">
      <c r="A1020" s="35"/>
      <c r="B1020" s="35"/>
      <c r="C1020" s="35"/>
      <c r="D1020" s="35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</row>
    <row r="1021" spans="1:19" s="1" customFormat="1" ht="15" customHeight="1">
      <c r="A1021" s="35"/>
      <c r="B1021" s="35"/>
      <c r="C1021" s="35"/>
      <c r="D1021" s="35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</row>
    <row r="1022" spans="1:19" s="1" customFormat="1" ht="15" customHeight="1">
      <c r="A1022" s="35"/>
      <c r="B1022" s="35"/>
      <c r="C1022" s="35"/>
      <c r="D1022" s="35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</row>
    <row r="1023" spans="1:19" s="1" customFormat="1" ht="15" customHeight="1">
      <c r="A1023" s="35"/>
      <c r="B1023" s="35"/>
      <c r="C1023" s="35"/>
      <c r="D1023" s="35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</row>
    <row r="1024" spans="1:19" s="1" customFormat="1" ht="15" customHeight="1">
      <c r="A1024" s="35"/>
      <c r="B1024" s="35"/>
      <c r="C1024" s="35"/>
      <c r="D1024" s="35"/>
      <c r="E1024" s="35"/>
      <c r="F1024" s="35"/>
      <c r="G1024" s="35"/>
      <c r="H1024" s="35"/>
      <c r="I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</row>
    <row r="1025" spans="1:19" s="1" customFormat="1" ht="15" customHeight="1">
      <c r="A1025" s="35"/>
      <c r="B1025" s="35"/>
      <c r="C1025" s="35"/>
      <c r="D1025" s="35"/>
      <c r="E1025" s="35"/>
      <c r="F1025" s="35"/>
      <c r="G1025" s="35"/>
      <c r="H1025" s="35"/>
      <c r="I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</row>
    <row r="1026" spans="1:19" s="1" customFormat="1" ht="15" customHeight="1">
      <c r="A1026" s="35"/>
      <c r="B1026" s="35"/>
      <c r="C1026" s="35"/>
      <c r="D1026" s="35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</row>
    <row r="1027" spans="1:19" s="1" customFormat="1" ht="15" customHeight="1">
      <c r="A1027" s="35"/>
      <c r="B1027" s="35"/>
      <c r="C1027" s="35"/>
      <c r="D1027" s="35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</row>
    <row r="1028" spans="1:19" s="1" customFormat="1" ht="15" customHeight="1">
      <c r="A1028" s="35"/>
      <c r="B1028" s="35"/>
      <c r="C1028" s="35"/>
      <c r="D1028" s="35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</row>
    <row r="1029" spans="1:19" s="1" customFormat="1" ht="15" customHeight="1">
      <c r="A1029" s="35"/>
      <c r="B1029" s="35"/>
      <c r="C1029" s="35"/>
      <c r="D1029" s="35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</row>
    <row r="1030" spans="1:19" s="1" customFormat="1" ht="15" customHeight="1">
      <c r="A1030" s="35"/>
      <c r="B1030" s="35"/>
      <c r="C1030" s="35"/>
      <c r="D1030" s="35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</row>
    <row r="1031" spans="1:19" s="1" customFormat="1" ht="15" customHeight="1">
      <c r="A1031" s="35"/>
      <c r="B1031" s="35"/>
      <c r="C1031" s="35"/>
      <c r="D1031" s="35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</row>
    <row r="1032" spans="1:19" s="1" customFormat="1" ht="15" customHeight="1">
      <c r="A1032" s="35"/>
      <c r="B1032" s="35"/>
      <c r="C1032" s="35"/>
      <c r="D1032" s="35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</row>
    <row r="1033" spans="1:19" s="1" customFormat="1" ht="15" customHeight="1">
      <c r="A1033" s="35"/>
      <c r="B1033" s="35"/>
      <c r="C1033" s="35"/>
      <c r="D1033" s="35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</row>
    <row r="1034" spans="1:19" s="1" customFormat="1" ht="15" customHeight="1">
      <c r="A1034" s="35"/>
      <c r="B1034" s="35"/>
      <c r="C1034" s="35"/>
      <c r="D1034" s="35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</row>
    <row r="1035" spans="1:19" s="1" customFormat="1" ht="15" customHeight="1">
      <c r="A1035" s="35"/>
      <c r="B1035" s="35"/>
      <c r="C1035" s="35"/>
      <c r="D1035" s="35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</row>
    <row r="1036" spans="1:19" s="1" customFormat="1" ht="15" customHeight="1">
      <c r="A1036" s="35"/>
      <c r="B1036" s="35"/>
      <c r="C1036" s="35"/>
      <c r="D1036" s="35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</row>
    <row r="1037" spans="1:19" s="1" customFormat="1" ht="15" customHeight="1">
      <c r="A1037" s="35"/>
      <c r="B1037" s="35"/>
      <c r="C1037" s="35"/>
      <c r="D1037" s="35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</row>
    <row r="1038" spans="1:19" s="1" customFormat="1" ht="15" customHeight="1">
      <c r="A1038" s="35"/>
      <c r="B1038" s="35"/>
      <c r="C1038" s="35"/>
      <c r="D1038" s="35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</row>
    <row r="1039" spans="1:19" s="1" customFormat="1" ht="15" customHeight="1">
      <c r="A1039" s="35"/>
      <c r="B1039" s="35"/>
      <c r="C1039" s="35"/>
      <c r="D1039" s="35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</row>
    <row r="1040" spans="1:19" s="1" customFormat="1" ht="15" customHeight="1">
      <c r="A1040" s="35"/>
      <c r="B1040" s="35"/>
      <c r="C1040" s="35"/>
      <c r="D1040" s="35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</row>
    <row r="1041" spans="1:19" s="1" customFormat="1" ht="15" customHeight="1">
      <c r="A1041" s="35"/>
      <c r="B1041" s="35"/>
      <c r="C1041" s="35"/>
      <c r="D1041" s="35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</row>
    <row r="1042" spans="1:19" s="1" customFormat="1" ht="15" customHeight="1">
      <c r="A1042" s="35"/>
      <c r="B1042" s="35"/>
      <c r="C1042" s="35"/>
      <c r="D1042" s="35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</row>
    <row r="1043" spans="1:19" s="1" customFormat="1" ht="15" customHeight="1">
      <c r="A1043" s="35"/>
      <c r="B1043" s="35"/>
      <c r="C1043" s="35"/>
      <c r="D1043" s="35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</row>
    <row r="1044" spans="1:19" s="1" customFormat="1" ht="15" customHeight="1">
      <c r="A1044" s="35"/>
      <c r="B1044" s="35"/>
      <c r="C1044" s="35"/>
      <c r="D1044" s="35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</row>
    <row r="1045" spans="1:19" s="1" customFormat="1" ht="15" customHeight="1">
      <c r="A1045" s="35"/>
      <c r="B1045" s="35"/>
      <c r="C1045" s="35"/>
      <c r="D1045" s="35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</row>
    <row r="1046" spans="1:19" s="1" customFormat="1" ht="15" customHeight="1">
      <c r="A1046" s="35"/>
      <c r="B1046" s="35"/>
      <c r="C1046" s="35"/>
      <c r="D1046" s="35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</row>
    <row r="1047" spans="1:19" s="1" customFormat="1" ht="15" customHeight="1">
      <c r="A1047" s="35"/>
      <c r="B1047" s="35"/>
      <c r="C1047" s="35"/>
      <c r="D1047" s="35"/>
      <c r="E1047" s="35"/>
      <c r="F1047" s="35"/>
      <c r="G1047" s="35"/>
      <c r="H1047" s="35"/>
      <c r="I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</row>
    <row r="1048" spans="1:19" s="1" customFormat="1" ht="15" customHeight="1">
      <c r="A1048" s="35"/>
      <c r="B1048" s="35"/>
      <c r="C1048" s="35"/>
      <c r="D1048" s="35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</row>
    <row r="1049" spans="1:19" s="1" customFormat="1" ht="15" customHeight="1">
      <c r="A1049" s="35"/>
      <c r="B1049" s="35"/>
      <c r="C1049" s="35"/>
      <c r="D1049" s="35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</row>
    <row r="1050" spans="1:19" s="1" customFormat="1" ht="15" customHeight="1">
      <c r="A1050" s="35"/>
      <c r="B1050" s="35"/>
      <c r="C1050" s="35"/>
      <c r="D1050" s="35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</row>
    <row r="1051" spans="1:19" s="1" customFormat="1" ht="15" customHeight="1">
      <c r="A1051" s="35"/>
      <c r="B1051" s="35"/>
      <c r="C1051" s="35"/>
      <c r="D1051" s="35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</row>
    <row r="1052" spans="1:19" s="1" customFormat="1" ht="15" customHeight="1">
      <c r="A1052" s="35"/>
      <c r="B1052" s="35"/>
      <c r="C1052" s="35"/>
      <c r="D1052" s="35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</row>
    <row r="1053" spans="1:19" s="1" customFormat="1" ht="15" customHeight="1">
      <c r="A1053" s="35"/>
      <c r="B1053" s="35"/>
      <c r="C1053" s="35"/>
      <c r="D1053" s="35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</row>
    <row r="1054" spans="1:19" s="1" customFormat="1" ht="15" customHeight="1">
      <c r="A1054" s="35"/>
      <c r="B1054" s="35"/>
      <c r="C1054" s="35"/>
      <c r="D1054" s="35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</row>
    <row r="1055" spans="1:19" s="1" customFormat="1" ht="15" customHeight="1">
      <c r="A1055" s="35"/>
      <c r="B1055" s="35"/>
      <c r="C1055" s="35"/>
      <c r="D1055" s="35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</row>
    <row r="1056" spans="1:19" s="1" customFormat="1" ht="15" customHeight="1">
      <c r="A1056" s="35"/>
      <c r="B1056" s="35"/>
      <c r="C1056" s="35"/>
      <c r="D1056" s="35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</row>
    <row r="1057" spans="1:19" s="1" customFormat="1" ht="15" customHeight="1">
      <c r="A1057" s="35"/>
      <c r="B1057" s="35"/>
      <c r="C1057" s="35"/>
      <c r="D1057" s="35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</row>
    <row r="1058" spans="1:19" s="1" customFormat="1" ht="15" customHeight="1">
      <c r="A1058" s="35"/>
      <c r="B1058" s="35"/>
      <c r="C1058" s="35"/>
      <c r="D1058" s="35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</row>
    <row r="1059" spans="1:19" s="1" customFormat="1" ht="15" customHeight="1">
      <c r="A1059" s="35"/>
      <c r="B1059" s="35"/>
      <c r="C1059" s="35"/>
      <c r="D1059" s="35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</row>
    <row r="1060" spans="1:19" s="1" customFormat="1" ht="15" customHeight="1">
      <c r="A1060" s="35"/>
      <c r="B1060" s="35"/>
      <c r="C1060" s="35"/>
      <c r="D1060" s="35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</row>
    <row r="1061" spans="1:19" s="1" customFormat="1" ht="15" customHeight="1">
      <c r="A1061" s="35"/>
      <c r="B1061" s="35"/>
      <c r="C1061" s="35"/>
      <c r="D1061" s="35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</row>
    <row r="1062" spans="1:19" s="1" customFormat="1" ht="15" customHeight="1">
      <c r="A1062" s="35"/>
      <c r="B1062" s="35"/>
      <c r="C1062" s="35"/>
      <c r="D1062" s="35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</row>
    <row r="1063" spans="1:19" s="1" customFormat="1" ht="15" customHeight="1">
      <c r="A1063" s="35"/>
      <c r="B1063" s="35"/>
      <c r="C1063" s="35"/>
      <c r="D1063" s="35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</row>
    <row r="1064" spans="1:19" s="1" customFormat="1" ht="15" customHeight="1">
      <c r="A1064" s="35"/>
      <c r="B1064" s="35"/>
      <c r="C1064" s="35"/>
      <c r="D1064" s="35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</row>
    <row r="1065" spans="1:19" s="1" customFormat="1" ht="15" customHeight="1">
      <c r="A1065" s="35"/>
      <c r="B1065" s="35"/>
      <c r="C1065" s="35"/>
      <c r="D1065" s="35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</row>
    <row r="1066" spans="1:19" s="1" customFormat="1" ht="15" customHeight="1">
      <c r="A1066" s="35"/>
      <c r="B1066" s="35"/>
      <c r="C1066" s="35"/>
      <c r="D1066" s="35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</row>
    <row r="1067" spans="1:19" s="1" customFormat="1" ht="15" customHeight="1">
      <c r="A1067" s="35"/>
      <c r="B1067" s="35"/>
      <c r="C1067" s="35"/>
      <c r="D1067" s="35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</row>
    <row r="1068" spans="1:19" s="1" customFormat="1" ht="15" customHeight="1">
      <c r="A1068" s="35"/>
      <c r="B1068" s="35"/>
      <c r="C1068" s="35"/>
      <c r="D1068" s="35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</row>
    <row r="1069" spans="1:19" s="1" customFormat="1" ht="15" customHeight="1">
      <c r="A1069" s="35"/>
      <c r="B1069" s="35"/>
      <c r="C1069" s="35"/>
      <c r="D1069" s="35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</row>
    <row r="1070" spans="1:19" s="1" customFormat="1" ht="15" customHeight="1">
      <c r="A1070" s="35"/>
      <c r="B1070" s="35"/>
      <c r="C1070" s="35"/>
      <c r="D1070" s="35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</row>
    <row r="1071" spans="1:19" s="1" customFormat="1" ht="15" customHeight="1">
      <c r="A1071" s="35"/>
      <c r="B1071" s="35"/>
      <c r="C1071" s="35"/>
      <c r="D1071" s="35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</row>
    <row r="1072" spans="1:19" s="1" customFormat="1" ht="15" customHeight="1">
      <c r="A1072" s="35"/>
      <c r="B1072" s="35"/>
      <c r="C1072" s="35"/>
      <c r="D1072" s="35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</row>
    <row r="1073" spans="1:19" s="1" customFormat="1" ht="15" customHeight="1">
      <c r="A1073" s="35"/>
      <c r="B1073" s="35"/>
      <c r="C1073" s="35"/>
      <c r="D1073" s="35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</row>
    <row r="1074" spans="1:19" s="1" customFormat="1" ht="15" customHeight="1">
      <c r="A1074" s="35"/>
      <c r="B1074" s="35"/>
      <c r="C1074" s="35"/>
      <c r="D1074" s="35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</row>
    <row r="1075" spans="1:19" s="1" customFormat="1" ht="15" customHeight="1">
      <c r="A1075" s="35"/>
      <c r="B1075" s="35"/>
      <c r="C1075" s="35"/>
      <c r="D1075" s="35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</row>
    <row r="1076" spans="1:19" s="1" customFormat="1" ht="15" customHeight="1">
      <c r="A1076" s="35"/>
      <c r="B1076" s="35"/>
      <c r="C1076" s="35"/>
      <c r="D1076" s="35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</row>
    <row r="1077" spans="1:19" s="1" customFormat="1" ht="15" customHeight="1">
      <c r="A1077" s="35"/>
      <c r="B1077" s="35"/>
      <c r="C1077" s="35"/>
      <c r="D1077" s="35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</row>
    <row r="1078" spans="1:19" s="1" customFormat="1" ht="15" customHeight="1">
      <c r="A1078" s="35"/>
      <c r="B1078" s="35"/>
      <c r="C1078" s="35"/>
      <c r="D1078" s="35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</row>
    <row r="1079" spans="1:19" s="1" customFormat="1" ht="15" customHeight="1">
      <c r="A1079" s="35"/>
      <c r="B1079" s="35"/>
      <c r="C1079" s="35"/>
      <c r="D1079" s="35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</row>
    <row r="1080" spans="1:19" s="1" customFormat="1" ht="15" customHeight="1">
      <c r="A1080" s="35"/>
      <c r="B1080" s="35"/>
      <c r="C1080" s="35"/>
      <c r="D1080" s="35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</row>
    <row r="1081" spans="1:19" s="1" customFormat="1" ht="15" customHeight="1">
      <c r="A1081" s="35"/>
      <c r="B1081" s="35"/>
      <c r="C1081" s="35"/>
      <c r="D1081" s="35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</row>
    <row r="1082" spans="1:19" s="1" customFormat="1" ht="15" customHeight="1">
      <c r="A1082" s="35"/>
      <c r="B1082" s="35"/>
      <c r="C1082" s="35"/>
      <c r="D1082" s="35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</row>
    <row r="1083" spans="1:19" s="1" customFormat="1" ht="15" customHeight="1">
      <c r="A1083" s="35"/>
      <c r="B1083" s="35"/>
      <c r="C1083" s="35"/>
      <c r="D1083" s="35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</row>
    <row r="1084" spans="1:19" s="1" customFormat="1" ht="15" customHeight="1">
      <c r="A1084" s="35"/>
      <c r="B1084" s="35"/>
      <c r="C1084" s="35"/>
      <c r="D1084" s="35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</row>
    <row r="1085" spans="1:19" s="1" customFormat="1" ht="15" customHeight="1">
      <c r="A1085" s="35"/>
      <c r="B1085" s="35"/>
      <c r="C1085" s="35"/>
      <c r="D1085" s="35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</row>
    <row r="1086" spans="1:19" s="1" customFormat="1" ht="15" customHeight="1">
      <c r="A1086" s="35"/>
      <c r="B1086" s="35"/>
      <c r="C1086" s="35"/>
      <c r="D1086" s="35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</row>
    <row r="1087" spans="1:19" s="1" customFormat="1" ht="15" customHeight="1">
      <c r="A1087" s="35"/>
      <c r="B1087" s="35"/>
      <c r="C1087" s="35"/>
      <c r="D1087" s="35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</row>
    <row r="1088" spans="1:19" s="1" customFormat="1" ht="15" customHeight="1">
      <c r="A1088" s="35"/>
      <c r="B1088" s="35"/>
      <c r="C1088" s="35"/>
      <c r="D1088" s="35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</row>
    <row r="1089" spans="1:19" s="1" customFormat="1" ht="15" customHeight="1">
      <c r="A1089" s="35"/>
      <c r="B1089" s="35"/>
      <c r="C1089" s="35"/>
      <c r="D1089" s="35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</row>
    <row r="1090" spans="1:19" s="1" customFormat="1" ht="15" customHeight="1">
      <c r="A1090" s="35"/>
      <c r="B1090" s="35"/>
      <c r="C1090" s="35"/>
      <c r="D1090" s="35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</row>
    <row r="1091" spans="1:19" s="1" customFormat="1" ht="15" customHeight="1">
      <c r="A1091" s="35"/>
      <c r="B1091" s="35"/>
      <c r="C1091" s="35"/>
      <c r="D1091" s="35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</row>
    <row r="1092" spans="1:19" s="1" customFormat="1" ht="15" customHeight="1">
      <c r="A1092" s="35"/>
      <c r="B1092" s="35"/>
      <c r="C1092" s="35"/>
      <c r="D1092" s="35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</row>
    <row r="1093" spans="1:19" s="1" customFormat="1" ht="15" customHeight="1">
      <c r="A1093" s="35"/>
      <c r="B1093" s="35"/>
      <c r="C1093" s="35"/>
      <c r="D1093" s="35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</row>
    <row r="1094" spans="1:19" s="1" customFormat="1" ht="15" customHeight="1">
      <c r="A1094" s="35"/>
      <c r="B1094" s="35"/>
      <c r="C1094" s="35"/>
      <c r="D1094" s="35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</row>
    <row r="1095" spans="1:19" s="1" customFormat="1" ht="15" customHeight="1">
      <c r="A1095" s="35"/>
      <c r="B1095" s="35"/>
      <c r="C1095" s="35"/>
      <c r="D1095" s="35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</row>
    <row r="1096" spans="1:19" s="1" customFormat="1" ht="15" customHeight="1">
      <c r="A1096" s="35"/>
      <c r="B1096" s="35"/>
      <c r="C1096" s="35"/>
      <c r="D1096" s="35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</row>
    <row r="1097" spans="1:19" s="1" customFormat="1" ht="15" customHeight="1">
      <c r="A1097" s="35"/>
      <c r="B1097" s="35"/>
      <c r="C1097" s="35"/>
      <c r="D1097" s="35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</row>
    <row r="1098" spans="1:19" s="1" customFormat="1" ht="15" customHeight="1">
      <c r="A1098" s="35"/>
      <c r="B1098" s="35"/>
      <c r="C1098" s="35"/>
      <c r="D1098" s="35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</row>
    <row r="1099" spans="1:19" s="1" customFormat="1" ht="15" customHeight="1">
      <c r="A1099" s="35"/>
      <c r="B1099" s="35"/>
      <c r="C1099" s="35"/>
      <c r="D1099" s="35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</row>
    <row r="1100" spans="1:19" s="1" customFormat="1" ht="15" customHeight="1">
      <c r="A1100" s="35"/>
      <c r="B1100" s="35"/>
      <c r="C1100" s="35"/>
      <c r="D1100" s="35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</row>
    <row r="1101" spans="1:19" s="1" customFormat="1" ht="15" customHeight="1">
      <c r="A1101" s="35"/>
      <c r="B1101" s="35"/>
      <c r="C1101" s="35"/>
      <c r="D1101" s="35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</row>
    <row r="1102" spans="1:19" s="1" customFormat="1" ht="15" customHeight="1">
      <c r="A1102" s="35"/>
      <c r="B1102" s="35"/>
      <c r="C1102" s="35"/>
      <c r="D1102" s="35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</row>
    <row r="1103" spans="1:19" s="1" customFormat="1" ht="15" customHeight="1">
      <c r="A1103" s="35"/>
      <c r="B1103" s="35"/>
      <c r="C1103" s="35"/>
      <c r="D1103" s="35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</row>
    <row r="1104" spans="1:19" s="1" customFormat="1" ht="15" customHeight="1">
      <c r="A1104" s="35"/>
      <c r="B1104" s="35"/>
      <c r="C1104" s="35"/>
      <c r="D1104" s="35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</row>
    <row r="1105" spans="1:19" s="1" customFormat="1" ht="15" customHeight="1">
      <c r="A1105" s="35"/>
      <c r="B1105" s="35"/>
      <c r="C1105" s="35"/>
      <c r="D1105" s="35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</row>
    <row r="1106" spans="1:19" s="1" customFormat="1" ht="15" customHeight="1">
      <c r="A1106" s="35"/>
      <c r="B1106" s="35"/>
      <c r="C1106" s="35"/>
      <c r="D1106" s="35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</row>
    <row r="1107" spans="1:19" s="1" customFormat="1" ht="15" customHeight="1">
      <c r="A1107" s="35"/>
      <c r="B1107" s="35"/>
      <c r="C1107" s="35"/>
      <c r="D1107" s="35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</row>
    <row r="1108" spans="1:19" s="1" customFormat="1" ht="15" customHeight="1">
      <c r="A1108" s="35"/>
      <c r="B1108" s="35"/>
      <c r="C1108" s="35"/>
      <c r="D1108" s="35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</row>
    <row r="1109" spans="1:19" s="1" customFormat="1" ht="15" customHeight="1">
      <c r="A1109" s="35"/>
      <c r="B1109" s="35"/>
      <c r="C1109" s="35"/>
      <c r="D1109" s="35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</row>
    <row r="1110" spans="1:19" s="1" customFormat="1" ht="15" customHeight="1">
      <c r="A1110" s="35"/>
      <c r="B1110" s="35"/>
      <c r="C1110" s="35"/>
      <c r="D1110" s="35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</row>
    <row r="1111" spans="1:19" s="1" customFormat="1" ht="15" customHeight="1">
      <c r="A1111" s="35"/>
      <c r="B1111" s="35"/>
      <c r="C1111" s="35"/>
      <c r="D1111" s="35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</row>
    <row r="1112" spans="1:19" s="1" customFormat="1" ht="15" customHeight="1">
      <c r="A1112" s="35"/>
      <c r="B1112" s="35"/>
      <c r="C1112" s="35"/>
      <c r="D1112" s="35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</row>
    <row r="1113" spans="1:19" s="1" customFormat="1" ht="15" customHeight="1">
      <c r="A1113" s="35"/>
      <c r="B1113" s="35"/>
      <c r="C1113" s="35"/>
      <c r="D1113" s="35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</row>
    <row r="1114" spans="1:19" s="1" customFormat="1" ht="15" customHeight="1">
      <c r="A1114" s="35"/>
      <c r="B1114" s="35"/>
      <c r="C1114" s="35"/>
      <c r="D1114" s="35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</row>
    <row r="1115" spans="1:19" s="1" customFormat="1" ht="15" customHeight="1">
      <c r="A1115" s="35"/>
      <c r="B1115" s="35"/>
      <c r="C1115" s="35"/>
      <c r="D1115" s="35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</row>
    <row r="1116" spans="1:19" s="1" customFormat="1" ht="15" customHeight="1">
      <c r="A1116" s="35"/>
      <c r="B1116" s="35"/>
      <c r="C1116" s="35"/>
      <c r="D1116" s="35"/>
      <c r="E1116" s="35"/>
      <c r="F1116" s="35"/>
      <c r="G1116" s="35"/>
      <c r="H1116" s="35"/>
      <c r="I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</row>
    <row r="1117" spans="1:19" s="1" customFormat="1" ht="15" customHeight="1">
      <c r="A1117" s="35"/>
      <c r="B1117" s="35"/>
      <c r="C1117" s="35"/>
      <c r="D1117" s="35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</row>
    <row r="1118" spans="1:19" s="1" customFormat="1" ht="15" customHeight="1">
      <c r="A1118" s="35"/>
      <c r="B1118" s="35"/>
      <c r="C1118" s="35"/>
      <c r="D1118" s="35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</row>
    <row r="1119" spans="1:19" s="1" customFormat="1" ht="15" customHeight="1">
      <c r="A1119" s="35"/>
      <c r="B1119" s="35"/>
      <c r="C1119" s="35"/>
      <c r="D1119" s="35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</row>
    <row r="1120" spans="1:19" s="1" customFormat="1" ht="15" customHeight="1">
      <c r="A1120" s="35"/>
      <c r="B1120" s="35"/>
      <c r="C1120" s="35"/>
      <c r="D1120" s="35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</row>
    <row r="1121" spans="1:19" s="1" customFormat="1" ht="15" customHeight="1">
      <c r="A1121" s="35"/>
      <c r="B1121" s="35"/>
      <c r="C1121" s="35"/>
      <c r="D1121" s="35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</row>
    <row r="1122" spans="1:19" s="1" customFormat="1" ht="15" customHeight="1">
      <c r="A1122" s="35"/>
      <c r="B1122" s="35"/>
      <c r="C1122" s="35"/>
      <c r="D1122" s="35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</row>
    <row r="1123" spans="1:19" s="1" customFormat="1" ht="15" customHeight="1">
      <c r="A1123" s="35"/>
      <c r="B1123" s="35"/>
      <c r="C1123" s="35"/>
      <c r="D1123" s="35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</row>
    <row r="1124" spans="1:19" s="1" customFormat="1" ht="15" customHeight="1">
      <c r="A1124" s="35"/>
      <c r="B1124" s="35"/>
      <c r="C1124" s="35"/>
      <c r="D1124" s="35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</row>
    <row r="1125" spans="1:19" s="1" customFormat="1" ht="15" customHeight="1">
      <c r="A1125" s="35"/>
      <c r="B1125" s="35"/>
      <c r="C1125" s="35"/>
      <c r="D1125" s="35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</row>
    <row r="1126" spans="1:19" s="1" customFormat="1" ht="15" customHeight="1">
      <c r="A1126" s="35"/>
      <c r="B1126" s="35"/>
      <c r="C1126" s="35"/>
      <c r="D1126" s="35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</row>
    <row r="1127" spans="1:19" s="1" customFormat="1" ht="15" customHeight="1">
      <c r="A1127" s="35"/>
      <c r="B1127" s="35"/>
      <c r="C1127" s="35"/>
      <c r="D1127" s="35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</row>
    <row r="1128" spans="1:19" s="1" customFormat="1" ht="15" customHeight="1">
      <c r="A1128" s="35"/>
      <c r="B1128" s="35"/>
      <c r="C1128" s="35"/>
      <c r="D1128" s="35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</row>
    <row r="1129" spans="1:19" s="1" customFormat="1" ht="15" customHeight="1">
      <c r="A1129" s="35"/>
      <c r="B1129" s="35"/>
      <c r="C1129" s="35"/>
      <c r="D1129" s="35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</row>
    <row r="1130" spans="1:19" s="1" customFormat="1" ht="15" customHeight="1">
      <c r="A1130" s="35"/>
      <c r="B1130" s="35"/>
      <c r="C1130" s="35"/>
      <c r="D1130" s="35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</row>
    <row r="1131" spans="1:19" s="1" customFormat="1" ht="15" customHeight="1">
      <c r="A1131" s="35"/>
      <c r="B1131" s="35"/>
      <c r="C1131" s="35"/>
      <c r="D1131" s="35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</row>
    <row r="1132" spans="1:19" s="1" customFormat="1" ht="15" customHeight="1">
      <c r="A1132" s="35"/>
      <c r="B1132" s="35"/>
      <c r="C1132" s="35"/>
      <c r="D1132" s="35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</row>
    <row r="1133" spans="1:19" s="1" customFormat="1" ht="15" customHeight="1">
      <c r="A1133" s="35"/>
      <c r="B1133" s="35"/>
      <c r="C1133" s="35"/>
      <c r="D1133" s="35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</row>
    <row r="1134" spans="1:19" s="1" customFormat="1" ht="15" customHeight="1">
      <c r="A1134" s="35"/>
      <c r="B1134" s="35"/>
      <c r="C1134" s="35"/>
      <c r="D1134" s="35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</row>
    <row r="1135" spans="1:19" s="1" customFormat="1" ht="15" customHeight="1">
      <c r="A1135" s="35"/>
      <c r="B1135" s="35"/>
      <c r="C1135" s="35"/>
      <c r="D1135" s="35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</row>
    <row r="1136" spans="1:19" s="1" customFormat="1" ht="15" customHeight="1">
      <c r="A1136" s="35"/>
      <c r="B1136" s="35"/>
      <c r="C1136" s="35"/>
      <c r="D1136" s="35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</row>
    <row r="1137" spans="1:19" s="1" customFormat="1" ht="15" customHeight="1">
      <c r="A1137" s="35"/>
      <c r="B1137" s="35"/>
      <c r="C1137" s="35"/>
      <c r="D1137" s="35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</row>
    <row r="1138" spans="1:19" s="1" customFormat="1" ht="15" customHeight="1">
      <c r="A1138" s="35"/>
      <c r="B1138" s="35"/>
      <c r="C1138" s="35"/>
      <c r="D1138" s="35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</row>
    <row r="1139" spans="1:19" s="1" customFormat="1" ht="15" customHeight="1">
      <c r="A1139" s="35"/>
      <c r="B1139" s="35"/>
      <c r="C1139" s="35"/>
      <c r="D1139" s="35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</row>
    <row r="1140" spans="1:19" s="1" customFormat="1" ht="15" customHeight="1">
      <c r="A1140" s="35"/>
      <c r="B1140" s="35"/>
      <c r="C1140" s="35"/>
      <c r="D1140" s="35"/>
      <c r="E1140" s="35"/>
      <c r="F1140" s="35"/>
      <c r="G1140" s="35"/>
      <c r="H1140" s="35"/>
      <c r="I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</row>
    <row r="1141" spans="1:19" s="1" customFormat="1" ht="15" customHeight="1">
      <c r="A1141" s="35"/>
      <c r="B1141" s="35"/>
      <c r="C1141" s="35"/>
      <c r="D1141" s="35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</row>
    <row r="1142" spans="1:19" s="1" customFormat="1" ht="15" customHeight="1">
      <c r="A1142" s="35"/>
      <c r="B1142" s="35"/>
      <c r="C1142" s="35"/>
      <c r="D1142" s="35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</row>
    <row r="1143" spans="1:19" s="1" customFormat="1" ht="15" customHeight="1">
      <c r="A1143" s="35"/>
      <c r="B1143" s="35"/>
      <c r="C1143" s="35"/>
      <c r="D1143" s="35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</row>
    <row r="1144" spans="1:19" s="1" customFormat="1" ht="15" customHeight="1">
      <c r="A1144" s="35"/>
      <c r="B1144" s="35"/>
      <c r="C1144" s="35"/>
      <c r="D1144" s="35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</row>
    <row r="1145" spans="1:19" s="1" customFormat="1" ht="15" customHeight="1">
      <c r="A1145" s="35"/>
      <c r="B1145" s="35"/>
      <c r="C1145" s="35"/>
      <c r="D1145" s="35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</row>
    <row r="1146" spans="1:19" s="1" customFormat="1" ht="15" customHeight="1">
      <c r="A1146" s="35"/>
      <c r="B1146" s="35"/>
      <c r="C1146" s="35"/>
      <c r="D1146" s="35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</row>
    <row r="1147" spans="1:19" s="1" customFormat="1" ht="15" customHeight="1">
      <c r="A1147" s="35"/>
      <c r="B1147" s="35"/>
      <c r="C1147" s="35"/>
      <c r="D1147" s="35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</row>
    <row r="1148" spans="1:19" s="1" customFormat="1" ht="15" customHeight="1">
      <c r="A1148" s="35"/>
      <c r="B1148" s="35"/>
      <c r="C1148" s="35"/>
      <c r="D1148" s="35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</row>
    <row r="1149" spans="1:19" s="1" customFormat="1" ht="15" customHeight="1">
      <c r="A1149" s="35"/>
      <c r="B1149" s="35"/>
      <c r="C1149" s="35"/>
      <c r="D1149" s="35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</row>
    <row r="1150" spans="1:19" s="1" customFormat="1" ht="15" customHeight="1">
      <c r="A1150" s="35"/>
      <c r="B1150" s="35"/>
      <c r="C1150" s="35"/>
      <c r="D1150" s="35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</row>
    <row r="1151" spans="1:19" s="1" customFormat="1" ht="15" customHeight="1">
      <c r="A1151" s="35"/>
      <c r="B1151" s="35"/>
      <c r="C1151" s="35"/>
      <c r="D1151" s="35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</row>
    <row r="1152" spans="1:19" s="1" customFormat="1" ht="15" customHeight="1">
      <c r="A1152" s="35"/>
      <c r="B1152" s="35"/>
      <c r="C1152" s="35"/>
      <c r="D1152" s="35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</row>
    <row r="1153" spans="1:19" s="1" customFormat="1" ht="15" customHeight="1">
      <c r="A1153" s="35"/>
      <c r="B1153" s="35"/>
      <c r="C1153" s="35"/>
      <c r="D1153" s="35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</row>
    <row r="1154" spans="1:19" s="1" customFormat="1" ht="15" customHeight="1">
      <c r="A1154" s="35"/>
      <c r="B1154" s="35"/>
      <c r="C1154" s="35"/>
      <c r="D1154" s="35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</row>
    <row r="1155" spans="1:19" s="1" customFormat="1" ht="15" customHeight="1">
      <c r="A1155" s="35"/>
      <c r="B1155" s="35"/>
      <c r="C1155" s="35"/>
      <c r="D1155" s="35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</row>
    <row r="1156" spans="1:19" s="1" customFormat="1" ht="15" customHeight="1">
      <c r="A1156" s="35"/>
      <c r="B1156" s="35"/>
      <c r="C1156" s="35"/>
      <c r="D1156" s="35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</row>
    <row r="1157" spans="1:19" s="1" customFormat="1" ht="15" customHeight="1">
      <c r="A1157" s="35"/>
      <c r="B1157" s="35"/>
      <c r="C1157" s="35"/>
      <c r="D1157" s="35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</row>
    <row r="1158" spans="1:19" s="1" customFormat="1" ht="15" customHeight="1">
      <c r="A1158" s="35"/>
      <c r="B1158" s="35"/>
      <c r="C1158" s="35"/>
      <c r="D1158" s="35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</row>
    <row r="1159" spans="1:19" s="1" customFormat="1" ht="15" customHeight="1">
      <c r="A1159" s="35"/>
      <c r="B1159" s="35"/>
      <c r="C1159" s="35"/>
      <c r="D1159" s="35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</row>
    <row r="1160" spans="1:19" s="1" customFormat="1" ht="15" customHeight="1">
      <c r="A1160" s="35"/>
      <c r="B1160" s="35"/>
      <c r="C1160" s="35"/>
      <c r="D1160" s="35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</row>
    <row r="1161" spans="1:19" s="1" customFormat="1" ht="15" customHeight="1">
      <c r="A1161" s="35"/>
      <c r="B1161" s="35"/>
      <c r="C1161" s="35"/>
      <c r="D1161" s="35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</row>
    <row r="1162" spans="1:19" s="1" customFormat="1" ht="15" customHeight="1">
      <c r="A1162" s="35"/>
      <c r="B1162" s="35"/>
      <c r="C1162" s="35"/>
      <c r="D1162" s="35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</row>
    <row r="1163" spans="1:19" s="1" customFormat="1" ht="15" customHeight="1">
      <c r="A1163" s="35"/>
      <c r="B1163" s="35"/>
      <c r="C1163" s="35"/>
      <c r="D1163" s="35"/>
      <c r="E1163" s="35"/>
      <c r="F1163" s="35"/>
      <c r="G1163" s="35"/>
      <c r="H1163" s="35"/>
      <c r="I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</row>
    <row r="1164" spans="1:19" s="1" customFormat="1" ht="15" customHeight="1">
      <c r="A1164" s="35"/>
      <c r="B1164" s="35"/>
      <c r="C1164" s="35"/>
      <c r="D1164" s="35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</row>
    <row r="1165" spans="1:19" s="1" customFormat="1" ht="15" customHeight="1">
      <c r="A1165" s="35"/>
      <c r="B1165" s="35"/>
      <c r="C1165" s="35"/>
      <c r="D1165" s="35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</row>
    <row r="1166" spans="1:19" s="1" customFormat="1" ht="15" customHeight="1">
      <c r="A1166" s="35"/>
      <c r="B1166" s="35"/>
      <c r="C1166" s="35"/>
      <c r="D1166" s="35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</row>
    <row r="1167" spans="1:19" s="1" customFormat="1" ht="15" customHeight="1">
      <c r="A1167" s="35"/>
      <c r="B1167" s="35"/>
      <c r="C1167" s="35"/>
      <c r="D1167" s="35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</row>
    <row r="1168" spans="1:19" s="1" customFormat="1" ht="15" customHeight="1">
      <c r="A1168" s="35"/>
      <c r="B1168" s="35"/>
      <c r="C1168" s="35"/>
      <c r="D1168" s="35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</row>
    <row r="1169" spans="1:19" s="1" customFormat="1" ht="15" customHeight="1">
      <c r="A1169" s="35"/>
      <c r="B1169" s="35"/>
      <c r="C1169" s="35"/>
      <c r="D1169" s="35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</row>
    <row r="1170" spans="1:19" s="1" customFormat="1" ht="15" customHeight="1">
      <c r="A1170" s="35"/>
      <c r="B1170" s="35"/>
      <c r="C1170" s="35"/>
      <c r="D1170" s="35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</row>
    <row r="1171" spans="1:19" s="1" customFormat="1" ht="15" customHeight="1">
      <c r="A1171" s="35"/>
      <c r="B1171" s="35"/>
      <c r="C1171" s="35"/>
      <c r="D1171" s="35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</row>
    <row r="1172" spans="1:19" s="1" customFormat="1" ht="15" customHeight="1">
      <c r="A1172" s="35"/>
      <c r="B1172" s="35"/>
      <c r="C1172" s="35"/>
      <c r="D1172" s="35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</row>
    <row r="1173" spans="1:19" s="1" customFormat="1" ht="15" customHeight="1">
      <c r="A1173" s="35"/>
      <c r="B1173" s="35"/>
      <c r="C1173" s="35"/>
      <c r="D1173" s="35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</row>
    <row r="1174" spans="1:19" s="1" customFormat="1" ht="15" customHeight="1">
      <c r="A1174" s="35"/>
      <c r="B1174" s="35"/>
      <c r="C1174" s="35"/>
      <c r="D1174" s="35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</row>
    <row r="1175" spans="1:19" s="1" customFormat="1" ht="15" customHeight="1">
      <c r="A1175" s="35"/>
      <c r="B1175" s="35"/>
      <c r="C1175" s="35"/>
      <c r="D1175" s="35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</row>
    <row r="1176" spans="1:19" s="1" customFormat="1" ht="15" customHeight="1">
      <c r="A1176" s="35"/>
      <c r="B1176" s="35"/>
      <c r="C1176" s="35"/>
      <c r="D1176" s="35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</row>
    <row r="1177" spans="1:19" s="1" customFormat="1" ht="15" customHeight="1">
      <c r="A1177" s="35"/>
      <c r="B1177" s="35"/>
      <c r="C1177" s="35"/>
      <c r="D1177" s="35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</row>
    <row r="1178" spans="1:19" s="1" customFormat="1" ht="15" customHeight="1">
      <c r="A1178" s="35"/>
      <c r="B1178" s="35"/>
      <c r="C1178" s="35"/>
      <c r="D1178" s="35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</row>
    <row r="1179" spans="1:19" s="1" customFormat="1" ht="15" customHeight="1">
      <c r="A1179" s="35"/>
      <c r="B1179" s="35"/>
      <c r="C1179" s="35"/>
      <c r="D1179" s="35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</row>
    <row r="1180" spans="1:19" s="1" customFormat="1" ht="15" customHeight="1">
      <c r="A1180" s="35"/>
      <c r="B1180" s="35"/>
      <c r="C1180" s="35"/>
      <c r="D1180" s="35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</row>
    <row r="1181" spans="1:19" s="1" customFormat="1" ht="15" customHeight="1">
      <c r="A1181" s="35"/>
      <c r="B1181" s="35"/>
      <c r="C1181" s="35"/>
      <c r="D1181" s="35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</row>
    <row r="1182" spans="1:19" s="1" customFormat="1" ht="15" customHeight="1">
      <c r="A1182" s="35"/>
      <c r="B1182" s="35"/>
      <c r="C1182" s="35"/>
      <c r="D1182" s="35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</row>
    <row r="1183" spans="1:19" s="1" customFormat="1" ht="15" customHeight="1">
      <c r="A1183" s="35"/>
      <c r="B1183" s="35"/>
      <c r="C1183" s="35"/>
      <c r="D1183" s="35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</row>
    <row r="1184" spans="1:19" s="1" customFormat="1" ht="15" customHeight="1">
      <c r="A1184" s="35"/>
      <c r="B1184" s="35"/>
      <c r="C1184" s="35"/>
      <c r="D1184" s="35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</row>
    <row r="1185" spans="1:19" s="1" customFormat="1" ht="15" customHeight="1">
      <c r="A1185" s="35"/>
      <c r="B1185" s="35"/>
      <c r="C1185" s="35"/>
      <c r="D1185" s="35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</row>
    <row r="1186" spans="1:19" s="1" customFormat="1" ht="15" customHeight="1">
      <c r="A1186" s="35"/>
      <c r="B1186" s="35"/>
      <c r="C1186" s="35"/>
      <c r="D1186" s="35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</row>
    <row r="1187" spans="1:19" s="1" customFormat="1" ht="15" customHeight="1">
      <c r="A1187" s="35"/>
      <c r="B1187" s="35"/>
      <c r="C1187" s="35"/>
      <c r="D1187" s="35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</row>
    <row r="1188" spans="1:19" s="1" customFormat="1" ht="15" customHeight="1">
      <c r="A1188" s="35"/>
      <c r="B1188" s="35"/>
      <c r="C1188" s="35"/>
      <c r="D1188" s="35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</row>
    <row r="1189" spans="1:19" s="1" customFormat="1" ht="15" customHeight="1">
      <c r="A1189" s="35"/>
      <c r="B1189" s="35"/>
      <c r="C1189" s="35"/>
      <c r="D1189" s="35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</row>
    <row r="1190" spans="1:19" s="1" customFormat="1" ht="15" customHeight="1">
      <c r="A1190" s="35"/>
      <c r="B1190" s="35"/>
      <c r="C1190" s="35"/>
      <c r="D1190" s="35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</row>
    <row r="1191" spans="1:19" s="1" customFormat="1" ht="15" customHeight="1">
      <c r="A1191" s="35"/>
      <c r="B1191" s="35"/>
      <c r="C1191" s="35"/>
      <c r="D1191" s="35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</row>
    <row r="1192" spans="1:19" s="1" customFormat="1" ht="15" customHeight="1">
      <c r="A1192" s="35"/>
      <c r="B1192" s="35"/>
      <c r="C1192" s="35"/>
      <c r="D1192" s="35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</row>
    <row r="1193" spans="1:19" s="1" customFormat="1" ht="15" customHeight="1">
      <c r="A1193" s="35"/>
      <c r="B1193" s="35"/>
      <c r="C1193" s="35"/>
      <c r="D1193" s="35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</row>
    <row r="1194" spans="1:19" s="1" customFormat="1" ht="15" customHeight="1">
      <c r="A1194" s="35"/>
      <c r="B1194" s="35"/>
      <c r="C1194" s="35"/>
      <c r="D1194" s="35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</row>
    <row r="1195" spans="1:19" s="1" customFormat="1" ht="15" customHeight="1">
      <c r="A1195" s="35"/>
      <c r="B1195" s="35"/>
      <c r="C1195" s="35"/>
      <c r="D1195" s="35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</row>
    <row r="1196" spans="1:19" s="1" customFormat="1" ht="15" customHeight="1">
      <c r="A1196" s="35"/>
      <c r="B1196" s="35"/>
      <c r="C1196" s="35"/>
      <c r="D1196" s="35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</row>
    <row r="1197" spans="1:19" s="1" customFormat="1" ht="15" customHeight="1">
      <c r="A1197" s="35"/>
      <c r="B1197" s="35"/>
      <c r="C1197" s="35"/>
      <c r="D1197" s="35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</row>
    <row r="1198" spans="1:19" s="1" customFormat="1" ht="15" customHeight="1">
      <c r="A1198" s="35"/>
      <c r="B1198" s="35"/>
      <c r="C1198" s="35"/>
      <c r="D1198" s="35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</row>
    <row r="1199" spans="1:19" s="1" customFormat="1" ht="15" customHeight="1">
      <c r="A1199" s="35"/>
      <c r="B1199" s="35"/>
      <c r="C1199" s="35"/>
      <c r="D1199" s="35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</row>
    <row r="1200" spans="1:19" s="1" customFormat="1" ht="15" customHeight="1">
      <c r="A1200" s="35"/>
      <c r="B1200" s="35"/>
      <c r="C1200" s="35"/>
      <c r="D1200" s="35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</row>
    <row r="1201" spans="1:19" s="1" customFormat="1" ht="15" customHeight="1">
      <c r="A1201" s="35"/>
      <c r="B1201" s="35"/>
      <c r="C1201" s="35"/>
      <c r="D1201" s="35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</row>
    <row r="1202" spans="1:19" s="1" customFormat="1" ht="15" customHeight="1">
      <c r="A1202" s="35"/>
      <c r="B1202" s="35"/>
      <c r="C1202" s="35"/>
      <c r="D1202" s="35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</row>
    <row r="1203" spans="1:19" s="1" customFormat="1" ht="15" customHeight="1">
      <c r="A1203" s="35"/>
      <c r="B1203" s="35"/>
      <c r="C1203" s="35"/>
      <c r="D1203" s="35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</row>
    <row r="1204" spans="1:19" s="1" customFormat="1" ht="15" customHeight="1">
      <c r="A1204" s="35"/>
      <c r="B1204" s="35"/>
      <c r="C1204" s="35"/>
      <c r="D1204" s="35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</row>
    <row r="1205" spans="1:19" s="1" customFormat="1" ht="15" customHeight="1">
      <c r="A1205" s="35"/>
      <c r="B1205" s="35"/>
      <c r="C1205" s="35"/>
      <c r="D1205" s="35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</row>
    <row r="1206" spans="1:19" s="1" customFormat="1" ht="15" customHeight="1">
      <c r="A1206" s="35"/>
      <c r="B1206" s="35"/>
      <c r="C1206" s="35"/>
      <c r="D1206" s="35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</row>
    <row r="1207" spans="1:19" s="1" customFormat="1" ht="15" customHeight="1">
      <c r="A1207" s="35"/>
      <c r="B1207" s="35"/>
      <c r="C1207" s="35"/>
      <c r="D1207" s="35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</row>
    <row r="1208" spans="1:19" s="1" customFormat="1" ht="15" customHeight="1">
      <c r="A1208" s="35"/>
      <c r="B1208" s="35"/>
      <c r="C1208" s="35"/>
      <c r="D1208" s="35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</row>
    <row r="1209" spans="1:19" s="1" customFormat="1" ht="15" customHeight="1">
      <c r="A1209" s="35"/>
      <c r="B1209" s="35"/>
      <c r="C1209" s="35"/>
      <c r="D1209" s="35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</row>
    <row r="1210" spans="1:19" s="1" customFormat="1" ht="15" customHeight="1">
      <c r="A1210" s="35"/>
      <c r="B1210" s="35"/>
      <c r="C1210" s="35"/>
      <c r="D1210" s="35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</row>
    <row r="1211" spans="1:19" s="1" customFormat="1" ht="15" customHeight="1">
      <c r="A1211" s="35"/>
      <c r="B1211" s="35"/>
      <c r="C1211" s="35"/>
      <c r="D1211" s="35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</row>
    <row r="1212" spans="1:19" s="1" customFormat="1" ht="15" customHeight="1">
      <c r="A1212" s="35"/>
      <c r="B1212" s="35"/>
      <c r="C1212" s="35"/>
      <c r="D1212" s="35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</row>
    <row r="1213" spans="1:19" s="1" customFormat="1" ht="15" customHeight="1">
      <c r="A1213" s="35"/>
      <c r="B1213" s="35"/>
      <c r="C1213" s="35"/>
      <c r="D1213" s="35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</row>
    <row r="1214" spans="1:19" s="1" customFormat="1" ht="15" customHeight="1">
      <c r="A1214" s="35"/>
      <c r="B1214" s="35"/>
      <c r="C1214" s="35"/>
      <c r="D1214" s="35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</row>
    <row r="1215" spans="1:19" s="1" customFormat="1" ht="15" customHeight="1">
      <c r="A1215" s="35"/>
      <c r="B1215" s="35"/>
      <c r="C1215" s="35"/>
      <c r="D1215" s="35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</row>
    <row r="1216" spans="1:19" s="1" customFormat="1" ht="15" customHeight="1">
      <c r="A1216" s="35"/>
      <c r="B1216" s="35"/>
      <c r="C1216" s="35"/>
      <c r="D1216" s="35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</row>
    <row r="1217" spans="1:19" s="1" customFormat="1" ht="15" customHeight="1">
      <c r="A1217" s="35"/>
      <c r="B1217" s="35"/>
      <c r="C1217" s="35"/>
      <c r="D1217" s="35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</row>
    <row r="1218" spans="1:19" s="1" customFormat="1" ht="15" customHeight="1">
      <c r="A1218" s="35"/>
      <c r="B1218" s="35"/>
      <c r="C1218" s="35"/>
      <c r="D1218" s="35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</row>
    <row r="1219" spans="1:19" s="1" customFormat="1" ht="15" customHeight="1">
      <c r="A1219" s="35"/>
      <c r="B1219" s="35"/>
      <c r="C1219" s="35"/>
      <c r="D1219" s="35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</row>
    <row r="1220" spans="1:19" s="1" customFormat="1" ht="15" customHeight="1">
      <c r="A1220" s="35"/>
      <c r="B1220" s="35"/>
      <c r="C1220" s="35"/>
      <c r="D1220" s="35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</row>
    <row r="1221" spans="1:19" s="1" customFormat="1" ht="15" customHeight="1">
      <c r="A1221" s="35"/>
      <c r="B1221" s="35"/>
      <c r="C1221" s="35"/>
      <c r="D1221" s="35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</row>
    <row r="1222" spans="1:19" s="1" customFormat="1" ht="15" customHeight="1">
      <c r="A1222" s="35"/>
      <c r="B1222" s="35"/>
      <c r="C1222" s="35"/>
      <c r="D1222" s="35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</row>
    <row r="1223" spans="1:19" s="1" customFormat="1" ht="15" customHeight="1">
      <c r="A1223" s="35"/>
      <c r="B1223" s="35"/>
      <c r="C1223" s="35"/>
      <c r="D1223" s="35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</row>
    <row r="1224" spans="1:19" s="1" customFormat="1" ht="15" customHeight="1">
      <c r="A1224" s="35"/>
      <c r="B1224" s="35"/>
      <c r="C1224" s="35"/>
      <c r="D1224" s="35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</row>
    <row r="1225" spans="1:19" s="1" customFormat="1" ht="15" customHeight="1">
      <c r="A1225" s="35"/>
      <c r="B1225" s="35"/>
      <c r="C1225" s="35"/>
      <c r="D1225" s="35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</row>
    <row r="1226" spans="1:19" s="1" customFormat="1" ht="15" customHeight="1">
      <c r="A1226" s="35"/>
      <c r="B1226" s="35"/>
      <c r="C1226" s="35"/>
      <c r="D1226" s="35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</row>
    <row r="1227" spans="1:19" s="1" customFormat="1" ht="15" customHeight="1">
      <c r="A1227" s="35"/>
      <c r="B1227" s="35"/>
      <c r="C1227" s="35"/>
      <c r="D1227" s="35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</row>
    <row r="1228" spans="1:19" s="1" customFormat="1" ht="15" customHeight="1">
      <c r="A1228" s="35"/>
      <c r="B1228" s="35"/>
      <c r="C1228" s="35"/>
      <c r="D1228" s="35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</row>
    <row r="1229" spans="1:19" s="1" customFormat="1" ht="15" customHeight="1">
      <c r="A1229" s="35"/>
      <c r="B1229" s="35"/>
      <c r="C1229" s="35"/>
      <c r="D1229" s="35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</row>
    <row r="1230" spans="1:19" s="1" customFormat="1" ht="15" customHeight="1">
      <c r="A1230" s="35"/>
      <c r="B1230" s="35"/>
      <c r="C1230" s="35"/>
      <c r="D1230" s="35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</row>
    <row r="1231" spans="1:19" s="1" customFormat="1" ht="15" customHeight="1">
      <c r="A1231" s="35"/>
      <c r="B1231" s="35"/>
      <c r="C1231" s="35"/>
      <c r="D1231" s="35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</row>
    <row r="1232" spans="1:19" s="1" customFormat="1" ht="15" customHeight="1">
      <c r="A1232" s="35"/>
      <c r="B1232" s="35"/>
      <c r="C1232" s="35"/>
      <c r="D1232" s="35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</row>
    <row r="1233" spans="1:19" s="1" customFormat="1" ht="15" customHeight="1">
      <c r="A1233" s="35"/>
      <c r="B1233" s="35"/>
      <c r="C1233" s="35"/>
      <c r="D1233" s="35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</row>
    <row r="1234" spans="1:19" s="1" customFormat="1" ht="15" customHeight="1">
      <c r="A1234" s="35"/>
      <c r="B1234" s="35"/>
      <c r="C1234" s="35"/>
      <c r="D1234" s="35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</row>
    <row r="1235" spans="1:19" s="1" customFormat="1" ht="15" customHeight="1">
      <c r="A1235" s="35"/>
      <c r="B1235" s="35"/>
      <c r="C1235" s="35"/>
      <c r="D1235" s="35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</row>
    <row r="1236" spans="1:19" s="1" customFormat="1" ht="15" customHeight="1">
      <c r="A1236" s="35"/>
      <c r="B1236" s="35"/>
      <c r="C1236" s="35"/>
      <c r="D1236" s="35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</row>
    <row r="1237" spans="1:19" s="1" customFormat="1" ht="15" customHeight="1">
      <c r="A1237" s="35"/>
      <c r="B1237" s="35"/>
      <c r="C1237" s="35"/>
      <c r="D1237" s="35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</row>
    <row r="1238" spans="1:19" s="1" customFormat="1" ht="15" customHeight="1">
      <c r="A1238" s="35"/>
      <c r="B1238" s="35"/>
      <c r="C1238" s="35"/>
      <c r="D1238" s="35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</row>
    <row r="1239" spans="1:19" s="1" customFormat="1" ht="15" customHeight="1">
      <c r="A1239" s="35"/>
      <c r="B1239" s="35"/>
      <c r="C1239" s="35"/>
      <c r="D1239" s="35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</row>
    <row r="1240" spans="1:19" s="1" customFormat="1" ht="15" customHeight="1">
      <c r="A1240" s="35"/>
      <c r="B1240" s="35"/>
      <c r="C1240" s="35"/>
      <c r="D1240" s="35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</row>
    <row r="1241" spans="1:19" s="1" customFormat="1" ht="15" customHeight="1">
      <c r="A1241" s="35"/>
      <c r="B1241" s="35"/>
      <c r="C1241" s="35"/>
      <c r="D1241" s="35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</row>
    <row r="1242" spans="1:19" s="1" customFormat="1" ht="15" customHeight="1">
      <c r="A1242" s="35"/>
      <c r="B1242" s="35"/>
      <c r="C1242" s="35"/>
      <c r="D1242" s="35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</row>
    <row r="1243" spans="1:19" s="1" customFormat="1" ht="15" customHeight="1">
      <c r="A1243" s="35"/>
      <c r="B1243" s="35"/>
      <c r="C1243" s="35"/>
      <c r="D1243" s="35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</row>
    <row r="1244" spans="1:19" s="1" customFormat="1" ht="15" customHeight="1">
      <c r="A1244" s="35"/>
      <c r="B1244" s="35"/>
      <c r="C1244" s="35"/>
      <c r="D1244" s="35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</row>
    <row r="1245" spans="1:19" s="1" customFormat="1" ht="15" customHeight="1">
      <c r="A1245" s="35"/>
      <c r="B1245" s="35"/>
      <c r="C1245" s="35"/>
      <c r="D1245" s="35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</row>
    <row r="1246" spans="1:19" s="1" customFormat="1" ht="15" customHeight="1">
      <c r="A1246" s="35"/>
      <c r="B1246" s="35"/>
      <c r="C1246" s="35"/>
      <c r="D1246" s="35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</row>
    <row r="1247" spans="1:19" s="1" customFormat="1" ht="15" customHeight="1">
      <c r="A1247" s="35"/>
      <c r="B1247" s="35"/>
      <c r="C1247" s="35"/>
      <c r="D1247" s="35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</row>
    <row r="1248" spans="1:19" s="1" customFormat="1" ht="15" customHeight="1">
      <c r="A1248" s="35"/>
      <c r="B1248" s="35"/>
      <c r="C1248" s="35"/>
      <c r="D1248" s="35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</row>
    <row r="1249" spans="1:19" s="1" customFormat="1" ht="15" customHeight="1">
      <c r="A1249" s="35"/>
      <c r="B1249" s="35"/>
      <c r="C1249" s="35"/>
      <c r="D1249" s="35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</row>
    <row r="1250" spans="1:19" s="1" customFormat="1" ht="15" customHeight="1">
      <c r="A1250" s="35"/>
      <c r="B1250" s="35"/>
      <c r="C1250" s="35"/>
      <c r="D1250" s="35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</row>
    <row r="1251" spans="1:19" s="1" customFormat="1" ht="15" customHeight="1">
      <c r="A1251" s="35"/>
      <c r="B1251" s="35"/>
      <c r="C1251" s="35"/>
      <c r="D1251" s="35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</row>
    <row r="1252" spans="1:19" s="1" customFormat="1" ht="15" customHeight="1">
      <c r="A1252" s="35"/>
      <c r="B1252" s="35"/>
      <c r="C1252" s="35"/>
      <c r="D1252" s="35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</row>
    <row r="1253" spans="1:19" s="1" customFormat="1" ht="15" customHeight="1">
      <c r="A1253" s="35"/>
      <c r="B1253" s="35"/>
      <c r="C1253" s="35"/>
      <c r="D1253" s="35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</row>
    <row r="1254" spans="1:19" s="1" customFormat="1" ht="15" customHeight="1">
      <c r="A1254" s="35"/>
      <c r="B1254" s="35"/>
      <c r="C1254" s="35"/>
      <c r="D1254" s="35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</row>
    <row r="1255" spans="1:19" s="1" customFormat="1" ht="15" customHeight="1">
      <c r="A1255" s="35"/>
      <c r="B1255" s="35"/>
      <c r="C1255" s="35"/>
      <c r="D1255" s="35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</row>
    <row r="1256" spans="1:19" s="1" customFormat="1" ht="15" customHeight="1">
      <c r="A1256" s="35"/>
      <c r="B1256" s="35"/>
      <c r="C1256" s="35"/>
      <c r="D1256" s="35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</row>
    <row r="1257" spans="1:19" s="1" customFormat="1" ht="15" customHeight="1">
      <c r="A1257" s="35"/>
      <c r="B1257" s="35"/>
      <c r="C1257" s="35"/>
      <c r="D1257" s="35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</row>
    <row r="1258" spans="1:19" s="1" customFormat="1" ht="15" customHeight="1">
      <c r="A1258" s="35"/>
      <c r="B1258" s="35"/>
      <c r="C1258" s="35"/>
      <c r="D1258" s="35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</row>
    <row r="1259" spans="1:19" s="1" customFormat="1" ht="15" customHeight="1">
      <c r="A1259" s="35"/>
      <c r="B1259" s="35"/>
      <c r="C1259" s="35"/>
      <c r="D1259" s="35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</row>
    <row r="1260" spans="1:19" s="1" customFormat="1" ht="15" customHeight="1">
      <c r="A1260" s="35"/>
      <c r="B1260" s="35"/>
      <c r="C1260" s="35"/>
      <c r="D1260" s="35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</row>
    <row r="1261" spans="1:19" s="1" customFormat="1" ht="15" customHeight="1">
      <c r="A1261" s="35"/>
      <c r="B1261" s="35"/>
      <c r="C1261" s="35"/>
      <c r="D1261" s="35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</row>
    <row r="1262" spans="1:19" s="1" customFormat="1" ht="15" customHeight="1">
      <c r="A1262" s="35"/>
      <c r="B1262" s="35"/>
      <c r="C1262" s="35"/>
      <c r="D1262" s="35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</row>
    <row r="1263" spans="1:19" s="1" customFormat="1" ht="15" customHeight="1">
      <c r="A1263" s="35"/>
      <c r="B1263" s="35"/>
      <c r="C1263" s="35"/>
      <c r="D1263" s="35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</row>
    <row r="1264" spans="1:19" s="1" customFormat="1" ht="15" customHeight="1">
      <c r="A1264" s="35"/>
      <c r="B1264" s="35"/>
      <c r="C1264" s="35"/>
      <c r="D1264" s="35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</row>
    <row r="1265" spans="1:19" s="1" customFormat="1" ht="15" customHeight="1">
      <c r="A1265" s="35"/>
      <c r="B1265" s="35"/>
      <c r="C1265" s="35"/>
      <c r="D1265" s="35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</row>
    <row r="1266" spans="1:19" s="1" customFormat="1" ht="15" customHeight="1">
      <c r="A1266" s="35"/>
      <c r="B1266" s="35"/>
      <c r="C1266" s="35"/>
      <c r="D1266" s="35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</row>
    <row r="1267" spans="1:19" s="1" customFormat="1" ht="15" customHeight="1">
      <c r="A1267" s="35"/>
      <c r="B1267" s="35"/>
      <c r="C1267" s="35"/>
      <c r="D1267" s="35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</row>
    <row r="1268" spans="1:19" s="1" customFormat="1" ht="15" customHeight="1">
      <c r="A1268" s="35"/>
      <c r="B1268" s="35"/>
      <c r="C1268" s="35"/>
      <c r="D1268" s="35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</row>
    <row r="1269" spans="1:19" s="1" customFormat="1" ht="15" customHeight="1">
      <c r="A1269" s="35"/>
      <c r="B1269" s="35"/>
      <c r="C1269" s="35"/>
      <c r="D1269" s="35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</row>
    <row r="1270" spans="1:19" s="1" customFormat="1" ht="15" customHeight="1">
      <c r="A1270" s="35"/>
      <c r="B1270" s="35"/>
      <c r="C1270" s="35"/>
      <c r="D1270" s="35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</row>
    <row r="1271" spans="1:19" s="1" customFormat="1" ht="15" customHeight="1">
      <c r="A1271" s="35"/>
      <c r="B1271" s="35"/>
      <c r="C1271" s="35"/>
      <c r="D1271" s="35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</row>
    <row r="1272" spans="1:19" s="1" customFormat="1" ht="15" customHeight="1">
      <c r="A1272" s="35"/>
      <c r="B1272" s="35"/>
      <c r="C1272" s="35"/>
      <c r="D1272" s="35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</row>
    <row r="1273" spans="1:19" s="1" customFormat="1" ht="15" customHeight="1">
      <c r="A1273" s="35"/>
      <c r="B1273" s="35"/>
      <c r="C1273" s="35"/>
      <c r="D1273" s="35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</row>
    <row r="1274" spans="1:19" s="1" customFormat="1" ht="15" customHeight="1">
      <c r="A1274" s="35"/>
      <c r="B1274" s="35"/>
      <c r="C1274" s="35"/>
      <c r="D1274" s="35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</row>
    <row r="1275" spans="1:19" s="1" customFormat="1" ht="15" customHeight="1">
      <c r="A1275" s="35"/>
      <c r="B1275" s="35"/>
      <c r="C1275" s="35"/>
      <c r="D1275" s="35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</row>
    <row r="1276" spans="1:19" s="1" customFormat="1" ht="15" customHeight="1">
      <c r="A1276" s="35"/>
      <c r="B1276" s="35"/>
      <c r="C1276" s="35"/>
      <c r="D1276" s="35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</row>
    <row r="1277" spans="1:19" s="1" customFormat="1" ht="15" customHeight="1">
      <c r="A1277" s="35"/>
      <c r="B1277" s="35"/>
      <c r="C1277" s="35"/>
      <c r="D1277" s="35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</row>
    <row r="1278" spans="1:19" s="1" customFormat="1" ht="15" customHeight="1">
      <c r="A1278" s="35"/>
      <c r="B1278" s="35"/>
      <c r="C1278" s="35"/>
      <c r="D1278" s="35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</row>
    <row r="1279" spans="1:19" s="1" customFormat="1" ht="15" customHeight="1">
      <c r="A1279" s="35"/>
      <c r="B1279" s="35"/>
      <c r="C1279" s="35"/>
      <c r="D1279" s="35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</row>
    <row r="1280" spans="1:19" s="1" customFormat="1" ht="15" customHeight="1">
      <c r="A1280" s="35"/>
      <c r="B1280" s="35"/>
      <c r="C1280" s="35"/>
      <c r="D1280" s="35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</row>
    <row r="1281" spans="1:19" s="1" customFormat="1" ht="15" customHeight="1">
      <c r="A1281" s="35"/>
      <c r="B1281" s="35"/>
      <c r="C1281" s="35"/>
      <c r="D1281" s="35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</row>
    <row r="1282" spans="1:19" s="1" customFormat="1" ht="15" customHeight="1">
      <c r="A1282" s="35"/>
      <c r="B1282" s="35"/>
      <c r="C1282" s="35"/>
      <c r="D1282" s="35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</row>
    <row r="1283" spans="1:19" s="1" customFormat="1" ht="15" customHeight="1">
      <c r="A1283" s="35"/>
      <c r="B1283" s="35"/>
      <c r="C1283" s="35"/>
      <c r="D1283" s="35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</row>
    <row r="1284" spans="1:19" s="1" customFormat="1" ht="15" customHeight="1">
      <c r="A1284" s="35"/>
      <c r="B1284" s="35"/>
      <c r="C1284" s="35"/>
      <c r="D1284" s="35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</row>
    <row r="1285" spans="1:19" s="1" customFormat="1" ht="15" customHeight="1">
      <c r="A1285" s="35"/>
      <c r="B1285" s="35"/>
      <c r="C1285" s="35"/>
      <c r="D1285" s="35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</row>
    <row r="1286" spans="1:19" s="1" customFormat="1" ht="15" customHeight="1">
      <c r="A1286" s="35"/>
      <c r="B1286" s="35"/>
      <c r="C1286" s="35"/>
      <c r="D1286" s="35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</row>
    <row r="1287" spans="1:19" s="1" customFormat="1" ht="15" customHeight="1">
      <c r="A1287" s="35"/>
      <c r="B1287" s="35"/>
      <c r="C1287" s="35"/>
      <c r="D1287" s="35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</row>
    <row r="1288" spans="1:19" s="1" customFormat="1" ht="15" customHeight="1">
      <c r="A1288" s="35"/>
      <c r="B1288" s="35"/>
      <c r="C1288" s="35"/>
      <c r="D1288" s="35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</row>
    <row r="1289" spans="1:19" s="1" customFormat="1" ht="15" customHeight="1">
      <c r="A1289" s="35"/>
      <c r="B1289" s="35"/>
      <c r="C1289" s="35"/>
      <c r="D1289" s="35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</row>
    <row r="1290" spans="1:19" s="1" customFormat="1" ht="15" customHeight="1">
      <c r="A1290" s="35"/>
      <c r="B1290" s="35"/>
      <c r="C1290" s="35"/>
      <c r="D1290" s="35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</row>
    <row r="1291" spans="1:19" s="1" customFormat="1" ht="15" customHeight="1">
      <c r="A1291" s="35"/>
      <c r="B1291" s="35"/>
      <c r="C1291" s="35"/>
      <c r="D1291" s="35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</row>
    <row r="1292" spans="1:19" s="1" customFormat="1" ht="15" customHeight="1">
      <c r="A1292" s="35"/>
      <c r="B1292" s="35"/>
      <c r="C1292" s="35"/>
      <c r="D1292" s="35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</row>
    <row r="1293" spans="1:19" s="1" customFormat="1" ht="15" customHeight="1">
      <c r="A1293" s="35"/>
      <c r="B1293" s="35"/>
      <c r="C1293" s="35"/>
      <c r="D1293" s="35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</row>
    <row r="1294" spans="1:19" s="1" customFormat="1" ht="15" customHeight="1">
      <c r="A1294" s="35"/>
      <c r="B1294" s="35"/>
      <c r="C1294" s="35"/>
      <c r="D1294" s="35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</row>
    <row r="1295" spans="1:19" s="1" customFormat="1" ht="15" customHeight="1">
      <c r="A1295" s="35"/>
      <c r="B1295" s="35"/>
      <c r="C1295" s="35"/>
      <c r="D1295" s="35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</row>
    <row r="1296" spans="1:19" s="1" customFormat="1" ht="15" customHeight="1">
      <c r="A1296" s="35"/>
      <c r="B1296" s="35"/>
      <c r="C1296" s="35"/>
      <c r="D1296" s="35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</row>
    <row r="1297" spans="1:19" s="1" customFormat="1" ht="15" customHeight="1">
      <c r="A1297" s="35"/>
      <c r="B1297" s="35"/>
      <c r="C1297" s="35"/>
      <c r="D1297" s="35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</row>
    <row r="1298" spans="1:19" s="1" customFormat="1" ht="15" customHeight="1">
      <c r="A1298" s="35"/>
      <c r="B1298" s="35"/>
      <c r="C1298" s="35"/>
      <c r="D1298" s="35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</row>
    <row r="1299" spans="1:19" s="1" customFormat="1" ht="15" customHeight="1">
      <c r="A1299" s="35"/>
      <c r="B1299" s="35"/>
      <c r="C1299" s="35"/>
      <c r="D1299" s="35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</row>
    <row r="1300" spans="1:19" s="1" customFormat="1" ht="15" customHeight="1">
      <c r="A1300" s="35"/>
      <c r="B1300" s="35"/>
      <c r="C1300" s="35"/>
      <c r="D1300" s="35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</row>
    <row r="1301" spans="1:19" s="1" customFormat="1" ht="15" customHeight="1">
      <c r="A1301" s="35"/>
      <c r="B1301" s="35"/>
      <c r="C1301" s="35"/>
      <c r="D1301" s="35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</row>
    <row r="1302" spans="1:19" s="1" customFormat="1" ht="15" customHeight="1">
      <c r="A1302" s="35"/>
      <c r="B1302" s="35"/>
      <c r="C1302" s="35"/>
      <c r="D1302" s="35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</row>
    <row r="1303" spans="1:19" s="1" customFormat="1" ht="15" customHeight="1">
      <c r="A1303" s="35"/>
      <c r="B1303" s="35"/>
      <c r="C1303" s="35"/>
      <c r="D1303" s="35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</row>
    <row r="1304" spans="1:19" s="1" customFormat="1" ht="15" customHeight="1">
      <c r="A1304" s="35"/>
      <c r="B1304" s="35"/>
      <c r="C1304" s="35"/>
      <c r="D1304" s="35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</row>
    <row r="1305" spans="1:19" s="1" customFormat="1" ht="15" customHeight="1">
      <c r="A1305" s="35"/>
      <c r="B1305" s="35"/>
      <c r="C1305" s="35"/>
      <c r="D1305" s="35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</row>
    <row r="1306" spans="1:19" s="1" customFormat="1" ht="15" customHeight="1">
      <c r="A1306" s="35"/>
      <c r="B1306" s="35"/>
      <c r="C1306" s="35"/>
      <c r="D1306" s="35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</row>
    <row r="1307" spans="1:19" s="1" customFormat="1" ht="15" customHeight="1">
      <c r="A1307" s="35"/>
      <c r="B1307" s="35"/>
      <c r="C1307" s="35"/>
      <c r="D1307" s="35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</row>
    <row r="1308" spans="1:19" s="1" customFormat="1" ht="15" customHeight="1">
      <c r="A1308" s="35"/>
      <c r="B1308" s="35"/>
      <c r="C1308" s="35"/>
      <c r="D1308" s="35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</row>
    <row r="1309" spans="1:19" s="1" customFormat="1" ht="15" customHeight="1">
      <c r="A1309" s="35"/>
      <c r="B1309" s="35"/>
      <c r="C1309" s="35"/>
      <c r="D1309" s="35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</row>
    <row r="1310" spans="1:19" s="1" customFormat="1" ht="15" customHeight="1">
      <c r="A1310" s="35"/>
      <c r="B1310" s="35"/>
      <c r="C1310" s="35"/>
      <c r="D1310" s="35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</row>
    <row r="1311" spans="1:19" s="1" customFormat="1" ht="15" customHeight="1">
      <c r="A1311" s="35"/>
      <c r="B1311" s="35"/>
      <c r="C1311" s="35"/>
      <c r="D1311" s="35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</row>
    <row r="1312" spans="1:19" s="1" customFormat="1" ht="15" customHeight="1">
      <c r="A1312" s="35"/>
      <c r="B1312" s="35"/>
      <c r="C1312" s="35"/>
      <c r="D1312" s="35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</row>
    <row r="1313" spans="1:19" s="1" customFormat="1" ht="15" customHeight="1">
      <c r="A1313" s="35"/>
      <c r="B1313" s="35"/>
      <c r="C1313" s="35"/>
      <c r="D1313" s="35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</row>
    <row r="1314" spans="1:19" s="1" customFormat="1" ht="15" customHeight="1">
      <c r="A1314" s="35"/>
      <c r="B1314" s="35"/>
      <c r="C1314" s="35"/>
      <c r="D1314" s="35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</row>
    <row r="1315" spans="1:19" s="1" customFormat="1" ht="15" customHeight="1">
      <c r="A1315" s="35"/>
      <c r="B1315" s="35"/>
      <c r="C1315" s="35"/>
      <c r="D1315" s="35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</row>
    <row r="1316" spans="1:19" s="1" customFormat="1" ht="15" customHeight="1">
      <c r="A1316" s="35"/>
      <c r="B1316" s="35"/>
      <c r="C1316" s="35"/>
      <c r="D1316" s="35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</row>
    <row r="1317" spans="1:19" s="1" customFormat="1" ht="15" customHeight="1">
      <c r="A1317" s="35"/>
      <c r="B1317" s="35"/>
      <c r="C1317" s="35"/>
      <c r="D1317" s="35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</row>
    <row r="1318" spans="1:19" s="1" customFormat="1" ht="15" customHeight="1">
      <c r="A1318" s="35"/>
      <c r="B1318" s="35"/>
      <c r="C1318" s="35"/>
      <c r="D1318" s="35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</row>
    <row r="1319" spans="1:19" s="1" customFormat="1" ht="15" customHeight="1">
      <c r="A1319" s="35"/>
      <c r="B1319" s="35"/>
      <c r="C1319" s="35"/>
      <c r="D1319" s="35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</row>
    <row r="1320" spans="1:19" s="1" customFormat="1" ht="15" customHeight="1">
      <c r="A1320" s="35"/>
      <c r="B1320" s="35"/>
      <c r="C1320" s="35"/>
      <c r="D1320" s="35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</row>
    <row r="1321" spans="1:19" s="1" customFormat="1" ht="15" customHeight="1">
      <c r="A1321" s="35"/>
      <c r="B1321" s="35"/>
      <c r="C1321" s="35"/>
      <c r="D1321" s="35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</row>
    <row r="1322" spans="1:19" s="1" customFormat="1" ht="15" customHeight="1">
      <c r="A1322" s="35"/>
      <c r="B1322" s="35"/>
      <c r="C1322" s="35"/>
      <c r="D1322" s="35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</row>
    <row r="1323" spans="1:19" s="1" customFormat="1" ht="15" customHeight="1">
      <c r="A1323" s="35"/>
      <c r="B1323" s="35"/>
      <c r="C1323" s="35"/>
      <c r="D1323" s="35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</row>
    <row r="1324" spans="1:19" s="1" customFormat="1" ht="15" customHeight="1">
      <c r="A1324" s="35"/>
      <c r="B1324" s="35"/>
      <c r="C1324" s="35"/>
      <c r="D1324" s="35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</row>
    <row r="1325" spans="1:19" s="1" customFormat="1" ht="15" customHeight="1">
      <c r="A1325" s="35"/>
      <c r="B1325" s="35"/>
      <c r="C1325" s="35"/>
      <c r="D1325" s="35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</row>
    <row r="1326" spans="1:19" s="1" customFormat="1" ht="15" customHeight="1">
      <c r="A1326" s="35"/>
      <c r="B1326" s="35"/>
      <c r="C1326" s="35"/>
      <c r="D1326" s="35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</row>
    <row r="1327" spans="1:19" s="1" customFormat="1" ht="15" customHeight="1">
      <c r="A1327" s="35"/>
      <c r="B1327" s="35"/>
      <c r="C1327" s="35"/>
      <c r="D1327" s="35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</row>
    <row r="1328" spans="1:19" s="1" customFormat="1" ht="15" customHeight="1">
      <c r="A1328" s="35"/>
      <c r="B1328" s="35"/>
      <c r="C1328" s="35"/>
      <c r="D1328" s="35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</row>
    <row r="1329" spans="1:19" s="1" customFormat="1" ht="15" customHeight="1">
      <c r="A1329" s="35"/>
      <c r="B1329" s="35"/>
      <c r="C1329" s="35"/>
      <c r="D1329" s="35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</row>
    <row r="1330" spans="1:19" s="1" customFormat="1" ht="15" customHeight="1">
      <c r="A1330" s="35"/>
      <c r="B1330" s="35"/>
      <c r="C1330" s="35"/>
      <c r="D1330" s="35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</row>
    <row r="1331" spans="1:19" s="1" customFormat="1" ht="15" customHeight="1">
      <c r="A1331" s="35"/>
      <c r="B1331" s="35"/>
      <c r="C1331" s="35"/>
      <c r="D1331" s="35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</row>
    <row r="1332" spans="1:19" s="1" customFormat="1" ht="15" customHeight="1">
      <c r="A1332" s="35"/>
      <c r="B1332" s="35"/>
      <c r="C1332" s="35"/>
      <c r="D1332" s="35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</row>
    <row r="1333" spans="1:19" s="1" customFormat="1" ht="15" customHeight="1">
      <c r="A1333" s="35"/>
      <c r="B1333" s="35"/>
      <c r="C1333" s="35"/>
      <c r="D1333" s="35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</row>
    <row r="1334" spans="1:19" s="1" customFormat="1" ht="15" customHeight="1">
      <c r="A1334" s="35"/>
      <c r="B1334" s="35"/>
      <c r="C1334" s="35"/>
      <c r="D1334" s="35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</row>
    <row r="1335" spans="1:19" s="1" customFormat="1" ht="15" customHeight="1">
      <c r="A1335" s="35"/>
      <c r="B1335" s="35"/>
      <c r="C1335" s="35"/>
      <c r="D1335" s="35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</row>
    <row r="1336" spans="1:19" s="1" customFormat="1" ht="15" customHeight="1">
      <c r="A1336" s="35"/>
      <c r="B1336" s="35"/>
      <c r="C1336" s="35"/>
      <c r="D1336" s="35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</row>
    <row r="1337" spans="1:19" s="1" customFormat="1" ht="15" customHeight="1">
      <c r="A1337" s="35"/>
      <c r="B1337" s="35"/>
      <c r="C1337" s="35"/>
      <c r="D1337" s="35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</row>
    <row r="1338" spans="1:19" s="1" customFormat="1" ht="15" customHeight="1">
      <c r="A1338" s="35"/>
      <c r="B1338" s="35"/>
      <c r="C1338" s="35"/>
      <c r="D1338" s="35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</row>
    <row r="1339" spans="1:19" s="1" customFormat="1" ht="15" customHeight="1">
      <c r="A1339" s="35"/>
      <c r="B1339" s="35"/>
      <c r="C1339" s="35"/>
      <c r="D1339" s="35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</row>
    <row r="1340" spans="1:19" s="1" customFormat="1" ht="15" customHeight="1">
      <c r="A1340" s="35"/>
      <c r="B1340" s="35"/>
      <c r="C1340" s="35"/>
      <c r="D1340" s="35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</row>
    <row r="1341" spans="1:19" s="1" customFormat="1" ht="15" customHeight="1">
      <c r="A1341" s="35"/>
      <c r="B1341" s="35"/>
      <c r="C1341" s="35"/>
      <c r="D1341" s="35"/>
      <c r="E1341" s="35"/>
      <c r="F1341" s="35"/>
      <c r="G1341" s="35"/>
      <c r="H1341" s="35"/>
      <c r="I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</row>
    <row r="1342" spans="1:19" s="1" customFormat="1" ht="15" customHeight="1">
      <c r="A1342" s="35"/>
      <c r="B1342" s="35"/>
      <c r="C1342" s="35"/>
      <c r="D1342" s="35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</row>
    <row r="1343" spans="1:19" s="1" customFormat="1" ht="15" customHeight="1">
      <c r="A1343" s="35"/>
      <c r="B1343" s="35"/>
      <c r="C1343" s="35"/>
      <c r="D1343" s="35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</row>
    <row r="1344" spans="1:19" s="1" customFormat="1" ht="15" customHeight="1">
      <c r="A1344" s="35"/>
      <c r="B1344" s="35"/>
      <c r="C1344" s="35"/>
      <c r="D1344" s="35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</row>
    <row r="1345" spans="1:19" s="1" customFormat="1" ht="15" customHeight="1">
      <c r="A1345" s="35"/>
      <c r="B1345" s="35"/>
      <c r="C1345" s="35"/>
      <c r="D1345" s="35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</row>
    <row r="1346" spans="1:19" s="1" customFormat="1" ht="15" customHeight="1">
      <c r="A1346" s="35"/>
      <c r="B1346" s="35"/>
      <c r="C1346" s="35"/>
      <c r="D1346" s="35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</row>
    <row r="1347" spans="1:19" s="1" customFormat="1" ht="15" customHeight="1">
      <c r="A1347" s="35"/>
      <c r="B1347" s="35"/>
      <c r="C1347" s="35"/>
      <c r="D1347" s="35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</row>
    <row r="1348" spans="1:19" s="1" customFormat="1" ht="15" customHeight="1">
      <c r="A1348" s="35"/>
      <c r="B1348" s="35"/>
      <c r="C1348" s="35"/>
      <c r="D1348" s="35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</row>
    <row r="1349" spans="1:19" s="1" customFormat="1" ht="15" customHeight="1">
      <c r="A1349" s="35"/>
      <c r="B1349" s="35"/>
      <c r="C1349" s="35"/>
      <c r="D1349" s="35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</row>
    <row r="1350" spans="1:19" s="1" customFormat="1" ht="15" customHeight="1">
      <c r="A1350" s="35"/>
      <c r="B1350" s="35"/>
      <c r="C1350" s="35"/>
      <c r="D1350" s="35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</row>
    <row r="1351" spans="1:19" s="1" customFormat="1" ht="15" customHeight="1">
      <c r="P1351" s="35"/>
      <c r="Q1351" s="35"/>
      <c r="R1351" s="35"/>
      <c r="S1351" s="35"/>
    </row>
    <row r="1352" spans="1:19" s="1" customFormat="1" ht="15" customHeight="1">
      <c r="P1352" s="35"/>
      <c r="Q1352" s="35"/>
      <c r="R1352" s="35"/>
      <c r="S1352" s="35"/>
    </row>
    <row r="1353" spans="1:19" s="1" customFormat="1" ht="15" customHeight="1">
      <c r="Q1353" s="35"/>
      <c r="R1353" s="35"/>
      <c r="S1353" s="35"/>
    </row>
    <row r="1354" spans="1:19" s="1" customFormat="1" ht="15" customHeight="1">
      <c r="Q1354" s="35"/>
      <c r="R1354" s="35"/>
      <c r="S1354" s="35"/>
    </row>
    <row r="1355" spans="1:19" s="1" customFormat="1" ht="15" customHeight="1">
      <c r="Q1355" s="35"/>
      <c r="R1355" s="35"/>
      <c r="S1355" s="35"/>
    </row>
    <row r="1356" spans="1:19" s="1" customFormat="1" ht="15" customHeight="1">
      <c r="Q1356" s="35"/>
      <c r="R1356" s="35"/>
      <c r="S1356" s="35"/>
    </row>
    <row r="1357" spans="1:19" s="1" customFormat="1" ht="15" customHeight="1">
      <c r="S1357" s="35"/>
    </row>
    <row r="1358" spans="1:19" s="1" customFormat="1" ht="15" customHeight="1">
      <c r="S1358" s="35"/>
    </row>
    <row r="1359" spans="1:19" s="1" customFormat="1" ht="15" customHeight="1">
      <c r="S1359" s="35"/>
    </row>
    <row r="1360" spans="1:19" s="1" customFormat="1" ht="15" customHeight="1">
      <c r="S1360" s="35"/>
    </row>
    <row r="1361" spans="19:19" s="1" customFormat="1" ht="15" customHeight="1">
      <c r="S1361" s="35"/>
    </row>
    <row r="1362" spans="19:19" s="1" customFormat="1" ht="15" customHeight="1"/>
    <row r="1363" spans="19:19" s="1" customFormat="1" ht="15" customHeight="1"/>
    <row r="1364" spans="19:19" s="1" customFormat="1" ht="15" customHeight="1"/>
    <row r="1365" spans="19:19" s="1" customFormat="1" ht="15" customHeight="1"/>
    <row r="1366" spans="19:19" s="1" customFormat="1" ht="15" customHeight="1"/>
    <row r="1367" spans="19:19" s="1" customFormat="1" ht="15" customHeight="1"/>
    <row r="1368" spans="19:19" s="1" customFormat="1" ht="15" customHeight="1"/>
    <row r="1369" spans="19:19" s="1" customFormat="1" ht="15" customHeight="1"/>
    <row r="1370" spans="19:19" s="1" customFormat="1" ht="15" customHeight="1"/>
    <row r="1371" spans="19:19" s="1" customFormat="1" ht="15" customHeight="1"/>
    <row r="1372" spans="19:19" s="1" customFormat="1" ht="15" customHeight="1"/>
    <row r="1373" spans="19:19" s="1" customFormat="1" ht="15" customHeight="1"/>
    <row r="1374" spans="19:19" s="1" customFormat="1" ht="15" customHeight="1"/>
    <row r="1375" spans="19:19" s="1" customFormat="1" ht="15" customHeight="1"/>
    <row r="1376" spans="19:19" s="1" customFormat="1" ht="15" customHeight="1"/>
    <row r="1377" s="1" customFormat="1" ht="15" customHeight="1"/>
    <row r="1378" s="1" customFormat="1" ht="15" customHeight="1"/>
    <row r="1379" s="1" customFormat="1" ht="15" customHeight="1"/>
    <row r="1380" s="1" customFormat="1" ht="15" customHeight="1"/>
    <row r="1381" s="1" customFormat="1" ht="15" customHeight="1"/>
    <row r="1382" s="1" customFormat="1" ht="15" customHeight="1"/>
    <row r="1383" s="1" customFormat="1" ht="15" customHeight="1"/>
    <row r="1384" s="1" customFormat="1" ht="15" customHeight="1"/>
    <row r="1385" s="1" customFormat="1" ht="15" customHeight="1"/>
    <row r="1386" s="1" customFormat="1" ht="15" customHeight="1"/>
    <row r="1387" s="1" customFormat="1" ht="15" customHeight="1"/>
    <row r="1388" s="1" customFormat="1" ht="15" customHeight="1"/>
    <row r="1389" s="1" customFormat="1" ht="15" customHeight="1"/>
    <row r="1390" s="1" customFormat="1" ht="15" customHeight="1"/>
    <row r="1391" s="1" customFormat="1" ht="15" customHeight="1"/>
    <row r="1392" s="1" customFormat="1" ht="15" customHeight="1"/>
    <row r="1393" s="1" customFormat="1" ht="15" customHeight="1"/>
    <row r="1394" s="1" customFormat="1" ht="15" customHeight="1"/>
    <row r="1395" s="1" customFormat="1" ht="15" customHeight="1"/>
    <row r="1396" s="1" customFormat="1" ht="15" customHeight="1"/>
    <row r="1397" s="1" customFormat="1" ht="15" customHeight="1"/>
    <row r="1398" s="1" customFormat="1" ht="15" customHeight="1"/>
    <row r="1399" s="1" customFormat="1" ht="15" customHeight="1"/>
    <row r="1400" s="1" customFormat="1" ht="15" customHeight="1"/>
    <row r="1401" s="1" customFormat="1" ht="15" customHeight="1"/>
    <row r="1402" s="1" customFormat="1" ht="15" customHeight="1"/>
    <row r="1403" s="1" customFormat="1" ht="15" customHeight="1"/>
    <row r="1404" s="1" customFormat="1" ht="15" customHeight="1"/>
    <row r="1405" s="1" customFormat="1" ht="15" customHeight="1"/>
    <row r="1406" s="1" customFormat="1" ht="15" customHeight="1"/>
    <row r="1407" s="1" customFormat="1" ht="15" customHeight="1"/>
    <row r="1408" s="1" customFormat="1" ht="15" customHeight="1"/>
    <row r="1409" s="1" customFormat="1" ht="15" customHeight="1"/>
    <row r="1410" s="1" customFormat="1" ht="15" customHeight="1"/>
    <row r="1411" s="1" customFormat="1" ht="15" customHeight="1"/>
    <row r="1412" s="1" customFormat="1" ht="15" customHeight="1"/>
    <row r="1413" s="1" customFormat="1" ht="15" customHeight="1"/>
    <row r="1414" s="1" customFormat="1" ht="15" customHeight="1"/>
    <row r="1415" s="1" customFormat="1" ht="15" customHeight="1"/>
    <row r="1416" s="1" customFormat="1" ht="15" customHeight="1"/>
    <row r="1417" s="1" customFormat="1" ht="15" customHeight="1"/>
    <row r="1418" s="1" customFormat="1" ht="15" customHeight="1"/>
    <row r="1419" s="1" customFormat="1" ht="15" customHeight="1"/>
    <row r="1420" s="1" customFormat="1" ht="15" customHeight="1"/>
    <row r="1421" s="1" customFormat="1" ht="15" customHeight="1"/>
    <row r="1422" s="1" customFormat="1" ht="15" customHeight="1"/>
    <row r="1423" s="1" customFormat="1" ht="15" customHeight="1"/>
    <row r="1424" s="1" customFormat="1" ht="15" customHeight="1"/>
    <row r="1425" s="1" customFormat="1" ht="15" customHeight="1"/>
    <row r="1426" s="1" customFormat="1" ht="15" customHeight="1"/>
    <row r="1427" s="1" customFormat="1" ht="15" customHeight="1"/>
    <row r="1428" s="1" customFormat="1" ht="15" customHeight="1"/>
    <row r="1429" s="1" customFormat="1" ht="15" customHeight="1"/>
    <row r="1430" s="1" customFormat="1" ht="15" customHeight="1"/>
    <row r="1431" s="1" customFormat="1" ht="15" customHeight="1"/>
    <row r="1432" s="1" customFormat="1" ht="15" customHeight="1"/>
    <row r="1433" s="1" customFormat="1" ht="15" customHeight="1"/>
    <row r="1434" s="1" customFormat="1" ht="15" customHeight="1"/>
    <row r="1435" s="1" customFormat="1" ht="15" customHeight="1"/>
    <row r="1436" s="1" customFormat="1" ht="15" customHeight="1"/>
    <row r="1437" s="1" customFormat="1" ht="15" customHeight="1"/>
    <row r="1438" s="1" customFormat="1" ht="15" customHeight="1"/>
    <row r="1439" s="1" customFormat="1" ht="15" customHeight="1"/>
    <row r="1440" s="1" customFormat="1" ht="15" customHeight="1"/>
    <row r="1441" s="1" customFormat="1" ht="15" customHeight="1"/>
    <row r="1442" s="1" customFormat="1" ht="15" customHeight="1"/>
    <row r="1443" s="1" customFormat="1" ht="15" customHeight="1"/>
    <row r="1444" s="1" customFormat="1" ht="15" customHeight="1"/>
    <row r="1445" s="1" customFormat="1" ht="15" customHeight="1"/>
    <row r="1446" s="1" customFormat="1" ht="15" customHeight="1"/>
    <row r="1447" s="1" customFormat="1" ht="15" customHeight="1"/>
    <row r="1448" s="1" customFormat="1" ht="15" customHeight="1"/>
    <row r="1449" s="1" customFormat="1" ht="15" customHeight="1"/>
    <row r="1450" s="1" customFormat="1" ht="15" customHeight="1"/>
    <row r="1451" s="1" customFormat="1" ht="15" customHeight="1"/>
    <row r="1452" s="1" customFormat="1" ht="15" customHeight="1"/>
    <row r="1453" s="1" customFormat="1" ht="15" customHeight="1"/>
    <row r="1454" s="1" customFormat="1" ht="15" customHeight="1"/>
    <row r="1455" s="1" customFormat="1" ht="15" customHeight="1"/>
    <row r="1456" s="1" customFormat="1" ht="15" customHeight="1"/>
    <row r="1457" s="1" customFormat="1" ht="15" customHeight="1"/>
    <row r="1458" s="1" customFormat="1" ht="15" customHeight="1"/>
    <row r="1459" s="1" customFormat="1" ht="15" customHeight="1"/>
    <row r="1460" s="1" customFormat="1" ht="15" customHeight="1"/>
    <row r="1461" s="1" customFormat="1" ht="15" customHeight="1"/>
    <row r="1462" s="1" customFormat="1" ht="15" customHeight="1"/>
    <row r="1463" s="1" customFormat="1" ht="15" customHeight="1"/>
    <row r="1464" s="1" customFormat="1" ht="15" customHeight="1"/>
    <row r="1465" s="1" customFormat="1" ht="15" customHeight="1"/>
    <row r="1466" s="1" customFormat="1" ht="15" customHeight="1"/>
    <row r="1467" s="1" customFormat="1" ht="15" customHeight="1"/>
    <row r="1468" s="1" customFormat="1" ht="15" customHeight="1"/>
    <row r="1469" s="1" customFormat="1" ht="15" customHeight="1"/>
    <row r="1470" s="1" customFormat="1" ht="15" customHeight="1"/>
    <row r="1471" s="1" customFormat="1" ht="15" customHeight="1"/>
    <row r="1472" s="1" customFormat="1" ht="15" customHeight="1"/>
    <row r="1473" s="1" customFormat="1" ht="15" customHeight="1"/>
    <row r="1474" s="1" customFormat="1" ht="15" customHeight="1"/>
    <row r="1475" s="1" customFormat="1" ht="15" customHeight="1"/>
    <row r="1476" s="1" customFormat="1" ht="15" customHeight="1"/>
    <row r="1477" s="1" customFormat="1" ht="15" customHeight="1"/>
    <row r="1478" s="1" customFormat="1" ht="15" customHeight="1"/>
    <row r="1479" s="1" customFormat="1" ht="15" customHeight="1"/>
    <row r="1480" s="1" customFormat="1" ht="15" customHeight="1"/>
    <row r="1481" s="1" customFormat="1" ht="15" customHeight="1"/>
    <row r="1482" s="1" customFormat="1" ht="15" customHeight="1"/>
    <row r="1483" s="1" customFormat="1" ht="15" customHeight="1"/>
    <row r="1484" s="1" customFormat="1" ht="15" customHeight="1"/>
    <row r="1485" s="1" customFormat="1" ht="15" customHeight="1"/>
    <row r="1486" s="1" customFormat="1" ht="15" customHeight="1"/>
    <row r="1487" s="1" customFormat="1" ht="15" customHeight="1"/>
    <row r="1488" s="1" customFormat="1" ht="15" customHeight="1"/>
    <row r="1489" s="1" customFormat="1" ht="15" customHeight="1"/>
    <row r="1490" s="1" customFormat="1" ht="15" customHeight="1"/>
    <row r="1491" s="1" customFormat="1" ht="15" customHeight="1"/>
    <row r="1492" s="1" customFormat="1" ht="15" customHeight="1"/>
    <row r="1493" s="1" customFormat="1" ht="15" customHeight="1"/>
    <row r="1494" s="1" customFormat="1" ht="15" customHeight="1"/>
    <row r="1495" s="1" customFormat="1" ht="15" customHeight="1"/>
    <row r="1496" s="1" customFormat="1" ht="15" customHeight="1"/>
    <row r="1497" s="1" customFormat="1" ht="15" customHeight="1"/>
    <row r="1498" s="1" customFormat="1" ht="15" customHeight="1"/>
    <row r="1499" s="1" customFormat="1" ht="15" customHeight="1"/>
    <row r="1500" s="1" customFormat="1" ht="15" customHeight="1"/>
    <row r="1501" s="1" customFormat="1" ht="15" customHeight="1"/>
    <row r="1502" s="1" customFormat="1" ht="15" customHeight="1"/>
    <row r="1503" s="1" customFormat="1" ht="15" customHeight="1"/>
    <row r="1504" s="1" customFormat="1" ht="15" customHeight="1"/>
    <row r="1505" s="1" customFormat="1" ht="15" customHeight="1"/>
    <row r="1506" s="1" customFormat="1" ht="15" customHeight="1"/>
    <row r="1507" s="1" customFormat="1" ht="15" customHeight="1"/>
    <row r="1508" s="1" customFormat="1" ht="15" customHeight="1"/>
    <row r="1509" s="1" customFormat="1" ht="15" customHeight="1"/>
    <row r="1510" s="1" customFormat="1" ht="15" customHeight="1"/>
    <row r="1511" s="1" customFormat="1" ht="15" customHeight="1"/>
    <row r="1512" s="1" customFormat="1" ht="15" customHeight="1"/>
    <row r="1513" s="1" customFormat="1" ht="15" customHeight="1"/>
    <row r="1514" s="1" customFormat="1" ht="15" customHeight="1"/>
    <row r="1515" s="1" customFormat="1" ht="15" customHeight="1"/>
    <row r="1516" s="1" customFormat="1" ht="15" customHeight="1"/>
    <row r="1517" s="1" customFormat="1" ht="15" customHeight="1"/>
    <row r="1518" s="1" customFormat="1" ht="15" customHeight="1"/>
    <row r="1519" s="1" customFormat="1" ht="15" customHeight="1"/>
    <row r="1520" s="1" customFormat="1" ht="15" customHeight="1"/>
    <row r="1521" s="1" customFormat="1" ht="15" customHeight="1"/>
    <row r="1522" s="1" customFormat="1" ht="15" customHeight="1"/>
    <row r="1523" s="1" customFormat="1" ht="15" customHeight="1"/>
    <row r="1524" s="1" customFormat="1" ht="15" customHeight="1"/>
    <row r="1525" s="1" customFormat="1" ht="15" customHeight="1"/>
    <row r="1526" s="1" customFormat="1" ht="15" customHeight="1"/>
    <row r="1527" s="1" customFormat="1" ht="15" customHeight="1"/>
    <row r="1528" s="1" customFormat="1" ht="15" customHeight="1"/>
    <row r="1529" s="1" customFormat="1" ht="15" customHeight="1"/>
    <row r="1530" s="1" customFormat="1" ht="15" customHeight="1"/>
    <row r="1531" s="1" customFormat="1" ht="15" customHeight="1"/>
    <row r="1532" s="1" customFormat="1" ht="15" customHeight="1"/>
    <row r="1533" s="1" customFormat="1" ht="15" customHeight="1"/>
    <row r="1534" s="1" customFormat="1" ht="15" customHeight="1"/>
    <row r="1535" s="1" customFormat="1" ht="15" customHeight="1"/>
    <row r="1536" s="1" customFormat="1" ht="15" customHeight="1"/>
    <row r="1537" s="1" customFormat="1" ht="15" customHeight="1"/>
    <row r="1538" s="1" customFormat="1" ht="15" customHeight="1"/>
    <row r="1539" s="1" customFormat="1" ht="15" customHeight="1"/>
    <row r="1540" s="1" customFormat="1" ht="15" customHeight="1"/>
    <row r="1541" s="1" customFormat="1" ht="15" customHeight="1"/>
    <row r="1542" s="1" customFormat="1" ht="15" customHeight="1"/>
    <row r="1543" s="1" customFormat="1" ht="15" customHeight="1"/>
    <row r="1544" s="1" customFormat="1" ht="15" customHeight="1"/>
    <row r="1545" s="1" customFormat="1" ht="15" customHeight="1"/>
    <row r="1546" s="1" customFormat="1" ht="15" customHeight="1"/>
    <row r="1547" s="1" customFormat="1" ht="15" customHeight="1"/>
    <row r="1548" s="1" customFormat="1" ht="15" customHeight="1"/>
    <row r="1549" s="1" customFormat="1" ht="15" customHeight="1"/>
    <row r="1550" s="1" customFormat="1" ht="15" customHeight="1"/>
    <row r="1551" s="1" customFormat="1" ht="15" customHeight="1"/>
    <row r="1552" s="1" customFormat="1" ht="15" customHeight="1"/>
    <row r="1553" s="1" customFormat="1" ht="15" customHeight="1"/>
    <row r="1554" s="1" customFormat="1" ht="15" customHeight="1"/>
    <row r="1555" s="1" customFormat="1" ht="15" customHeight="1"/>
    <row r="1556" s="1" customFormat="1" ht="15" customHeight="1"/>
    <row r="1557" s="1" customFormat="1" ht="15" customHeight="1"/>
    <row r="1558" s="1" customFormat="1" ht="15" customHeight="1"/>
    <row r="1559" s="1" customFormat="1" ht="15" customHeight="1"/>
    <row r="1560" s="1" customFormat="1" ht="15" customHeight="1"/>
    <row r="1561" s="1" customFormat="1" ht="15" customHeight="1"/>
    <row r="1562" s="1" customFormat="1" ht="15" customHeight="1"/>
    <row r="1563" s="1" customFormat="1" ht="15" customHeight="1"/>
    <row r="1564" s="1" customFormat="1" ht="15" customHeight="1"/>
    <row r="1565" s="1" customFormat="1" ht="15" customHeight="1"/>
    <row r="1566" s="1" customFormat="1" ht="15" customHeight="1"/>
    <row r="1567" s="1" customFormat="1" ht="15" customHeight="1"/>
    <row r="1568" s="1" customFormat="1" ht="15" customHeight="1"/>
    <row r="1569" s="1" customFormat="1" ht="15" customHeight="1"/>
    <row r="1570" s="1" customFormat="1" ht="15" customHeight="1"/>
    <row r="1571" s="1" customFormat="1" ht="15" customHeight="1"/>
    <row r="1572" s="1" customFormat="1" ht="15" customHeight="1"/>
    <row r="1573" s="1" customFormat="1" ht="15" customHeight="1"/>
    <row r="1574" s="1" customFormat="1" ht="15" customHeight="1"/>
    <row r="1575" s="1" customFormat="1" ht="15" customHeight="1"/>
    <row r="1576" s="1" customFormat="1" ht="15" customHeight="1"/>
    <row r="1577" s="1" customFormat="1" ht="15" customHeight="1"/>
    <row r="1578" s="1" customFormat="1" ht="15" customHeight="1"/>
    <row r="1579" s="1" customFormat="1" ht="15" customHeight="1"/>
    <row r="1580" s="1" customFormat="1" ht="15" customHeight="1"/>
    <row r="1581" s="1" customFormat="1" ht="15" customHeight="1"/>
    <row r="1582" s="1" customFormat="1" ht="15" customHeight="1"/>
    <row r="1583" s="1" customFormat="1" ht="15" customHeight="1"/>
    <row r="1584" s="1" customFormat="1" ht="15" customHeight="1"/>
    <row r="1585" s="1" customFormat="1" ht="15" customHeight="1"/>
    <row r="1586" s="1" customFormat="1" ht="15" customHeight="1"/>
    <row r="1587" s="1" customFormat="1" ht="15" customHeight="1"/>
    <row r="1588" s="1" customFormat="1" ht="15" customHeight="1"/>
    <row r="1589" s="1" customFormat="1" ht="15" customHeight="1"/>
    <row r="1590" s="1" customFormat="1" ht="15" customHeight="1"/>
    <row r="1591" s="1" customFormat="1" ht="15" customHeight="1"/>
    <row r="1592" s="1" customFormat="1" ht="15" customHeight="1"/>
    <row r="1593" s="1" customFormat="1" ht="15" customHeight="1"/>
    <row r="1594" s="1" customFormat="1" ht="15" customHeight="1"/>
    <row r="1595" s="1" customFormat="1" ht="15" customHeight="1"/>
    <row r="1596" s="1" customFormat="1" ht="15" customHeight="1"/>
    <row r="1597" s="1" customFormat="1" ht="15" customHeight="1"/>
    <row r="1598" s="1" customFormat="1" ht="15" customHeight="1"/>
    <row r="1599" s="1" customFormat="1" ht="15" customHeight="1"/>
    <row r="1600" s="1" customFormat="1" ht="15" customHeight="1"/>
    <row r="1601" s="1" customFormat="1" ht="15" customHeight="1"/>
    <row r="1602" s="1" customFormat="1" ht="15" customHeight="1"/>
    <row r="1603" s="1" customFormat="1" ht="15" customHeight="1"/>
    <row r="1604" s="1" customFormat="1" ht="15" customHeight="1"/>
    <row r="1605" s="1" customFormat="1" ht="15" customHeight="1"/>
    <row r="1606" s="1" customFormat="1" ht="15" customHeight="1"/>
    <row r="1607" s="1" customFormat="1" ht="15" customHeight="1"/>
    <row r="1608" s="1" customFormat="1" ht="15" customHeight="1"/>
    <row r="1609" s="1" customFormat="1" ht="15" customHeight="1"/>
    <row r="1610" s="1" customFormat="1" ht="15" customHeight="1"/>
    <row r="1611" s="1" customFormat="1" ht="15" customHeight="1"/>
    <row r="1612" s="1" customFormat="1" ht="15" customHeight="1"/>
    <row r="1613" s="1" customFormat="1" ht="15" customHeight="1"/>
    <row r="1614" s="1" customFormat="1" ht="15" customHeight="1"/>
    <row r="1615" s="1" customFormat="1" ht="15" customHeight="1"/>
    <row r="1616" s="1" customFormat="1" ht="15" customHeight="1"/>
    <row r="1617" s="1" customFormat="1" ht="15" customHeight="1"/>
    <row r="1618" s="1" customFormat="1" ht="15" customHeight="1"/>
    <row r="1619" s="1" customFormat="1" ht="15" customHeight="1"/>
    <row r="1620" s="1" customFormat="1" ht="15" customHeight="1"/>
    <row r="1621" s="1" customFormat="1" ht="15" customHeight="1"/>
    <row r="1622" s="1" customFormat="1" ht="15" customHeight="1"/>
    <row r="1623" s="1" customFormat="1" ht="15" customHeight="1"/>
    <row r="1624" s="1" customFormat="1" ht="15" customHeight="1"/>
    <row r="1625" s="1" customFormat="1" ht="15" customHeight="1"/>
    <row r="1626" s="1" customFormat="1" ht="15" customHeight="1"/>
    <row r="1627" s="1" customFormat="1" ht="15" customHeight="1"/>
    <row r="1628" s="1" customFormat="1" ht="15" customHeight="1"/>
    <row r="1629" s="1" customFormat="1" ht="15" customHeight="1"/>
    <row r="1630" s="1" customFormat="1" ht="15" customHeight="1"/>
    <row r="1631" s="1" customFormat="1" ht="15" customHeight="1"/>
    <row r="1632" s="1" customFormat="1" ht="15" customHeight="1"/>
    <row r="1633" s="1" customFormat="1" ht="15" customHeight="1"/>
    <row r="1634" s="1" customFormat="1" ht="15" customHeight="1"/>
    <row r="1635" s="1" customFormat="1" ht="15" customHeight="1"/>
    <row r="1636" s="1" customFormat="1" ht="15" customHeight="1"/>
    <row r="1637" s="1" customFormat="1" ht="15" customHeight="1"/>
    <row r="1638" s="1" customFormat="1" ht="15" customHeight="1"/>
    <row r="1639" s="1" customFormat="1" ht="15" customHeight="1"/>
    <row r="1640" s="1" customFormat="1" ht="15" customHeight="1"/>
    <row r="1641" s="1" customFormat="1" ht="15" customHeight="1"/>
    <row r="1642" s="1" customFormat="1" ht="15" customHeight="1"/>
    <row r="1643" s="1" customFormat="1" ht="15" customHeight="1"/>
    <row r="1644" s="1" customFormat="1" ht="15" customHeight="1"/>
    <row r="1645" s="1" customFormat="1" ht="15" customHeight="1"/>
    <row r="1646" s="1" customFormat="1" ht="15" customHeight="1"/>
    <row r="1647" s="1" customFormat="1" ht="15" customHeight="1"/>
    <row r="1648" s="1" customFormat="1" ht="15" customHeight="1"/>
    <row r="1649" s="1" customFormat="1" ht="15" customHeight="1"/>
    <row r="1650" s="1" customFormat="1" ht="15" customHeight="1"/>
    <row r="1651" s="1" customFormat="1" ht="15" customHeight="1"/>
    <row r="1652" s="1" customFormat="1" ht="15" customHeight="1"/>
    <row r="1653" s="1" customFormat="1" ht="15" customHeight="1"/>
    <row r="1654" s="1" customFormat="1" ht="15" customHeight="1"/>
    <row r="1655" s="1" customFormat="1" ht="15" customHeight="1"/>
    <row r="1656" s="1" customFormat="1" ht="15" customHeight="1"/>
    <row r="1657" s="1" customFormat="1" ht="15" customHeight="1"/>
    <row r="1658" s="1" customFormat="1" ht="15" customHeight="1"/>
    <row r="1659" s="1" customFormat="1" ht="15" customHeight="1"/>
    <row r="1660" s="1" customFormat="1" ht="15" customHeight="1"/>
    <row r="1661" s="1" customFormat="1" ht="15" customHeight="1"/>
    <row r="1662" s="1" customFormat="1" ht="15" customHeight="1"/>
    <row r="1663" s="1" customFormat="1" ht="15" customHeight="1"/>
    <row r="1664" s="1" customFormat="1" ht="15" customHeight="1"/>
    <row r="1665" spans="1:24" s="1" customFormat="1" ht="15" customHeight="1"/>
    <row r="1666" spans="1:24" s="1" customFormat="1" ht="15" customHeight="1"/>
    <row r="1667" spans="1:24" s="1" customFormat="1" ht="15" customHeight="1"/>
    <row r="1668" spans="1:24" s="1" customFormat="1" ht="15" customHeight="1"/>
    <row r="1669" spans="1:24" s="1" customFormat="1" ht="15" customHeight="1"/>
    <row r="1670" spans="1:24" s="1" customFormat="1" ht="15" customHeight="1">
      <c r="X1670"/>
    </row>
    <row r="1671" spans="1:24" s="1" customFormat="1" ht="15" customHeight="1">
      <c r="X1671"/>
    </row>
    <row r="1672" spans="1:24" s="1" customFormat="1" ht="15" customHeight="1">
      <c r="X1672"/>
    </row>
    <row r="1673" spans="1:24" s="1" customFormat="1" ht="15" customHeight="1">
      <c r="X1673"/>
    </row>
    <row r="1674" spans="1:24" s="1" customFormat="1" ht="15" customHeight="1">
      <c r="X1674"/>
    </row>
    <row r="1675" spans="1:24" s="1" customFormat="1" ht="15" customHeight="1">
      <c r="X1675"/>
    </row>
    <row r="1676" spans="1:24" s="1" customFormat="1" ht="15" customHeight="1">
      <c r="X1676"/>
    </row>
    <row r="1677" spans="1:24" s="1" customFormat="1" ht="15" customHeight="1">
      <c r="X1677"/>
    </row>
    <row r="1678" spans="1:24" s="1" customFormat="1" ht="15" customHeight="1">
      <c r="X1678"/>
    </row>
    <row r="1679" spans="1:24" s="1" customFormat="1" ht="15" customHeight="1">
      <c r="X1679"/>
    </row>
    <row r="1680" spans="1:24" s="1" customFormat="1" ht="15" customHeight="1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X1680"/>
    </row>
    <row r="1681" spans="1:50" s="1" customFormat="1" ht="15" customHeight="1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X1681"/>
    </row>
    <row r="1682" spans="1:50" s="1" customFormat="1" ht="15" customHeight="1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X1682"/>
    </row>
    <row r="1683" spans="1:50" s="1" customFormat="1" ht="15" customHeight="1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X1683"/>
    </row>
    <row r="1684" spans="1:50" s="1" customFormat="1" ht="15" customHeight="1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X1684"/>
      <c r="AI1684"/>
    </row>
    <row r="1685" spans="1:50" s="1" customFormat="1" ht="15" customHeight="1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X1685"/>
      <c r="AI1685"/>
    </row>
    <row r="1686" spans="1:50" s="1" customFormat="1" ht="15" customHeight="1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X1686"/>
      <c r="AI1686"/>
    </row>
    <row r="1687" spans="1:50" s="1" customFormat="1" ht="15" customHeight="1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X1687"/>
      <c r="AB1687"/>
      <c r="AC1687"/>
      <c r="AD1687"/>
      <c r="AE1687"/>
      <c r="AF1687"/>
      <c r="AG1687"/>
      <c r="AH1687"/>
      <c r="AI1687"/>
    </row>
    <row r="1688" spans="1:50" s="1" customFormat="1" ht="15" customHeight="1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X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</row>
    <row r="1689" spans="1:50" s="1" customFormat="1" ht="15" customHeight="1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X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</row>
    <row r="1690" spans="1:50" s="1" customFormat="1" ht="15" customHeight="1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X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</row>
    <row r="1691" spans="1:50" ht="15" customHeight="1"/>
    <row r="1692" spans="1:50" ht="15" customHeight="1"/>
    <row r="1693" spans="1:50" ht="15" customHeight="1"/>
    <row r="1694" spans="1:50" ht="15" customHeight="1"/>
    <row r="1695" spans="1:50" ht="15" customHeight="1"/>
    <row r="1696" spans="1:50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</sheetData>
  <mergeCells count="42">
    <mergeCell ref="A11:O12"/>
    <mergeCell ref="A13:O13"/>
    <mergeCell ref="A54:O56"/>
    <mergeCell ref="A58:O58"/>
    <mergeCell ref="A59:O59"/>
    <mergeCell ref="A17:C17"/>
    <mergeCell ref="H37:L37"/>
    <mergeCell ref="A39:C39"/>
    <mergeCell ref="A44:C44"/>
    <mergeCell ref="A46:C46"/>
    <mergeCell ref="N33:O33"/>
    <mergeCell ref="N34:O34"/>
    <mergeCell ref="D46:O46"/>
    <mergeCell ref="A98:O98"/>
    <mergeCell ref="A50:C50"/>
    <mergeCell ref="N50:O50"/>
    <mergeCell ref="A62:D62"/>
    <mergeCell ref="E62:F62"/>
    <mergeCell ref="K62:M62"/>
    <mergeCell ref="N62:O62"/>
    <mergeCell ref="J85:M85"/>
    <mergeCell ref="A70:C70"/>
    <mergeCell ref="A73:C73"/>
    <mergeCell ref="A74:C74"/>
    <mergeCell ref="D74:E74"/>
    <mergeCell ref="D78:E78"/>
    <mergeCell ref="D82:E82"/>
    <mergeCell ref="H99:I99"/>
    <mergeCell ref="M99:N99"/>
    <mergeCell ref="Q105:R105"/>
    <mergeCell ref="Q109:R109"/>
    <mergeCell ref="C100:D100"/>
    <mergeCell ref="H100:I100"/>
    <mergeCell ref="M100:N100"/>
    <mergeCell ref="Q106:R106"/>
    <mergeCell ref="C103:D103"/>
    <mergeCell ref="H103:I103"/>
    <mergeCell ref="J103:K103"/>
    <mergeCell ref="N103:O103"/>
    <mergeCell ref="A101:O101"/>
    <mergeCell ref="A102:O102"/>
    <mergeCell ref="C99:D99"/>
  </mergeCells>
  <conditionalFormatting sqref="D50 D25 H37 N33:N34 D44 D39 D27 D29 D31">
    <cfRule type="containsBlanks" dxfId="1" priority="20">
      <formula>LEN(TRIM(D25))=0</formula>
    </cfRule>
  </conditionalFormatting>
  <conditionalFormatting sqref="D33">
    <cfRule type="containsBlanks" dxfId="0" priority="1">
      <formula>LEN(TRIM(D33))=0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94" fitToHeight="0" pageOrder="overThenDown" orientation="portrait" r:id="rId1"/>
  <headerFooter alignWithMargins="0">
    <oddFooter>&amp;RPage &amp;P/&amp;N</oddFooter>
  </headerFooter>
  <rowBreaks count="1" manualBreakCount="1">
    <brk id="56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4" r:id="rId4" name="Drop Down 4">
              <controlPr defaultSize="0" autoLine="0" autoPict="0">
                <anchor moveWithCells="1">
                  <from>
                    <xdr:col>19</xdr:col>
                    <xdr:colOff>476250</xdr:colOff>
                    <xdr:row>95</xdr:row>
                    <xdr:rowOff>9525</xdr:rowOff>
                  </from>
                  <to>
                    <xdr:col>21</xdr:col>
                    <xdr:colOff>390525</xdr:colOff>
                    <xdr:row>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5" name="Drop Down 5">
              <controlPr defaultSize="0" print="0" autoLine="0" autoPict="0">
                <anchor moveWithCells="1">
                  <from>
                    <xdr:col>13</xdr:col>
                    <xdr:colOff>0</xdr:colOff>
                    <xdr:row>48</xdr:row>
                    <xdr:rowOff>219075</xdr:rowOff>
                  </from>
                  <to>
                    <xdr:col>14</xdr:col>
                    <xdr:colOff>704850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6" name="Drop Down 6">
              <controlPr defaultSize="0" print="0" autoLine="0" autoPict="0">
                <anchor moveWithCells="1">
                  <from>
                    <xdr:col>12</xdr:col>
                    <xdr:colOff>457200</xdr:colOff>
                    <xdr:row>60</xdr:row>
                    <xdr:rowOff>228600</xdr:rowOff>
                  </from>
                  <to>
                    <xdr:col>14</xdr:col>
                    <xdr:colOff>552450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7" name="Drop Down 11">
              <controlPr defaultSize="0" print="0" autoLine="0" autoPict="0">
                <anchor moveWithCells="1">
                  <from>
                    <xdr:col>2</xdr:col>
                    <xdr:colOff>76200</xdr:colOff>
                    <xdr:row>44</xdr:row>
                    <xdr:rowOff>161925</xdr:rowOff>
                  </from>
                  <to>
                    <xdr:col>14</xdr:col>
                    <xdr:colOff>428625</xdr:colOff>
                    <xdr:row>46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pageSetUpPr fitToPage="1"/>
  </sheetPr>
  <dimension ref="A2:AN16380"/>
  <sheetViews>
    <sheetView zoomScale="85" zoomScaleNormal="85" workbookViewId="0">
      <selection activeCell="F42" sqref="F42"/>
    </sheetView>
  </sheetViews>
  <sheetFormatPr baseColWidth="10" defaultColWidth="11.42578125" defaultRowHeight="12.75"/>
  <cols>
    <col min="1" max="1" width="8.7109375" style="102" customWidth="1"/>
    <col min="2" max="2" width="0" style="102" hidden="1" customWidth="1"/>
    <col min="3" max="4" width="5.7109375" style="102" customWidth="1"/>
    <col min="5" max="6" width="6.7109375" style="102" customWidth="1"/>
    <col min="7" max="8" width="7.28515625" style="102" customWidth="1"/>
    <col min="9" max="9" width="5.7109375" style="102" customWidth="1"/>
    <col min="10" max="11" width="6.7109375" style="102" customWidth="1"/>
    <col min="12" max="12" width="5.7109375" style="102" customWidth="1"/>
    <col min="13" max="14" width="6.7109375" style="102" customWidth="1"/>
    <col min="15" max="15" width="5.7109375" style="102" customWidth="1"/>
    <col min="16" max="17" width="6.7109375" style="102" customWidth="1"/>
    <col min="18" max="18" width="5.7109375" style="102" customWidth="1"/>
    <col min="19" max="23" width="6.7109375" style="102" customWidth="1"/>
    <col min="24" max="24" width="5.7109375" style="102" customWidth="1"/>
    <col min="25" max="25" width="6.7109375" style="102" customWidth="1"/>
    <col min="26" max="35" width="3.7109375" style="101" customWidth="1"/>
    <col min="36" max="16384" width="11.42578125" style="102"/>
  </cols>
  <sheetData>
    <row r="2" spans="1:40" s="103" customFormat="1" ht="22.9" customHeight="1">
      <c r="A2" s="267" t="s">
        <v>27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Q2" s="267"/>
      <c r="R2" s="267"/>
      <c r="S2" s="267"/>
      <c r="T2" s="267"/>
      <c r="U2" s="267"/>
      <c r="V2" s="267"/>
      <c r="W2" s="267"/>
      <c r="X2" s="267"/>
      <c r="Y2" s="267"/>
    </row>
    <row r="3" spans="1:40" s="103" customFormat="1" ht="18" customHeight="1">
      <c r="A3" s="270" t="str">
        <f>'Rapport d''essai dimensionnel'!A13:O13</f>
        <v xml:space="preserve">N° 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  <c r="M3" s="270"/>
      <c r="N3" s="270"/>
      <c r="O3" s="270"/>
      <c r="P3" s="270"/>
      <c r="Q3" s="270"/>
      <c r="R3" s="270"/>
      <c r="S3" s="270"/>
      <c r="T3" s="270"/>
      <c r="U3" s="270"/>
      <c r="V3" s="270"/>
      <c r="W3" s="270"/>
      <c r="X3" s="270"/>
      <c r="Y3" s="270"/>
      <c r="AK3" s="104" t="s">
        <v>85</v>
      </c>
      <c r="AL3" s="104"/>
      <c r="AM3" s="104"/>
      <c r="AN3" s="105"/>
    </row>
    <row r="4" spans="1:40" s="103" customFormat="1" ht="19.5" customHeight="1">
      <c r="A4" s="277"/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</row>
    <row r="5" spans="1:40" ht="21.75" customHeight="1">
      <c r="A5" s="278" t="s">
        <v>86</v>
      </c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79"/>
      <c r="Y5" s="280"/>
      <c r="Z5" s="106"/>
      <c r="AA5" s="106"/>
      <c r="AB5" s="107"/>
      <c r="AC5" s="107"/>
      <c r="AD5" s="102"/>
      <c r="AE5" s="102"/>
      <c r="AF5" s="102"/>
      <c r="AG5" s="102"/>
      <c r="AH5" s="102"/>
      <c r="AI5" s="102"/>
    </row>
    <row r="6" spans="1:40" s="114" customFormat="1" ht="15" customHeight="1">
      <c r="A6" s="108"/>
      <c r="B6" s="109"/>
      <c r="C6" s="109"/>
      <c r="D6" s="109"/>
      <c r="E6" s="110"/>
      <c r="F6" s="110"/>
      <c r="G6" s="109"/>
      <c r="H6" s="109"/>
      <c r="I6" s="111"/>
      <c r="J6" s="109"/>
      <c r="K6" s="109"/>
      <c r="L6" s="111"/>
      <c r="M6" s="109"/>
      <c r="N6" s="109"/>
      <c r="O6" s="111"/>
      <c r="P6" s="109"/>
      <c r="Q6" s="109"/>
      <c r="R6" s="111"/>
      <c r="S6" s="109"/>
      <c r="T6" s="109"/>
      <c r="U6" s="109"/>
      <c r="V6" s="109"/>
      <c r="W6" s="109"/>
      <c r="X6" s="111"/>
      <c r="Y6" s="112"/>
      <c r="Z6" s="113"/>
      <c r="AA6" s="113"/>
      <c r="AB6" s="113"/>
      <c r="AC6" s="113"/>
      <c r="AD6" s="113"/>
      <c r="AE6" s="113"/>
      <c r="AF6" s="113"/>
      <c r="AG6" s="113"/>
      <c r="AH6" s="113"/>
      <c r="AI6" s="113"/>
    </row>
    <row r="7" spans="1:40" s="114" customFormat="1" ht="15" customHeight="1">
      <c r="A7" s="115"/>
      <c r="B7" s="116"/>
      <c r="C7" s="116"/>
      <c r="D7" s="116"/>
      <c r="E7" s="117"/>
      <c r="F7" s="117"/>
      <c r="G7" s="116"/>
      <c r="H7" s="116"/>
      <c r="I7" s="118"/>
      <c r="J7" s="116"/>
      <c r="K7" s="116"/>
      <c r="L7" s="118"/>
      <c r="M7" s="116"/>
      <c r="N7" s="116"/>
      <c r="O7" s="118"/>
      <c r="P7" s="116"/>
      <c r="Q7" s="116"/>
      <c r="R7" s="118"/>
      <c r="S7" s="116"/>
      <c r="T7" s="116"/>
      <c r="U7" s="116"/>
      <c r="V7" s="116"/>
      <c r="W7" s="116"/>
      <c r="X7" s="118"/>
      <c r="Y7" s="119"/>
      <c r="Z7" s="113"/>
      <c r="AA7" s="113"/>
      <c r="AB7" s="113"/>
      <c r="AC7" s="113"/>
      <c r="AD7" s="113"/>
      <c r="AE7" s="113"/>
      <c r="AF7" s="113"/>
      <c r="AG7" s="113"/>
      <c r="AH7" s="113"/>
      <c r="AI7" s="113"/>
    </row>
    <row r="8" spans="1:40" s="114" customFormat="1" ht="15" customHeight="1">
      <c r="A8" s="115"/>
      <c r="B8" s="116"/>
      <c r="C8" s="116"/>
      <c r="D8" s="116"/>
      <c r="E8" s="117"/>
      <c r="F8" s="117"/>
      <c r="G8" s="116"/>
      <c r="H8" s="116"/>
      <c r="I8" s="118"/>
      <c r="J8" s="116"/>
      <c r="K8" s="116"/>
      <c r="L8" s="118"/>
      <c r="M8" s="116"/>
      <c r="N8" s="116"/>
      <c r="O8" s="118"/>
      <c r="P8" s="116"/>
      <c r="Q8" s="116"/>
      <c r="R8" s="118"/>
      <c r="S8" s="116"/>
      <c r="T8" s="116"/>
      <c r="U8" s="116"/>
      <c r="V8" s="116"/>
      <c r="W8" s="116"/>
      <c r="X8" s="118"/>
      <c r="Y8" s="119"/>
      <c r="Z8" s="113"/>
      <c r="AA8" s="113"/>
      <c r="AB8" s="113"/>
      <c r="AC8" s="113"/>
      <c r="AD8" s="113"/>
      <c r="AE8" s="113"/>
      <c r="AF8" s="113"/>
      <c r="AG8" s="113"/>
      <c r="AH8" s="113"/>
      <c r="AI8" s="113"/>
    </row>
    <row r="9" spans="1:40" s="114" customFormat="1" ht="15" customHeight="1">
      <c r="A9" s="115"/>
      <c r="B9" s="116"/>
      <c r="C9" s="116"/>
      <c r="D9" s="116"/>
      <c r="E9" s="117"/>
      <c r="F9" s="117"/>
      <c r="G9" s="116"/>
      <c r="H9" s="116"/>
      <c r="I9" s="118"/>
      <c r="J9" s="116"/>
      <c r="K9" s="116"/>
      <c r="L9" s="118"/>
      <c r="M9" s="116"/>
      <c r="N9" s="116"/>
      <c r="O9" s="118"/>
      <c r="P9" s="116"/>
      <c r="Q9" s="116"/>
      <c r="R9" s="118"/>
      <c r="S9" s="116"/>
      <c r="T9" s="116"/>
      <c r="U9" s="116"/>
      <c r="V9" s="116"/>
      <c r="W9" s="116"/>
      <c r="X9" s="118"/>
      <c r="Y9" s="119"/>
      <c r="Z9" s="113"/>
      <c r="AA9" s="113"/>
      <c r="AB9" s="113"/>
      <c r="AC9" s="113"/>
      <c r="AD9" s="113"/>
      <c r="AE9" s="113"/>
      <c r="AF9" s="113"/>
      <c r="AG9" s="113"/>
      <c r="AH9" s="113"/>
      <c r="AI9" s="113"/>
    </row>
    <row r="10" spans="1:40" s="114" customFormat="1" ht="15" customHeight="1">
      <c r="A10" s="115"/>
      <c r="B10" s="116"/>
      <c r="C10" s="116"/>
      <c r="D10" s="116"/>
      <c r="E10" s="117"/>
      <c r="F10" s="117"/>
      <c r="G10" s="116"/>
      <c r="H10" s="116"/>
      <c r="I10" s="118"/>
      <c r="J10" s="116"/>
      <c r="K10" s="116"/>
      <c r="L10" s="118"/>
      <c r="M10" s="116"/>
      <c r="N10" s="116"/>
      <c r="O10" s="118"/>
      <c r="P10" s="116"/>
      <c r="Q10" s="116"/>
      <c r="R10" s="118"/>
      <c r="S10" s="116"/>
      <c r="T10" s="116"/>
      <c r="U10" s="116"/>
      <c r="V10" s="116"/>
      <c r="W10" s="116"/>
      <c r="X10" s="118"/>
      <c r="Y10" s="119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</row>
    <row r="11" spans="1:40" s="114" customFormat="1" ht="15" customHeight="1">
      <c r="A11" s="115"/>
      <c r="B11" s="116"/>
      <c r="C11" s="116"/>
      <c r="D11" s="116"/>
      <c r="E11" s="117"/>
      <c r="F11" s="117"/>
      <c r="G11" s="116"/>
      <c r="H11" s="116"/>
      <c r="I11" s="118"/>
      <c r="J11" s="116"/>
      <c r="K11" s="116"/>
      <c r="L11" s="118"/>
      <c r="M11" s="116"/>
      <c r="N11" s="116"/>
      <c r="O11" s="118"/>
      <c r="P11" s="116"/>
      <c r="Q11" s="116"/>
      <c r="R11" s="118"/>
      <c r="S11" s="116"/>
      <c r="T11" s="116"/>
      <c r="U11" s="116"/>
      <c r="V11" s="116"/>
      <c r="W11" s="116"/>
      <c r="X11" s="118"/>
      <c r="Y11" s="119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</row>
    <row r="12" spans="1:40" s="114" customFormat="1" ht="15" customHeight="1">
      <c r="A12" s="115"/>
      <c r="B12" s="116"/>
      <c r="C12" s="116"/>
      <c r="D12" s="116"/>
      <c r="E12" s="117"/>
      <c r="F12" s="117"/>
      <c r="G12" s="116"/>
      <c r="H12" s="116"/>
      <c r="I12" s="118"/>
      <c r="J12" s="116"/>
      <c r="K12" s="116"/>
      <c r="L12" s="118"/>
      <c r="M12" s="116"/>
      <c r="N12" s="116"/>
      <c r="O12" s="118"/>
      <c r="P12" s="116"/>
      <c r="Q12" s="116"/>
      <c r="R12" s="118"/>
      <c r="S12" s="116"/>
      <c r="T12" s="116"/>
      <c r="U12" s="116"/>
      <c r="V12" s="116"/>
      <c r="W12" s="116"/>
      <c r="X12" s="118"/>
      <c r="Y12" s="119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</row>
    <row r="13" spans="1:40" s="114" customFormat="1" ht="15" customHeight="1">
      <c r="A13" s="115"/>
      <c r="B13" s="116"/>
      <c r="C13" s="116"/>
      <c r="D13" s="116"/>
      <c r="E13" s="117"/>
      <c r="F13" s="117"/>
      <c r="G13" s="116"/>
      <c r="H13" s="116"/>
      <c r="I13" s="118"/>
      <c r="J13" s="116"/>
      <c r="K13" s="116"/>
      <c r="L13" s="118"/>
      <c r="M13" s="116"/>
      <c r="N13" s="116"/>
      <c r="O13" s="118"/>
      <c r="P13" s="116"/>
      <c r="Q13" s="116"/>
      <c r="R13" s="118"/>
      <c r="S13" s="116"/>
      <c r="T13" s="116"/>
      <c r="U13" s="116"/>
      <c r="V13" s="116"/>
      <c r="W13" s="116"/>
      <c r="X13" s="118"/>
      <c r="Y13" s="119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</row>
    <row r="14" spans="1:40" s="114" customFormat="1" ht="15" customHeight="1">
      <c r="A14" s="115"/>
      <c r="B14" s="116"/>
      <c r="C14" s="116"/>
      <c r="D14" s="116"/>
      <c r="E14" s="117"/>
      <c r="F14" s="117"/>
      <c r="G14" s="116"/>
      <c r="H14" s="116"/>
      <c r="I14" s="118"/>
      <c r="J14" s="116"/>
      <c r="K14" s="116"/>
      <c r="L14" s="118"/>
      <c r="M14" s="116"/>
      <c r="N14" s="116"/>
      <c r="O14" s="118"/>
      <c r="P14" s="116"/>
      <c r="Q14" s="116"/>
      <c r="R14" s="118"/>
      <c r="S14" s="116"/>
      <c r="T14" s="116"/>
      <c r="U14" s="116"/>
      <c r="V14" s="116"/>
      <c r="W14" s="116"/>
      <c r="X14" s="118"/>
      <c r="Y14" s="119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</row>
    <row r="15" spans="1:40" s="114" customFormat="1" ht="15" customHeight="1">
      <c r="A15" s="115"/>
      <c r="B15" s="116"/>
      <c r="C15" s="116"/>
      <c r="D15" s="116"/>
      <c r="E15" s="117"/>
      <c r="F15" s="117"/>
      <c r="G15" s="116"/>
      <c r="H15" s="116"/>
      <c r="I15" s="118"/>
      <c r="J15" s="116"/>
      <c r="K15" s="116"/>
      <c r="L15" s="118"/>
      <c r="M15" s="116"/>
      <c r="N15" s="116"/>
      <c r="O15" s="118"/>
      <c r="P15" s="116"/>
      <c r="Q15" s="116"/>
      <c r="R15" s="118"/>
      <c r="S15" s="116"/>
      <c r="T15" s="116"/>
      <c r="U15" s="116"/>
      <c r="V15" s="116"/>
      <c r="W15" s="116"/>
      <c r="X15" s="118"/>
      <c r="Y15" s="119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</row>
    <row r="16" spans="1:40" s="114" customFormat="1" ht="15" customHeight="1">
      <c r="A16" s="115"/>
      <c r="B16" s="116"/>
      <c r="C16" s="116"/>
      <c r="D16" s="116"/>
      <c r="E16" s="117"/>
      <c r="F16" s="117"/>
      <c r="G16" s="116"/>
      <c r="H16" s="116"/>
      <c r="I16" s="118"/>
      <c r="J16" s="116"/>
      <c r="K16" s="116"/>
      <c r="L16" s="118"/>
      <c r="M16" s="116"/>
      <c r="N16" s="116"/>
      <c r="O16" s="118"/>
      <c r="P16" s="116"/>
      <c r="Q16" s="116"/>
      <c r="R16" s="118"/>
      <c r="S16" s="116"/>
      <c r="T16" s="116"/>
      <c r="U16" s="116"/>
      <c r="V16" s="116"/>
      <c r="W16" s="116"/>
      <c r="X16" s="118"/>
      <c r="Y16" s="119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</row>
    <row r="17" spans="1:35" s="114" customFormat="1" ht="15" customHeight="1">
      <c r="A17" s="115"/>
      <c r="B17" s="116"/>
      <c r="C17" s="116"/>
      <c r="D17" s="116"/>
      <c r="E17" s="117"/>
      <c r="F17" s="117"/>
      <c r="G17" s="116"/>
      <c r="H17" s="116"/>
      <c r="I17" s="118"/>
      <c r="J17" s="116"/>
      <c r="K17" s="116"/>
      <c r="L17" s="118"/>
      <c r="M17" s="116"/>
      <c r="N17" s="116"/>
      <c r="O17" s="118"/>
      <c r="P17" s="116"/>
      <c r="Q17" s="116"/>
      <c r="R17" s="118"/>
      <c r="S17" s="116"/>
      <c r="T17" s="116"/>
      <c r="U17" s="116"/>
      <c r="V17" s="116"/>
      <c r="W17" s="116"/>
      <c r="X17" s="118"/>
      <c r="Y17" s="119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</row>
    <row r="18" spans="1:35" s="114" customFormat="1" ht="15" customHeight="1">
      <c r="A18" s="115"/>
      <c r="B18" s="116"/>
      <c r="C18" s="116"/>
      <c r="D18" s="116"/>
      <c r="E18" s="117"/>
      <c r="F18" s="117"/>
      <c r="G18" s="116"/>
      <c r="H18" s="116"/>
      <c r="I18" s="118"/>
      <c r="J18" s="116"/>
      <c r="K18" s="116"/>
      <c r="L18" s="118"/>
      <c r="M18" s="116"/>
      <c r="N18" s="116"/>
      <c r="O18" s="118"/>
      <c r="P18" s="116"/>
      <c r="Q18" s="116"/>
      <c r="R18" s="118"/>
      <c r="S18" s="116"/>
      <c r="T18" s="116"/>
      <c r="U18" s="116"/>
      <c r="V18" s="116"/>
      <c r="W18" s="116"/>
      <c r="X18" s="118"/>
      <c r="Y18" s="119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</row>
    <row r="19" spans="1:35" s="114" customFormat="1" ht="15" customHeight="1">
      <c r="A19" s="115"/>
      <c r="B19" s="116"/>
      <c r="C19" s="116"/>
      <c r="D19" s="116"/>
      <c r="E19" s="117"/>
      <c r="F19" s="117"/>
      <c r="G19" s="116"/>
      <c r="H19" s="116"/>
      <c r="I19" s="118"/>
      <c r="J19" s="116"/>
      <c r="K19" s="116"/>
      <c r="L19" s="118"/>
      <c r="M19" s="116"/>
      <c r="N19" s="116"/>
      <c r="O19" s="118"/>
      <c r="P19" s="116"/>
      <c r="Q19" s="116"/>
      <c r="R19" s="118"/>
      <c r="S19" s="116"/>
      <c r="T19" s="116"/>
      <c r="U19" s="116"/>
      <c r="V19" s="116"/>
      <c r="W19" s="116"/>
      <c r="X19" s="118"/>
      <c r="Y19" s="119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</row>
    <row r="20" spans="1:35" s="114" customFormat="1" ht="15" customHeight="1">
      <c r="A20" s="115"/>
      <c r="B20" s="116"/>
      <c r="C20" s="116"/>
      <c r="D20" s="116"/>
      <c r="E20" s="117"/>
      <c r="F20" s="117"/>
      <c r="G20" s="116"/>
      <c r="H20" s="116"/>
      <c r="I20" s="118"/>
      <c r="J20" s="116"/>
      <c r="K20" s="116"/>
      <c r="L20" s="118"/>
      <c r="M20" s="116"/>
      <c r="N20" s="116"/>
      <c r="O20" s="118"/>
      <c r="P20" s="116"/>
      <c r="Q20" s="116"/>
      <c r="R20" s="118"/>
      <c r="S20" s="116"/>
      <c r="T20" s="116"/>
      <c r="U20" s="116"/>
      <c r="V20" s="116"/>
      <c r="W20" s="116"/>
      <c r="X20" s="118"/>
      <c r="Y20" s="119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</row>
    <row r="21" spans="1:35" s="114" customFormat="1" ht="15" customHeight="1">
      <c r="A21" s="115"/>
      <c r="B21" s="116"/>
      <c r="C21" s="116"/>
      <c r="D21" s="116"/>
      <c r="E21" s="117"/>
      <c r="F21" s="117"/>
      <c r="G21" s="116"/>
      <c r="H21" s="116"/>
      <c r="I21" s="118"/>
      <c r="J21" s="116"/>
      <c r="K21" s="116"/>
      <c r="L21" s="118"/>
      <c r="M21" s="116"/>
      <c r="N21" s="116"/>
      <c r="O21" s="118"/>
      <c r="P21" s="116"/>
      <c r="Q21" s="116"/>
      <c r="R21" s="118"/>
      <c r="S21" s="116"/>
      <c r="T21" s="116"/>
      <c r="U21" s="116"/>
      <c r="V21" s="116"/>
      <c r="W21" s="116"/>
      <c r="X21" s="118"/>
      <c r="Y21" s="119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</row>
    <row r="22" spans="1:35" s="114" customFormat="1" ht="15" customHeight="1">
      <c r="A22" s="115"/>
      <c r="B22" s="116"/>
      <c r="C22" s="116"/>
      <c r="D22" s="116"/>
      <c r="E22" s="117"/>
      <c r="F22" s="117"/>
      <c r="G22" s="116"/>
      <c r="H22" s="116"/>
      <c r="I22" s="118"/>
      <c r="J22" s="116"/>
      <c r="K22" s="116"/>
      <c r="L22" s="118"/>
      <c r="M22" s="116"/>
      <c r="N22" s="116"/>
      <c r="O22" s="118"/>
      <c r="P22" s="116"/>
      <c r="Q22" s="116"/>
      <c r="R22" s="118"/>
      <c r="S22" s="116"/>
      <c r="T22" s="116"/>
      <c r="U22" s="116"/>
      <c r="V22" s="116"/>
      <c r="W22" s="116"/>
      <c r="X22" s="118"/>
      <c r="Y22" s="119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</row>
    <row r="23" spans="1:35" s="114" customFormat="1" ht="15" customHeight="1">
      <c r="A23" s="115"/>
      <c r="B23" s="116"/>
      <c r="C23" s="116"/>
      <c r="D23" s="116"/>
      <c r="E23" s="117"/>
      <c r="F23" s="117"/>
      <c r="G23" s="116"/>
      <c r="H23" s="116"/>
      <c r="I23" s="118"/>
      <c r="J23" s="116"/>
      <c r="K23" s="116"/>
      <c r="L23" s="118"/>
      <c r="M23" s="116"/>
      <c r="N23" s="116"/>
      <c r="O23" s="118"/>
      <c r="P23" s="116"/>
      <c r="Q23" s="116"/>
      <c r="R23" s="118"/>
      <c r="S23" s="116"/>
      <c r="T23" s="116"/>
      <c r="U23" s="116"/>
      <c r="V23" s="116"/>
      <c r="W23" s="116"/>
      <c r="X23" s="118"/>
      <c r="Y23" s="119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</row>
    <row r="24" spans="1:35" s="114" customFormat="1" ht="15" customHeight="1">
      <c r="A24" s="115"/>
      <c r="B24" s="116"/>
      <c r="C24" s="116"/>
      <c r="D24" s="116"/>
      <c r="E24" s="117"/>
      <c r="F24" s="117"/>
      <c r="G24" s="116"/>
      <c r="H24" s="116"/>
      <c r="I24" s="118"/>
      <c r="J24" s="116"/>
      <c r="K24" s="116"/>
      <c r="L24" s="118"/>
      <c r="M24" s="116"/>
      <c r="N24" s="116"/>
      <c r="O24" s="118"/>
      <c r="P24" s="116"/>
      <c r="Q24" s="116"/>
      <c r="R24" s="118"/>
      <c r="S24" s="116"/>
      <c r="T24" s="116"/>
      <c r="U24" s="116"/>
      <c r="V24" s="116"/>
      <c r="W24" s="116"/>
      <c r="X24" s="118"/>
      <c r="Y24" s="119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</row>
    <row r="25" spans="1:35" s="114" customFormat="1" ht="15" customHeight="1">
      <c r="A25" s="115"/>
      <c r="B25" s="116"/>
      <c r="C25" s="116"/>
      <c r="D25" s="116"/>
      <c r="E25" s="117"/>
      <c r="F25" s="117"/>
      <c r="G25" s="116"/>
      <c r="H25" s="116"/>
      <c r="I25" s="118"/>
      <c r="J25" s="116"/>
      <c r="K25" s="116"/>
      <c r="L25" s="118"/>
      <c r="M25" s="116"/>
      <c r="N25" s="116"/>
      <c r="O25" s="118"/>
      <c r="P25" s="116"/>
      <c r="Q25" s="116"/>
      <c r="R25" s="118"/>
      <c r="S25" s="116"/>
      <c r="T25" s="116"/>
      <c r="U25" s="116"/>
      <c r="V25" s="116"/>
      <c r="W25" s="116"/>
      <c r="X25" s="118"/>
      <c r="Y25" s="119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</row>
    <row r="26" spans="1:35" s="114" customFormat="1" ht="15" customHeight="1">
      <c r="A26" s="115"/>
      <c r="B26" s="116"/>
      <c r="C26" s="116"/>
      <c r="D26" s="116"/>
      <c r="E26" s="117"/>
      <c r="F26" s="117"/>
      <c r="G26" s="116"/>
      <c r="H26" s="116"/>
      <c r="I26" s="118"/>
      <c r="J26" s="116"/>
      <c r="K26" s="116"/>
      <c r="L26" s="118"/>
      <c r="M26" s="116"/>
      <c r="N26" s="116"/>
      <c r="O26" s="118"/>
      <c r="P26" s="116"/>
      <c r="Q26" s="116"/>
      <c r="R26" s="118"/>
      <c r="S26" s="116"/>
      <c r="T26" s="116"/>
      <c r="U26" s="116"/>
      <c r="V26" s="116"/>
      <c r="W26" s="116"/>
      <c r="X26" s="118"/>
      <c r="Y26" s="119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</row>
    <row r="27" spans="1:35" s="114" customFormat="1" ht="15" customHeight="1">
      <c r="A27" s="115"/>
      <c r="B27" s="116"/>
      <c r="C27" s="116"/>
      <c r="D27" s="116"/>
      <c r="E27" s="117"/>
      <c r="F27" s="117"/>
      <c r="G27" s="116"/>
      <c r="H27" s="116"/>
      <c r="I27" s="118"/>
      <c r="J27" s="116"/>
      <c r="K27" s="116"/>
      <c r="L27" s="118"/>
      <c r="M27" s="116"/>
      <c r="N27" s="116"/>
      <c r="O27" s="118"/>
      <c r="P27" s="116"/>
      <c r="Q27" s="116"/>
      <c r="R27" s="118"/>
      <c r="S27" s="116"/>
      <c r="T27" s="116"/>
      <c r="U27" s="116"/>
      <c r="V27" s="116"/>
      <c r="W27" s="116"/>
      <c r="X27" s="118"/>
      <c r="Y27" s="119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</row>
    <row r="28" spans="1:35" s="114" customFormat="1" ht="15" customHeight="1">
      <c r="A28" s="115"/>
      <c r="B28" s="116"/>
      <c r="C28" s="116"/>
      <c r="D28" s="116"/>
      <c r="E28" s="117"/>
      <c r="F28" s="117"/>
      <c r="G28" s="116"/>
      <c r="H28" s="116"/>
      <c r="I28" s="118"/>
      <c r="J28" s="116"/>
      <c r="K28" s="116"/>
      <c r="L28" s="118"/>
      <c r="M28" s="116"/>
      <c r="N28" s="116"/>
      <c r="O28" s="118"/>
      <c r="P28" s="116"/>
      <c r="Q28" s="116"/>
      <c r="R28" s="118"/>
      <c r="S28" s="116"/>
      <c r="T28" s="116"/>
      <c r="U28" s="116"/>
      <c r="V28" s="116"/>
      <c r="W28" s="116"/>
      <c r="X28" s="118"/>
      <c r="Y28" s="119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</row>
    <row r="29" spans="1:35" s="114" customFormat="1" ht="15" customHeight="1">
      <c r="A29" s="115"/>
      <c r="B29" s="116"/>
      <c r="C29" s="116"/>
      <c r="D29" s="116"/>
      <c r="E29" s="117"/>
      <c r="F29" s="117"/>
      <c r="G29" s="116"/>
      <c r="H29" s="116"/>
      <c r="I29" s="118"/>
      <c r="J29" s="116"/>
      <c r="K29" s="116"/>
      <c r="L29" s="118"/>
      <c r="M29" s="116"/>
      <c r="N29" s="116"/>
      <c r="O29" s="118"/>
      <c r="P29" s="116"/>
      <c r="Q29" s="116"/>
      <c r="R29" s="118"/>
      <c r="S29" s="116"/>
      <c r="T29" s="116"/>
      <c r="U29" s="116"/>
      <c r="V29" s="116"/>
      <c r="W29" s="116"/>
      <c r="X29" s="118"/>
      <c r="Y29" s="119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</row>
    <row r="30" spans="1:35" s="114" customFormat="1" ht="15" customHeight="1">
      <c r="A30" s="115"/>
      <c r="B30" s="116"/>
      <c r="C30" s="116"/>
      <c r="D30" s="116"/>
      <c r="E30" s="117"/>
      <c r="F30" s="117"/>
      <c r="G30" s="116"/>
      <c r="H30" s="116"/>
      <c r="I30" s="118"/>
      <c r="J30" s="116"/>
      <c r="K30" s="116"/>
      <c r="L30" s="118"/>
      <c r="M30" s="116"/>
      <c r="N30" s="116"/>
      <c r="O30" s="118"/>
      <c r="P30" s="116"/>
      <c r="Q30" s="116"/>
      <c r="R30" s="118"/>
      <c r="S30" s="116"/>
      <c r="T30" s="116"/>
      <c r="U30" s="116"/>
      <c r="V30" s="116"/>
      <c r="W30" s="116"/>
      <c r="X30" s="118"/>
      <c r="Y30" s="119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</row>
    <row r="31" spans="1:35" s="114" customFormat="1" ht="15" customHeight="1">
      <c r="A31" s="115"/>
      <c r="B31" s="116"/>
      <c r="C31" s="116"/>
      <c r="D31" s="116"/>
      <c r="E31" s="117"/>
      <c r="F31" s="117"/>
      <c r="G31" s="116"/>
      <c r="H31" s="116"/>
      <c r="I31" s="118"/>
      <c r="J31" s="116"/>
      <c r="K31" s="116"/>
      <c r="L31" s="118"/>
      <c r="M31" s="116"/>
      <c r="N31" s="116"/>
      <c r="O31" s="118"/>
      <c r="P31" s="116"/>
      <c r="Q31" s="116"/>
      <c r="R31" s="118"/>
      <c r="S31" s="116"/>
      <c r="T31" s="116"/>
      <c r="U31" s="116"/>
      <c r="V31" s="116"/>
      <c r="W31" s="116"/>
      <c r="X31" s="118"/>
      <c r="Y31" s="119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</row>
    <row r="32" spans="1:35" s="114" customFormat="1" ht="15" customHeight="1">
      <c r="A32" s="115"/>
      <c r="B32" s="116"/>
      <c r="C32" s="116"/>
      <c r="D32" s="116"/>
      <c r="E32" s="117"/>
      <c r="F32" s="117"/>
      <c r="G32" s="116"/>
      <c r="H32" s="116"/>
      <c r="I32" s="118"/>
      <c r="J32" s="116"/>
      <c r="K32" s="116"/>
      <c r="L32" s="118"/>
      <c r="M32" s="116"/>
      <c r="N32" s="116"/>
      <c r="O32" s="118"/>
      <c r="P32" s="116"/>
      <c r="Q32" s="116"/>
      <c r="R32" s="118"/>
      <c r="S32" s="116"/>
      <c r="T32" s="116"/>
      <c r="U32" s="116"/>
      <c r="V32" s="116"/>
      <c r="W32" s="116"/>
      <c r="X32" s="118"/>
      <c r="Y32" s="119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</row>
    <row r="33" spans="1:35" s="114" customFormat="1" ht="15" customHeight="1">
      <c r="A33" s="115"/>
      <c r="B33" s="116"/>
      <c r="C33" s="116"/>
      <c r="D33" s="116"/>
      <c r="E33" s="117"/>
      <c r="F33" s="117"/>
      <c r="G33" s="116"/>
      <c r="H33" s="116"/>
      <c r="I33" s="118"/>
      <c r="J33" s="116"/>
      <c r="K33" s="116"/>
      <c r="L33" s="118"/>
      <c r="M33" s="116"/>
      <c r="N33" s="116"/>
      <c r="O33" s="118"/>
      <c r="P33" s="116"/>
      <c r="Q33" s="116"/>
      <c r="R33" s="118"/>
      <c r="S33" s="116"/>
      <c r="T33" s="116"/>
      <c r="U33" s="116"/>
      <c r="V33" s="116"/>
      <c r="W33" s="116"/>
      <c r="X33" s="118"/>
      <c r="Y33" s="119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</row>
    <row r="34" spans="1:35" s="114" customFormat="1" ht="15" customHeight="1">
      <c r="A34" s="115"/>
      <c r="B34" s="116"/>
      <c r="C34" s="116"/>
      <c r="D34" s="116"/>
      <c r="E34" s="117"/>
      <c r="F34" s="117"/>
      <c r="G34" s="116"/>
      <c r="H34" s="116"/>
      <c r="I34" s="118"/>
      <c r="J34" s="116"/>
      <c r="K34" s="116"/>
      <c r="L34" s="118"/>
      <c r="M34" s="116"/>
      <c r="N34" s="116"/>
      <c r="O34" s="118"/>
      <c r="P34" s="116"/>
      <c r="Q34" s="116"/>
      <c r="R34" s="118"/>
      <c r="S34" s="116"/>
      <c r="T34" s="116"/>
      <c r="U34" s="116"/>
      <c r="V34" s="116"/>
      <c r="W34" s="116"/>
      <c r="X34" s="118"/>
      <c r="Y34" s="119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</row>
    <row r="35" spans="1:35" s="114" customFormat="1" ht="15" customHeight="1">
      <c r="A35" s="115"/>
      <c r="B35" s="116"/>
      <c r="C35" s="116"/>
      <c r="D35" s="116"/>
      <c r="E35" s="117"/>
      <c r="F35" s="117"/>
      <c r="G35" s="116"/>
      <c r="H35" s="116"/>
      <c r="I35" s="118"/>
      <c r="J35" s="116"/>
      <c r="K35" s="116"/>
      <c r="L35" s="118"/>
      <c r="M35" s="116"/>
      <c r="N35" s="116"/>
      <c r="O35" s="118"/>
      <c r="P35" s="116"/>
      <c r="Q35" s="116"/>
      <c r="R35" s="118"/>
      <c r="S35" s="116"/>
      <c r="T35" s="116"/>
      <c r="U35" s="116"/>
      <c r="V35" s="116"/>
      <c r="W35" s="116"/>
      <c r="X35" s="118"/>
      <c r="Y35" s="119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</row>
    <row r="36" spans="1:35" s="114" customFormat="1" ht="15" customHeight="1">
      <c r="A36" s="115"/>
      <c r="B36" s="116"/>
      <c r="C36" s="116"/>
      <c r="D36" s="116"/>
      <c r="E36" s="117"/>
      <c r="F36" s="117"/>
      <c r="G36" s="116"/>
      <c r="H36" s="116"/>
      <c r="I36" s="118"/>
      <c r="J36" s="116"/>
      <c r="K36" s="116"/>
      <c r="L36" s="118"/>
      <c r="M36" s="116"/>
      <c r="N36" s="116"/>
      <c r="O36" s="118"/>
      <c r="P36" s="116"/>
      <c r="Q36" s="116"/>
      <c r="R36" s="118"/>
      <c r="S36" s="116"/>
      <c r="T36" s="116"/>
      <c r="U36" s="116"/>
      <c r="V36" s="116"/>
      <c r="W36" s="116"/>
      <c r="X36" s="118"/>
      <c r="Y36" s="119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</row>
    <row r="37" spans="1:35" s="114" customFormat="1" ht="15" customHeight="1">
      <c r="A37" s="115"/>
      <c r="B37" s="116"/>
      <c r="C37" s="116"/>
      <c r="D37" s="116"/>
      <c r="E37" s="117"/>
      <c r="F37" s="117"/>
      <c r="G37" s="116"/>
      <c r="H37" s="116"/>
      <c r="I37" s="118"/>
      <c r="J37" s="116"/>
      <c r="K37" s="116"/>
      <c r="L37" s="118"/>
      <c r="M37" s="116"/>
      <c r="N37" s="116"/>
      <c r="O37" s="118"/>
      <c r="P37" s="116"/>
      <c r="Q37" s="116"/>
      <c r="R37" s="118"/>
      <c r="S37" s="116"/>
      <c r="T37" s="116"/>
      <c r="U37" s="116"/>
      <c r="V37" s="116"/>
      <c r="W37" s="116"/>
      <c r="X37" s="118"/>
      <c r="Y37" s="119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</row>
    <row r="38" spans="1:35" s="114" customFormat="1" ht="15" customHeight="1">
      <c r="A38" s="120"/>
      <c r="B38" s="121"/>
      <c r="C38" s="121"/>
      <c r="D38" s="121"/>
      <c r="E38" s="122"/>
      <c r="F38" s="122"/>
      <c r="G38" s="121"/>
      <c r="H38" s="121"/>
      <c r="I38" s="123"/>
      <c r="J38" s="121"/>
      <c r="K38" s="121"/>
      <c r="L38" s="123"/>
      <c r="M38" s="121"/>
      <c r="N38" s="121"/>
      <c r="O38" s="123"/>
      <c r="P38" s="121"/>
      <c r="Q38" s="121"/>
      <c r="R38" s="123"/>
      <c r="S38" s="121"/>
      <c r="T38" s="121"/>
      <c r="U38" s="121"/>
      <c r="V38" s="121"/>
      <c r="W38" s="121"/>
      <c r="X38" s="123"/>
      <c r="Y38" s="124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</row>
    <row r="54" spans="5:9" ht="35.1" customHeight="1">
      <c r="E54" s="103"/>
      <c r="F54" s="103"/>
      <c r="G54" s="103"/>
      <c r="H54" s="103"/>
      <c r="I54" s="103"/>
    </row>
    <row r="16367" spans="26:30">
      <c r="Z16367" s="101">
        <v>24.446999999999999</v>
      </c>
      <c r="AB16367" s="101">
        <v>1.6</v>
      </c>
      <c r="AC16367" s="101">
        <v>1.5269999999999999</v>
      </c>
      <c r="AD16367" s="101">
        <v>72</v>
      </c>
    </row>
    <row r="16368" spans="26:30">
      <c r="Z16368" s="101">
        <v>17.547999999999998</v>
      </c>
      <c r="AB16368" s="101">
        <v>1.629</v>
      </c>
      <c r="AC16368" s="101">
        <v>73</v>
      </c>
      <c r="AD16368" s="101">
        <v>24.443999999999999</v>
      </c>
    </row>
    <row r="16369" spans="26:30">
      <c r="Z16369" s="101">
        <v>1.645</v>
      </c>
      <c r="AB16369" s="101">
        <v>72</v>
      </c>
      <c r="AC16369" s="101">
        <v>24.393000000000001</v>
      </c>
      <c r="AD16369" s="101">
        <v>17.591000000000001</v>
      </c>
    </row>
    <row r="16370" spans="26:30">
      <c r="Z16370" s="101">
        <v>1.579</v>
      </c>
      <c r="AB16370" s="101">
        <v>24.516999999999999</v>
      </c>
      <c r="AC16370" s="101">
        <v>17.501999999999999</v>
      </c>
    </row>
    <row r="16371" spans="26:30">
      <c r="Z16371" s="101">
        <v>73</v>
      </c>
      <c r="AB16371" s="101">
        <v>17.587</v>
      </c>
      <c r="AC16371" s="101">
        <v>1.5840000000000001</v>
      </c>
    </row>
    <row r="16372" spans="26:30">
      <c r="Z16372" s="101">
        <v>1.613</v>
      </c>
      <c r="AB16372" s="101">
        <v>1.4830000000000001</v>
      </c>
      <c r="AC16372" s="101">
        <v>1.5509999999999999</v>
      </c>
    </row>
    <row r="16373" spans="26:30">
      <c r="Z16373" s="101">
        <v>72</v>
      </c>
    </row>
    <row r="16374" spans="26:30">
      <c r="Z16374" s="101">
        <v>24.47</v>
      </c>
    </row>
    <row r="16375" spans="26:30">
      <c r="Z16375" s="101">
        <v>17.536000000000001</v>
      </c>
    </row>
    <row r="16376" spans="26:30">
      <c r="Z16376" s="101">
        <v>1.5860000000000001</v>
      </c>
    </row>
    <row r="16377" spans="26:30">
      <c r="Z16377" s="101">
        <v>1.552</v>
      </c>
    </row>
    <row r="16378" spans="26:30">
      <c r="Z16378" s="101">
        <v>70</v>
      </c>
    </row>
    <row r="16379" spans="26:30">
      <c r="Z16379" s="101">
        <v>24.384</v>
      </c>
    </row>
    <row r="16380" spans="26:30">
      <c r="Z16380" s="101">
        <v>72</v>
      </c>
    </row>
  </sheetData>
  <mergeCells count="4">
    <mergeCell ref="A2:Y2"/>
    <mergeCell ref="A3:Y3"/>
    <mergeCell ref="A4:Y4"/>
    <mergeCell ref="A5:Y5"/>
  </mergeCells>
  <pageMargins left="0.59055118110236227" right="0.23622047244094491" top="0.74803149606299213" bottom="0.74803149606299213" header="0.31496062992125984" footer="0.31496062992125984"/>
  <pageSetup paperSize="9" scale="85" orientation="landscape" r:id="rId1"/>
  <headerFooter>
    <oddFooter>Page &amp;P de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2:DB153"/>
  <sheetViews>
    <sheetView showGridLines="0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13"/>
      <c r="C9" s="313"/>
      <c r="D9" s="313"/>
      <c r="E9" s="313"/>
      <c r="F9" s="313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/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G5:M5"/>
    <mergeCell ref="Q5:R5"/>
    <mergeCell ref="G6:M6"/>
    <mergeCell ref="O6:P6"/>
    <mergeCell ref="Q6:R6"/>
    <mergeCell ref="B9:F9"/>
    <mergeCell ref="G9:H9"/>
    <mergeCell ref="I9:J9"/>
    <mergeCell ref="K9:L9"/>
    <mergeCell ref="M9:R9"/>
    <mergeCell ref="B8:F8"/>
    <mergeCell ref="G8:H8"/>
    <mergeCell ref="I8:J8"/>
    <mergeCell ref="K8:L8"/>
    <mergeCell ref="M8:R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I12:L12"/>
    <mergeCell ref="M12:R12"/>
    <mergeCell ref="B13:D13"/>
    <mergeCell ref="B15:R15"/>
    <mergeCell ref="N18:P18"/>
    <mergeCell ref="N20:P20"/>
    <mergeCell ref="Q20:R20"/>
    <mergeCell ref="N21:P21"/>
    <mergeCell ref="Q21:R21"/>
    <mergeCell ref="N22:P22"/>
    <mergeCell ref="Q22:R22"/>
    <mergeCell ref="Q29:R29"/>
    <mergeCell ref="N23:P23"/>
    <mergeCell ref="Q23:R23"/>
    <mergeCell ref="N24:P24"/>
    <mergeCell ref="Q24:R24"/>
    <mergeCell ref="N25:P25"/>
    <mergeCell ref="Q25:R25"/>
    <mergeCell ref="A64:B64"/>
    <mergeCell ref="A66:B66"/>
    <mergeCell ref="E96:G96"/>
    <mergeCell ref="J96:K96"/>
    <mergeCell ref="M96:O96"/>
    <mergeCell ref="A2:S2"/>
    <mergeCell ref="A3:S3"/>
    <mergeCell ref="B59:R59"/>
    <mergeCell ref="A62:B62"/>
    <mergeCell ref="A63:B63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2:DB153"/>
  <sheetViews>
    <sheetView showGridLines="0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20"/>
      <c r="C9" s="320"/>
      <c r="D9" s="320"/>
      <c r="E9" s="320"/>
      <c r="F9" s="320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>
        <v>23</v>
      </c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B59:R59"/>
    <mergeCell ref="A62:B62"/>
    <mergeCell ref="A63:B63"/>
    <mergeCell ref="A64:B64"/>
    <mergeCell ref="A66:B66"/>
    <mergeCell ref="Q29:R29"/>
    <mergeCell ref="N23:P23"/>
    <mergeCell ref="Q23:R23"/>
    <mergeCell ref="N24:P24"/>
    <mergeCell ref="Q24:R24"/>
    <mergeCell ref="N25:P25"/>
    <mergeCell ref="Q25:R25"/>
    <mergeCell ref="N26:P26"/>
    <mergeCell ref="Q26:R26"/>
    <mergeCell ref="N27:P27"/>
    <mergeCell ref="Q27:R27"/>
    <mergeCell ref="Q28:R28"/>
    <mergeCell ref="N20:P20"/>
    <mergeCell ref="Q20:R20"/>
    <mergeCell ref="N21:P21"/>
    <mergeCell ref="Q21:R21"/>
    <mergeCell ref="N22:P22"/>
    <mergeCell ref="Q22:R22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I12:L12"/>
    <mergeCell ref="M12:R12"/>
    <mergeCell ref="B13:D13"/>
    <mergeCell ref="B15:R15"/>
    <mergeCell ref="N18:P18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D433A-5D50-4666-B0D6-539883F8DFF8}">
  <sheetPr>
    <pageSetUpPr fitToPage="1"/>
  </sheetPr>
  <dimension ref="A2:DB153"/>
  <sheetViews>
    <sheetView showGridLines="0" topLeftCell="A23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13"/>
      <c r="C9" s="313"/>
      <c r="D9" s="313"/>
      <c r="E9" s="313"/>
      <c r="F9" s="313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/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020F9-9440-4BC8-B5EF-6138FB70DDB6}">
  <sheetPr>
    <pageSetUpPr fitToPage="1"/>
  </sheetPr>
  <dimension ref="A2:DB153"/>
  <sheetViews>
    <sheetView showGridLines="0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20"/>
      <c r="C9" s="320"/>
      <c r="D9" s="320"/>
      <c r="E9" s="320"/>
      <c r="F9" s="320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>
        <v>23</v>
      </c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6A6A0-63F4-4BE9-8FEF-69A06EB35AE9}">
  <sheetPr>
    <pageSetUpPr fitToPage="1"/>
  </sheetPr>
  <dimension ref="A2:DB153"/>
  <sheetViews>
    <sheetView showGridLines="0" topLeftCell="A22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13"/>
      <c r="C9" s="313"/>
      <c r="D9" s="313"/>
      <c r="E9" s="313"/>
      <c r="F9" s="313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/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2A6C1-D32A-462D-8500-A0E53AEF8322}">
  <sheetPr>
    <pageSetUpPr fitToPage="1"/>
  </sheetPr>
  <dimension ref="A2:DB153"/>
  <sheetViews>
    <sheetView showGridLines="0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20"/>
      <c r="C9" s="320"/>
      <c r="D9" s="320"/>
      <c r="E9" s="320"/>
      <c r="F9" s="320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>
        <v>23</v>
      </c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6A65E-1F53-4BA1-878B-53E351642625}">
  <sheetPr>
    <pageSetUpPr fitToPage="1"/>
  </sheetPr>
  <dimension ref="A2:DB153"/>
  <sheetViews>
    <sheetView showGridLines="0" topLeftCell="A23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13"/>
      <c r="C9" s="313"/>
      <c r="D9" s="313"/>
      <c r="E9" s="313"/>
      <c r="F9" s="313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/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6D2B-3288-4F2A-9DBB-5FF4350B3935}">
  <sheetPr>
    <pageSetUpPr fitToPage="1"/>
  </sheetPr>
  <dimension ref="A2:DB153"/>
  <sheetViews>
    <sheetView showGridLines="0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20"/>
      <c r="C9" s="320"/>
      <c r="D9" s="320"/>
      <c r="E9" s="320"/>
      <c r="F9" s="320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>
        <v>23</v>
      </c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3544-E67A-4CEF-8F01-BA6B313B1DC8}">
  <sheetPr>
    <pageSetUpPr fitToPage="1"/>
  </sheetPr>
  <dimension ref="A2:DB153"/>
  <sheetViews>
    <sheetView showGridLines="0" zoomScale="70" zoomScaleNormal="70" zoomScaleSheetLayoutView="75" workbookViewId="0">
      <selection activeCell="M9" sqref="M9:R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13"/>
      <c r="C9" s="313"/>
      <c r="D9" s="313"/>
      <c r="E9" s="313"/>
      <c r="F9" s="313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/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9067E-6E8E-4E10-A5EC-289C174DD9A8}">
  <sheetPr>
    <pageSetUpPr fitToPage="1"/>
  </sheetPr>
  <dimension ref="A2:DB153"/>
  <sheetViews>
    <sheetView showGridLines="0" zoomScale="70" zoomScaleNormal="70" zoomScaleSheetLayoutView="75" workbookViewId="0">
      <selection activeCell="X19" sqref="X19"/>
    </sheetView>
  </sheetViews>
  <sheetFormatPr baseColWidth="10" defaultColWidth="12.5703125" defaultRowHeight="14.25"/>
  <cols>
    <col min="1" max="1" width="2" style="128" customWidth="1"/>
    <col min="2" max="2" width="7.42578125" style="128" customWidth="1"/>
    <col min="3" max="18" width="9" style="128" customWidth="1"/>
    <col min="19" max="30" width="9.28515625" style="128" customWidth="1"/>
    <col min="31" max="254" width="12.5703125" style="128" customWidth="1"/>
    <col min="255" max="16384" width="12.5703125" style="128"/>
  </cols>
  <sheetData>
    <row r="2" spans="1:44" s="227" customFormat="1" ht="23.1" customHeight="1">
      <c r="A2" s="281" t="s">
        <v>27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81"/>
      <c r="N2" s="281"/>
      <c r="O2" s="281"/>
      <c r="P2" s="281"/>
      <c r="Q2" s="281"/>
      <c r="R2" s="281"/>
      <c r="S2" s="281"/>
    </row>
    <row r="3" spans="1:44" ht="18" customHeight="1">
      <c r="A3" s="282" t="str">
        <f>'Rapport d''essai dimensionnel'!$A$13:$O$13</f>
        <v xml:space="preserve">N° </v>
      </c>
      <c r="B3" s="282"/>
      <c r="C3" s="282"/>
      <c r="D3" s="282"/>
      <c r="E3" s="282"/>
      <c r="F3" s="282"/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</row>
    <row r="5" spans="1:44" ht="35.25" customHeight="1">
      <c r="B5" s="130"/>
      <c r="C5" s="131"/>
      <c r="D5" s="131"/>
      <c r="F5" s="131"/>
      <c r="G5" s="315" t="s">
        <v>91</v>
      </c>
      <c r="H5" s="315"/>
      <c r="I5" s="315"/>
      <c r="J5" s="315"/>
      <c r="K5" s="315"/>
      <c r="L5" s="315"/>
      <c r="M5" s="315"/>
      <c r="N5" s="132"/>
      <c r="O5" s="131"/>
      <c r="P5" s="133"/>
      <c r="Q5" s="316"/>
      <c r="R5" s="316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/>
      <c r="AF5" s="129"/>
      <c r="AG5" s="129"/>
      <c r="AH5" s="129"/>
      <c r="AI5" s="129"/>
      <c r="AJ5" s="129"/>
      <c r="AK5" s="129"/>
      <c r="AL5" s="129"/>
      <c r="AM5" s="129"/>
      <c r="AN5" s="129"/>
      <c r="AO5" s="129"/>
      <c r="AP5" s="129"/>
      <c r="AQ5" s="129"/>
      <c r="AR5" s="129"/>
    </row>
    <row r="6" spans="1:44" ht="26.25">
      <c r="G6" s="317"/>
      <c r="H6" s="317"/>
      <c r="I6" s="317"/>
      <c r="J6" s="317"/>
      <c r="K6" s="317"/>
      <c r="L6" s="317"/>
      <c r="M6" s="317"/>
      <c r="N6" s="132"/>
      <c r="O6" s="318"/>
      <c r="P6" s="318"/>
      <c r="Q6" s="319"/>
      <c r="R6" s="31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</row>
    <row r="7" spans="1:44" ht="11.25" customHeight="1">
      <c r="G7" s="134"/>
      <c r="H7" s="134"/>
      <c r="I7" s="134"/>
      <c r="J7" s="134"/>
      <c r="K7" s="134"/>
      <c r="L7" s="134"/>
      <c r="N7" s="131"/>
      <c r="O7" s="131"/>
      <c r="P7" s="131"/>
      <c r="Q7" s="131"/>
      <c r="R7" s="131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</row>
    <row r="8" spans="1:44" ht="18.75" thickBot="1">
      <c r="B8" s="299" t="s">
        <v>92</v>
      </c>
      <c r="C8" s="299"/>
      <c r="D8" s="299"/>
      <c r="E8" s="299"/>
      <c r="F8" s="299"/>
      <c r="G8" s="300" t="s">
        <v>93</v>
      </c>
      <c r="H8" s="300"/>
      <c r="I8" s="311">
        <f>B9+C11</f>
        <v>0</v>
      </c>
      <c r="J8" s="311"/>
      <c r="K8" s="302" t="s">
        <v>94</v>
      </c>
      <c r="L8" s="302"/>
      <c r="M8" s="312">
        <f>'Rapport d''essai dimensionnel'!D25</f>
        <v>0</v>
      </c>
      <c r="N8" s="307"/>
      <c r="O8" s="307"/>
      <c r="P8" s="307"/>
      <c r="Q8" s="307"/>
      <c r="R8" s="307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</row>
    <row r="9" spans="1:44" ht="18.75" thickBot="1">
      <c r="B9" s="320"/>
      <c r="C9" s="320"/>
      <c r="D9" s="320"/>
      <c r="E9" s="320"/>
      <c r="F9" s="320"/>
      <c r="G9" s="300" t="s">
        <v>95</v>
      </c>
      <c r="H9" s="300"/>
      <c r="I9" s="314">
        <f>B9+E11</f>
        <v>0</v>
      </c>
      <c r="J9" s="314"/>
      <c r="K9" s="302" t="s">
        <v>87</v>
      </c>
      <c r="L9" s="302"/>
      <c r="M9" s="303">
        <f>'Rapport d''essai dimensionnel'!D27</f>
        <v>0</v>
      </c>
      <c r="N9" s="306"/>
      <c r="O9" s="306"/>
      <c r="P9" s="306"/>
      <c r="Q9" s="306"/>
      <c r="R9" s="306"/>
      <c r="T9" s="129"/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/>
      <c r="AF9" s="129"/>
      <c r="AG9" s="129"/>
      <c r="AH9" s="129"/>
      <c r="AI9" s="129"/>
      <c r="AJ9" s="129"/>
      <c r="AK9" s="129"/>
      <c r="AL9" s="129"/>
      <c r="AM9" s="129"/>
      <c r="AN9" s="129"/>
      <c r="AO9" s="129"/>
      <c r="AP9" s="129"/>
      <c r="AQ9" s="129"/>
      <c r="AR9" s="129"/>
    </row>
    <row r="10" spans="1:44" ht="18.75" thickBot="1">
      <c r="B10" s="299" t="s">
        <v>96</v>
      </c>
      <c r="C10" s="299"/>
      <c r="D10" s="299"/>
      <c r="E10" s="299"/>
      <c r="F10" s="299"/>
      <c r="G10" s="300" t="s">
        <v>97</v>
      </c>
      <c r="H10" s="300"/>
      <c r="I10" s="301" t="s">
        <v>45</v>
      </c>
      <c r="J10" s="301"/>
      <c r="K10" s="302" t="s">
        <v>84</v>
      </c>
      <c r="L10" s="302"/>
      <c r="M10" s="303">
        <f>'Rapport d''essai dimensionnel'!D29</f>
        <v>0</v>
      </c>
      <c r="N10" s="304"/>
      <c r="O10" s="304"/>
      <c r="P10" s="304"/>
      <c r="Q10" s="304"/>
      <c r="R10" s="304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/>
      <c r="AO10" s="129"/>
      <c r="AP10" s="129"/>
      <c r="AQ10" s="129"/>
      <c r="AR10" s="129"/>
    </row>
    <row r="11" spans="1:44" ht="18.75" thickBot="1">
      <c r="B11" s="135" t="s">
        <v>98</v>
      </c>
      <c r="C11" s="136"/>
      <c r="D11" s="135" t="s">
        <v>99</v>
      </c>
      <c r="E11" s="137"/>
      <c r="G11" s="138"/>
      <c r="I11" s="139"/>
      <c r="K11" s="302" t="s">
        <v>100</v>
      </c>
      <c r="L11" s="302"/>
      <c r="M11" s="305" t="s">
        <v>12</v>
      </c>
      <c r="N11" s="306"/>
      <c r="O11" s="302" t="s">
        <v>101</v>
      </c>
      <c r="P11" s="302"/>
      <c r="Q11" s="306">
        <v>23</v>
      </c>
      <c r="R11" s="306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</row>
    <row r="12" spans="1:44" ht="18.75" thickBot="1">
      <c r="B12" s="138"/>
      <c r="I12" s="300" t="s">
        <v>102</v>
      </c>
      <c r="J12" s="300"/>
      <c r="K12" s="300"/>
      <c r="L12" s="300"/>
      <c r="M12" s="307" t="s">
        <v>103</v>
      </c>
      <c r="N12" s="307"/>
      <c r="O12" s="307"/>
      <c r="P12" s="307"/>
      <c r="Q12" s="307"/>
      <c r="R12" s="307"/>
      <c r="T12" s="129"/>
      <c r="U12" s="129"/>
      <c r="V12" s="129"/>
      <c r="W12" s="129"/>
      <c r="X12" s="129"/>
      <c r="Y12" s="129"/>
      <c r="Z12" s="129"/>
      <c r="AA12" s="129"/>
      <c r="AB12" s="129"/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/>
      <c r="AO12" s="129"/>
      <c r="AP12" s="129"/>
      <c r="AQ12" s="129"/>
      <c r="AR12" s="129"/>
    </row>
    <row r="13" spans="1:44" ht="18">
      <c r="B13" s="308" t="s">
        <v>104</v>
      </c>
      <c r="C13" s="308"/>
      <c r="D13" s="308"/>
      <c r="E13" s="140"/>
      <c r="G13" s="141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/>
      <c r="AO13" s="129"/>
      <c r="AP13" s="129"/>
      <c r="AQ13" s="129"/>
      <c r="AR13" s="129"/>
    </row>
    <row r="14" spans="1:44">
      <c r="B14" s="142"/>
      <c r="C14" s="142"/>
      <c r="D14" s="142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O14" s="129"/>
      <c r="AP14" s="129"/>
      <c r="AQ14" s="129"/>
      <c r="AR14" s="129"/>
    </row>
    <row r="15" spans="1:44" ht="18.75" thickBot="1">
      <c r="B15" s="309"/>
      <c r="C15" s="309"/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/>
      <c r="AF15" s="129"/>
      <c r="AG15" s="129"/>
      <c r="AH15" s="129"/>
      <c r="AI15" s="129"/>
      <c r="AJ15" s="129"/>
      <c r="AK15" s="129"/>
      <c r="AL15" s="129"/>
      <c r="AM15" s="129"/>
      <c r="AN15" s="129"/>
      <c r="AO15" s="129"/>
      <c r="AP15" s="129"/>
      <c r="AQ15" s="129"/>
      <c r="AR15" s="129"/>
    </row>
    <row r="16" spans="1:44">
      <c r="B16" s="142"/>
      <c r="C16" s="142"/>
      <c r="D16" s="142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/>
      <c r="AO16" s="129"/>
      <c r="AP16" s="129"/>
      <c r="AQ16" s="129"/>
      <c r="AR16" s="129"/>
    </row>
    <row r="17" spans="2:44" ht="12" customHeight="1">
      <c r="B17" s="142"/>
      <c r="C17" s="140"/>
      <c r="D17" s="142"/>
      <c r="E17" s="140"/>
      <c r="G17" s="141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</row>
    <row r="18" spans="2:44" ht="27.75" customHeight="1">
      <c r="B18" s="142"/>
      <c r="C18" s="143">
        <v>1</v>
      </c>
      <c r="D18" s="143">
        <v>2</v>
      </c>
      <c r="E18" s="143">
        <v>3</v>
      </c>
      <c r="F18" s="143">
        <v>4</v>
      </c>
      <c r="G18" s="143">
        <v>5</v>
      </c>
      <c r="H18" s="143">
        <v>6</v>
      </c>
      <c r="I18" s="143">
        <v>7</v>
      </c>
      <c r="J18" s="143">
        <v>8</v>
      </c>
      <c r="K18" s="143">
        <v>9</v>
      </c>
      <c r="L18" s="143">
        <v>10</v>
      </c>
      <c r="N18" s="310" t="s">
        <v>107</v>
      </c>
      <c r="O18" s="310"/>
      <c r="P18" s="310"/>
      <c r="Q18" s="162" t="str">
        <f>IF(Q29&gt;Q28,"Not a Gaussienne","Gaussienne")</f>
        <v>Gaussienne</v>
      </c>
      <c r="R18" s="158"/>
      <c r="T18" s="144" t="s">
        <v>105</v>
      </c>
      <c r="U18" s="144">
        <f>SUM(T19:AC21)</f>
        <v>0</v>
      </c>
      <c r="V18" s="129"/>
      <c r="W18" s="129"/>
      <c r="X18" s="129"/>
      <c r="Y18" s="129"/>
      <c r="Z18" s="129"/>
      <c r="AA18" s="129"/>
      <c r="AB18" s="129"/>
      <c r="AC18" s="129"/>
      <c r="AD18" s="129"/>
      <c r="AE18" s="129"/>
      <c r="AF18" s="228"/>
      <c r="AG18" s="229"/>
      <c r="AH18" s="228"/>
      <c r="AI18" s="229"/>
      <c r="AJ18" s="228"/>
      <c r="AK18" s="228"/>
      <c r="AL18" s="129"/>
      <c r="AM18" s="129"/>
      <c r="AN18" s="129"/>
      <c r="AO18" s="129"/>
      <c r="AP18" s="129"/>
      <c r="AQ18" s="129"/>
      <c r="AR18" s="129"/>
    </row>
    <row r="19" spans="2:44" ht="23.25">
      <c r="B19" s="143">
        <v>0</v>
      </c>
      <c r="C19" s="145">
        <f>E103</f>
        <v>0</v>
      </c>
      <c r="D19" s="146">
        <f>E104</f>
        <v>0</v>
      </c>
      <c r="E19" s="147">
        <f>E105</f>
        <v>0</v>
      </c>
      <c r="F19" s="146">
        <f>E106</f>
        <v>0</v>
      </c>
      <c r="G19" s="147">
        <f>E107</f>
        <v>0</v>
      </c>
      <c r="H19" s="146">
        <f>E108</f>
        <v>0</v>
      </c>
      <c r="I19" s="147">
        <f>E109</f>
        <v>0</v>
      </c>
      <c r="J19" s="146">
        <f>E110</f>
        <v>0</v>
      </c>
      <c r="K19" s="147">
        <f>E111</f>
        <v>0</v>
      </c>
      <c r="L19" s="146">
        <f>E112</f>
        <v>0</v>
      </c>
      <c r="N19" s="293" t="s">
        <v>108</v>
      </c>
      <c r="O19" s="293"/>
      <c r="P19" s="293"/>
      <c r="Q19" s="298">
        <f>COUNTA(C19:L33)</f>
        <v>10</v>
      </c>
      <c r="R19" s="298"/>
      <c r="T19" s="144">
        <f>IF(C19="",0,IF(C19&gt;I8,1,0))</f>
        <v>0</v>
      </c>
      <c r="U19" s="144">
        <f>IF(D19="",0,IF(D19&gt;I8,1,0))</f>
        <v>0</v>
      </c>
      <c r="V19" s="144">
        <f>IF(E19="",0,IF(E19&gt;I8,1,0))</f>
        <v>0</v>
      </c>
      <c r="W19" s="144">
        <f>IF(F19="",0,IF(F19&gt;I8,1,0))</f>
        <v>0</v>
      </c>
      <c r="X19" s="144">
        <f>IF(G19="",0,IF(G19&gt;I8,1,0))</f>
        <v>0</v>
      </c>
      <c r="Y19" s="144">
        <f>IF(H19="",0,IF(H19&gt;I8,1,0))</f>
        <v>0</v>
      </c>
      <c r="Z19" s="144">
        <f>IF(I19="",0,IF(I19&gt;I8,1,0))</f>
        <v>0</v>
      </c>
      <c r="AA19" s="144">
        <f>IF(J19="",0,IF(J19&gt;I8,1,0))</f>
        <v>0</v>
      </c>
      <c r="AB19" s="144">
        <f>IF(K19="",0,IF(K19&gt;I8,1,0))</f>
        <v>0</v>
      </c>
      <c r="AC19" s="144">
        <f>IF(L19="",0,IF(L19&gt;I8,1,0))</f>
        <v>0</v>
      </c>
      <c r="AD19" s="129"/>
      <c r="AE19" s="129"/>
      <c r="AF19" s="230"/>
      <c r="AG19" s="230"/>
      <c r="AH19" s="230"/>
      <c r="AI19" s="230"/>
      <c r="AJ19" s="230"/>
      <c r="AK19" s="231"/>
      <c r="AL19" s="129"/>
      <c r="AM19" s="129"/>
      <c r="AN19" s="129"/>
      <c r="AO19" s="129"/>
      <c r="AP19" s="129"/>
      <c r="AQ19" s="129"/>
      <c r="AR19" s="129"/>
    </row>
    <row r="20" spans="2:44" ht="23.25">
      <c r="B20" s="148"/>
      <c r="C20" s="149"/>
      <c r="D20" s="150"/>
      <c r="E20" s="151"/>
      <c r="F20" s="150"/>
      <c r="G20" s="151"/>
      <c r="H20" s="150"/>
      <c r="I20" s="151"/>
      <c r="J20" s="150"/>
      <c r="K20" s="151"/>
      <c r="L20" s="150"/>
      <c r="N20" s="293" t="s">
        <v>109</v>
      </c>
      <c r="O20" s="293"/>
      <c r="P20" s="293"/>
      <c r="Q20" s="294">
        <f>AVERAGE(C19:L33)</f>
        <v>0</v>
      </c>
      <c r="R20" s="294"/>
      <c r="T20" s="144">
        <f>IF(C20="",0,IF(C20&gt;I8,1,0))</f>
        <v>0</v>
      </c>
      <c r="U20" s="144">
        <f>IF(D20="",0,IF(D20&gt;I8,1,0))</f>
        <v>0</v>
      </c>
      <c r="V20" s="144">
        <f>IF(E20="",0,IF(E20&gt;I8,1,0))</f>
        <v>0</v>
      </c>
      <c r="W20" s="144">
        <f>IF(F20="",0,IF(F20&gt;I8,1,0))</f>
        <v>0</v>
      </c>
      <c r="X20" s="144">
        <f>IF(G20="",0,IF(G20&gt;I8,1,0))</f>
        <v>0</v>
      </c>
      <c r="Y20" s="144">
        <f>IF(H20="",0,IF(H20&gt;I8,1,0))</f>
        <v>0</v>
      </c>
      <c r="Z20" s="144">
        <f>IF(I20="",0,IF(I20&gt;I8,1,0))</f>
        <v>0</v>
      </c>
      <c r="AA20" s="144">
        <f>IF(J20="",0,IF(J20&gt;I8,1,0))</f>
        <v>0</v>
      </c>
      <c r="AB20" s="144">
        <f>IF(K20="",0,IF(K20&gt;I8,1,0))</f>
        <v>0</v>
      </c>
      <c r="AC20" s="144">
        <f>IF(L20="",0,IF(L20&gt;I8,1,0))</f>
        <v>0</v>
      </c>
      <c r="AD20" s="129"/>
      <c r="AE20" s="129"/>
      <c r="AF20" s="232"/>
      <c r="AG20" s="232"/>
      <c r="AH20" s="232"/>
      <c r="AI20" s="232"/>
      <c r="AJ20" s="232"/>
      <c r="AK20" s="233"/>
      <c r="AL20" s="129"/>
      <c r="AM20" s="129"/>
      <c r="AN20" s="129"/>
      <c r="AO20" s="129"/>
      <c r="AP20" s="129"/>
      <c r="AQ20" s="129"/>
      <c r="AR20" s="129"/>
    </row>
    <row r="21" spans="2:44" ht="23.25">
      <c r="B21" s="152"/>
      <c r="C21" s="149"/>
      <c r="D21" s="150"/>
      <c r="E21" s="151"/>
      <c r="F21" s="150"/>
      <c r="G21" s="151"/>
      <c r="H21" s="150"/>
      <c r="I21" s="151"/>
      <c r="J21" s="150"/>
      <c r="K21" s="151"/>
      <c r="L21" s="150"/>
      <c r="N21" s="293" t="s">
        <v>110</v>
      </c>
      <c r="O21" s="293"/>
      <c r="P21" s="293"/>
      <c r="Q21" s="294">
        <f>STDEV(C19:L33)</f>
        <v>0</v>
      </c>
      <c r="R21" s="294"/>
      <c r="T21" s="144">
        <f>IF(C21="",0,IF(C21&gt;I8,1,0))</f>
        <v>0</v>
      </c>
      <c r="U21" s="144">
        <f>IF(D21="",0,IF(D21&gt;I8,1,0))</f>
        <v>0</v>
      </c>
      <c r="V21" s="144">
        <f>IF(E21="",0,IF(E21&gt;I8,1,0))</f>
        <v>0</v>
      </c>
      <c r="W21" s="144">
        <f>IF(F21="",0,IF(F21&gt;I8,1,0))</f>
        <v>0</v>
      </c>
      <c r="X21" s="144">
        <f>IF(G21="",0,IF(G21&gt;I8,1,0))</f>
        <v>0</v>
      </c>
      <c r="Y21" s="144">
        <f>IF(H21="",0,IF(H21&gt;I8,1,0))</f>
        <v>0</v>
      </c>
      <c r="Z21" s="144">
        <f>IF(I21="",0,IF(I21&gt;I8,1,0))</f>
        <v>0</v>
      </c>
      <c r="AA21" s="144">
        <f>IF(J21="",0,IF(J21&gt;I8,1,0))</f>
        <v>0</v>
      </c>
      <c r="AB21" s="144">
        <f>IF(K21="",0,IF(K21&gt;I8,1,0))</f>
        <v>0</v>
      </c>
      <c r="AC21" s="144">
        <f>IF(L21="",0,IF(L21&gt;I8,1,0))</f>
        <v>0</v>
      </c>
      <c r="AD21" s="129"/>
      <c r="AE21" s="129"/>
      <c r="AF21" s="232"/>
      <c r="AG21" s="234"/>
      <c r="AH21" s="232"/>
      <c r="AI21" s="234"/>
      <c r="AJ21" s="232"/>
      <c r="AK21" s="235"/>
      <c r="AL21" s="129"/>
      <c r="AM21" s="129"/>
      <c r="AN21" s="129"/>
      <c r="AO21" s="129"/>
      <c r="AP21" s="129"/>
      <c r="AQ21" s="129"/>
      <c r="AR21" s="129"/>
    </row>
    <row r="22" spans="2:44" ht="23.25">
      <c r="B22" s="148"/>
      <c r="C22" s="149"/>
      <c r="D22" s="150"/>
      <c r="E22" s="151"/>
      <c r="F22" s="150"/>
      <c r="G22" s="151"/>
      <c r="H22" s="150"/>
      <c r="I22" s="151"/>
      <c r="J22" s="150"/>
      <c r="K22" s="151"/>
      <c r="L22" s="150"/>
      <c r="N22" s="293" t="s">
        <v>111</v>
      </c>
      <c r="O22" s="293"/>
      <c r="P22" s="293"/>
      <c r="Q22" s="294">
        <f>MAX(C19:L33)</f>
        <v>0</v>
      </c>
      <c r="R22" s="294"/>
      <c r="T22" s="144" t="s">
        <v>106</v>
      </c>
      <c r="U22" s="144">
        <f>SUM(T23:AC25)</f>
        <v>0</v>
      </c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232"/>
      <c r="AG22" s="234"/>
      <c r="AH22" s="232"/>
      <c r="AI22" s="234"/>
      <c r="AJ22" s="232"/>
      <c r="AK22" s="235"/>
      <c r="AL22" s="129"/>
      <c r="AM22" s="129"/>
      <c r="AN22" s="129"/>
      <c r="AO22" s="129"/>
      <c r="AP22" s="129"/>
      <c r="AQ22" s="129"/>
      <c r="AR22" s="129"/>
    </row>
    <row r="23" spans="2:44" ht="23.25">
      <c r="B23" s="152"/>
      <c r="C23" s="149"/>
      <c r="D23" s="150"/>
      <c r="E23" s="151"/>
      <c r="F23" s="150"/>
      <c r="G23" s="151"/>
      <c r="H23" s="150"/>
      <c r="I23" s="151"/>
      <c r="J23" s="150"/>
      <c r="K23" s="151"/>
      <c r="L23" s="150"/>
      <c r="N23" s="293" t="s">
        <v>112</v>
      </c>
      <c r="O23" s="293"/>
      <c r="P23" s="293"/>
      <c r="Q23" s="294">
        <f>MIN(C19:L33)</f>
        <v>0</v>
      </c>
      <c r="R23" s="294"/>
      <c r="T23" s="144">
        <f>IF(C19="",0,IF(C19&lt;I9,1,0))</f>
        <v>0</v>
      </c>
      <c r="U23" s="144">
        <f>IF(D19="",0,IF(D19&lt;I9,1,0))</f>
        <v>0</v>
      </c>
      <c r="V23" s="144">
        <f>IF(E19="",0,IF(E19&lt;I9,1,0))</f>
        <v>0</v>
      </c>
      <c r="W23" s="144">
        <f>IF(F19="",0,IF(F19&lt;I9,1,0))</f>
        <v>0</v>
      </c>
      <c r="X23" s="144">
        <f>IF(G19="",0,IF(G19&lt;I9,1,0))</f>
        <v>0</v>
      </c>
      <c r="Y23" s="144">
        <f>IF(H19="",0,IF(H19&lt;I9,1,0))</f>
        <v>0</v>
      </c>
      <c r="Z23" s="144">
        <f>IF(I19="",0,IF(I19&lt;I9,1,0))</f>
        <v>0</v>
      </c>
      <c r="AA23" s="144">
        <f>IF(J19="",0,IF(J19&lt;I9,1,0))</f>
        <v>0</v>
      </c>
      <c r="AB23" s="144">
        <f>IF(K19="",0,IF(K19&lt;I9,1,0))</f>
        <v>0</v>
      </c>
      <c r="AC23" s="144">
        <f>IF(L19="",0,IF(L19&lt;I9,1,0))</f>
        <v>0</v>
      </c>
      <c r="AD23" s="129"/>
      <c r="AE23" s="129"/>
      <c r="AF23" s="232"/>
      <c r="AG23" s="234"/>
      <c r="AH23" s="232"/>
      <c r="AI23" s="234"/>
      <c r="AJ23" s="232"/>
      <c r="AK23" s="235"/>
      <c r="AL23" s="129"/>
      <c r="AM23" s="129"/>
      <c r="AN23" s="129"/>
      <c r="AO23" s="129"/>
      <c r="AP23" s="129"/>
      <c r="AQ23" s="129"/>
      <c r="AR23" s="129"/>
    </row>
    <row r="24" spans="2:44" ht="23.25">
      <c r="B24" s="148"/>
      <c r="C24" s="149"/>
      <c r="D24" s="150"/>
      <c r="E24" s="151"/>
      <c r="F24" s="150"/>
      <c r="G24" s="151"/>
      <c r="H24" s="150"/>
      <c r="I24" s="151"/>
      <c r="J24" s="150"/>
      <c r="K24" s="151"/>
      <c r="L24" s="150"/>
      <c r="N24" s="293" t="s">
        <v>113</v>
      </c>
      <c r="O24" s="293"/>
      <c r="P24" s="293"/>
      <c r="Q24" s="294" t="e">
        <f>KURT(C19:L33)</f>
        <v>#DIV/0!</v>
      </c>
      <c r="R24" s="294"/>
      <c r="T24" s="144">
        <f>IF(C20="",0,IF(C20&lt;I9,1,0))</f>
        <v>0</v>
      </c>
      <c r="U24" s="144">
        <f>IF(D20="",0,IF(D20&lt;I9,1,0))</f>
        <v>0</v>
      </c>
      <c r="V24" s="144">
        <f>IF(E20="",0,IF(E20&lt;I9,1,0))</f>
        <v>0</v>
      </c>
      <c r="W24" s="144">
        <f>IF(F20="",0,IF(F20&lt;I9,1,0))</f>
        <v>0</v>
      </c>
      <c r="X24" s="144">
        <f>IF(G20="",0,IF(G20&lt;I9,1,0))</f>
        <v>0</v>
      </c>
      <c r="Y24" s="144">
        <f>IF(H20="",0,IF(H20&lt;I9,1,0))</f>
        <v>0</v>
      </c>
      <c r="Z24" s="144">
        <f>IF(I20="",0,IF(I20&lt;I9,1,0))</f>
        <v>0</v>
      </c>
      <c r="AA24" s="144">
        <f>IF(J20="",0,IF(J20&lt;I9,1,0))</f>
        <v>0</v>
      </c>
      <c r="AB24" s="144">
        <f>IF(K20="",0,IF(K20&lt;I9,1,0))</f>
        <v>0</v>
      </c>
      <c r="AC24" s="144">
        <f>IF(L20="",0,IF(L20&lt;I9,1,0))</f>
        <v>0</v>
      </c>
      <c r="AD24" s="129"/>
      <c r="AE24" s="129"/>
      <c r="AF24" s="232"/>
      <c r="AG24" s="234"/>
      <c r="AH24" s="232"/>
      <c r="AI24" s="234"/>
      <c r="AJ24" s="232"/>
      <c r="AK24" s="235"/>
      <c r="AL24" s="129"/>
      <c r="AM24" s="129"/>
      <c r="AN24" s="129"/>
      <c r="AO24" s="129"/>
      <c r="AP24" s="129"/>
      <c r="AQ24" s="129"/>
      <c r="AR24" s="129"/>
    </row>
    <row r="25" spans="2:44" ht="23.25">
      <c r="B25" s="152"/>
      <c r="C25" s="149"/>
      <c r="D25" s="150"/>
      <c r="E25" s="151"/>
      <c r="F25" s="150"/>
      <c r="G25" s="151"/>
      <c r="H25" s="150"/>
      <c r="I25" s="151"/>
      <c r="J25" s="150"/>
      <c r="K25" s="151"/>
      <c r="L25" s="150"/>
      <c r="N25" s="293" t="s">
        <v>114</v>
      </c>
      <c r="O25" s="293"/>
      <c r="P25" s="293"/>
      <c r="Q25" s="294">
        <f>MAX_DATA-MIN_DATA</f>
        <v>0</v>
      </c>
      <c r="R25" s="294"/>
      <c r="T25" s="144">
        <f>IF(C21="",0,IF(C21&lt;I9,1,0))</f>
        <v>0</v>
      </c>
      <c r="U25" s="144">
        <f>IF(D21="",0,IF(D21&lt;I9,1,0))</f>
        <v>0</v>
      </c>
      <c r="V25" s="144">
        <f>IF(E21="",0,IF(E21&lt;I9,1,0))</f>
        <v>0</v>
      </c>
      <c r="W25" s="144">
        <f>IF(F21="",0,IF(F21&lt;I9,1,0))</f>
        <v>0</v>
      </c>
      <c r="X25" s="144">
        <f>IF(G21="",0,IF(G21&lt;I9,1,0))</f>
        <v>0</v>
      </c>
      <c r="Y25" s="144">
        <f>IF(H21="",0,IF(H21&lt;I9,1,0))</f>
        <v>0</v>
      </c>
      <c r="Z25" s="144">
        <f>IF(I21="",0,IF(I21&lt;I9,1,0))</f>
        <v>0</v>
      </c>
      <c r="AA25" s="144">
        <f>IF(J21="",0,IF(J21&lt;I9,1,0))</f>
        <v>0</v>
      </c>
      <c r="AB25" s="144">
        <f>IF(K21="",0,IF(K21&lt;I9,1,0))</f>
        <v>0</v>
      </c>
      <c r="AC25" s="144">
        <f>IF(L21="",0,IF(L21&lt;I9,1,0))</f>
        <v>0</v>
      </c>
      <c r="AD25" s="129"/>
      <c r="AE25" s="129"/>
      <c r="AF25" s="232"/>
      <c r="AG25" s="234"/>
      <c r="AH25" s="232"/>
      <c r="AI25" s="234"/>
      <c r="AJ25" s="232"/>
      <c r="AK25" s="235"/>
      <c r="AL25" s="129"/>
      <c r="AM25" s="129"/>
      <c r="AN25" s="129"/>
      <c r="AO25" s="129"/>
      <c r="AP25" s="129"/>
      <c r="AQ25" s="129"/>
      <c r="AR25" s="129"/>
    </row>
    <row r="26" spans="2:44" ht="23.25">
      <c r="B26" s="148"/>
      <c r="C26" s="149"/>
      <c r="D26" s="150"/>
      <c r="E26" s="151"/>
      <c r="F26" s="150"/>
      <c r="G26" s="151"/>
      <c r="H26" s="150"/>
      <c r="I26" s="151"/>
      <c r="J26" s="150"/>
      <c r="K26" s="151"/>
      <c r="L26" s="150"/>
      <c r="N26" s="293" t="s">
        <v>115</v>
      </c>
      <c r="O26" s="293"/>
      <c r="P26" s="293"/>
      <c r="Q26" s="294" t="e">
        <f>(Q28-Q29)/(6*Q21)</f>
        <v>#DIV/0!</v>
      </c>
      <c r="R26" s="294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232"/>
      <c r="AG26" s="234"/>
      <c r="AH26" s="232"/>
      <c r="AI26" s="234"/>
      <c r="AJ26" s="232"/>
      <c r="AK26" s="235"/>
      <c r="AL26" s="129"/>
      <c r="AM26" s="129"/>
      <c r="AN26" s="129"/>
      <c r="AO26" s="129"/>
      <c r="AP26" s="129"/>
      <c r="AQ26" s="129"/>
      <c r="AR26" s="129"/>
    </row>
    <row r="27" spans="2:44" ht="23.25">
      <c r="B27" s="152"/>
      <c r="C27" s="149"/>
      <c r="D27" s="150"/>
      <c r="E27" s="151"/>
      <c r="F27" s="150"/>
      <c r="G27" s="151"/>
      <c r="H27" s="150"/>
      <c r="I27" s="151"/>
      <c r="J27" s="150"/>
      <c r="K27" s="151"/>
      <c r="L27" s="150"/>
      <c r="N27" s="293" t="s">
        <v>116</v>
      </c>
      <c r="O27" s="293"/>
      <c r="P27" s="293"/>
      <c r="Q27" s="295" t="e">
        <f>MIN((Q28-Q20)/(3*Q21),(Q20-Q29)/(3*Q21))</f>
        <v>#DIV/0!</v>
      </c>
      <c r="R27" s="295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/>
      <c r="AF27" s="232"/>
      <c r="AG27" s="234"/>
      <c r="AH27" s="232"/>
      <c r="AI27" s="234"/>
      <c r="AJ27" s="232"/>
      <c r="AK27" s="235"/>
      <c r="AL27" s="129"/>
      <c r="AM27" s="129"/>
      <c r="AN27" s="129"/>
      <c r="AO27" s="129"/>
      <c r="AP27" s="129"/>
      <c r="AQ27" s="129"/>
      <c r="AR27" s="129"/>
    </row>
    <row r="28" spans="2:44" ht="23.25">
      <c r="B28" s="148"/>
      <c r="C28" s="149"/>
      <c r="D28" s="150"/>
      <c r="E28" s="151"/>
      <c r="F28" s="150"/>
      <c r="G28" s="151"/>
      <c r="H28" s="150"/>
      <c r="I28" s="151"/>
      <c r="J28" s="150"/>
      <c r="K28" s="151"/>
      <c r="L28" s="150"/>
      <c r="N28" s="176" t="s">
        <v>117</v>
      </c>
      <c r="O28" s="177"/>
      <c r="P28" s="178"/>
      <c r="Q28" s="285">
        <f>I8</f>
        <v>0</v>
      </c>
      <c r="R28" s="286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/>
      <c r="AF28" s="232"/>
      <c r="AG28" s="234"/>
      <c r="AH28" s="232"/>
      <c r="AI28" s="234"/>
      <c r="AJ28" s="232"/>
      <c r="AK28" s="235"/>
      <c r="AL28" s="129"/>
      <c r="AM28" s="129"/>
      <c r="AN28" s="129"/>
      <c r="AO28" s="129"/>
      <c r="AP28" s="129"/>
      <c r="AQ28" s="129"/>
      <c r="AR28" s="129"/>
    </row>
    <row r="29" spans="2:44" ht="23.25">
      <c r="B29" s="152"/>
      <c r="C29" s="149"/>
      <c r="D29" s="150"/>
      <c r="E29" s="151"/>
      <c r="F29" s="150"/>
      <c r="G29" s="151"/>
      <c r="H29" s="150"/>
      <c r="I29" s="151"/>
      <c r="J29" s="150"/>
      <c r="K29" s="151"/>
      <c r="L29" s="150"/>
      <c r="N29" s="176" t="s">
        <v>118</v>
      </c>
      <c r="O29" s="177"/>
      <c r="P29" s="178"/>
      <c r="Q29" s="285">
        <f>I9</f>
        <v>0</v>
      </c>
      <c r="R29" s="286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232"/>
      <c r="AG29" s="234"/>
      <c r="AH29" s="232"/>
      <c r="AI29" s="234"/>
      <c r="AJ29" s="232"/>
      <c r="AK29" s="235"/>
      <c r="AL29" s="129"/>
      <c r="AM29" s="129"/>
      <c r="AN29" s="129"/>
      <c r="AO29" s="129"/>
      <c r="AP29" s="129"/>
      <c r="AQ29" s="129"/>
      <c r="AR29" s="129"/>
    </row>
    <row r="30" spans="2:44" ht="23.25">
      <c r="B30" s="148"/>
      <c r="C30" s="149"/>
      <c r="D30" s="150"/>
      <c r="E30" s="151"/>
      <c r="F30" s="150"/>
      <c r="G30" s="151"/>
      <c r="H30" s="150"/>
      <c r="I30" s="151"/>
      <c r="J30" s="150"/>
      <c r="K30" s="151"/>
      <c r="L30" s="150"/>
      <c r="N30" s="177" t="s">
        <v>119</v>
      </c>
      <c r="O30" s="179"/>
      <c r="P30" s="178"/>
      <c r="Q30" s="285">
        <f>Q20+3*Q21</f>
        <v>0</v>
      </c>
      <c r="R30" s="286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/>
      <c r="AF30" s="232"/>
      <c r="AG30" s="234"/>
      <c r="AH30" s="232"/>
      <c r="AI30" s="234"/>
      <c r="AJ30" s="232"/>
      <c r="AK30" s="235"/>
      <c r="AL30" s="129"/>
      <c r="AM30" s="129"/>
      <c r="AN30" s="129"/>
      <c r="AO30" s="129"/>
      <c r="AP30" s="129"/>
      <c r="AQ30" s="129"/>
      <c r="AR30" s="129"/>
    </row>
    <row r="31" spans="2:44" ht="23.25">
      <c r="B31" s="152"/>
      <c r="C31" s="149"/>
      <c r="D31" s="150"/>
      <c r="E31" s="151"/>
      <c r="F31" s="150"/>
      <c r="G31" s="151"/>
      <c r="H31" s="150"/>
      <c r="I31" s="151"/>
      <c r="J31" s="150"/>
      <c r="K31" s="151"/>
      <c r="L31" s="150"/>
      <c r="N31" s="177" t="s">
        <v>120</v>
      </c>
      <c r="O31" s="179"/>
      <c r="P31" s="178"/>
      <c r="Q31" s="285">
        <f>Q20-3*Q21</f>
        <v>0</v>
      </c>
      <c r="R31" s="286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/>
      <c r="AF31" s="232"/>
      <c r="AG31" s="234"/>
      <c r="AH31" s="232"/>
      <c r="AI31" s="234"/>
      <c r="AJ31" s="232"/>
      <c r="AK31" s="235"/>
      <c r="AL31" s="129"/>
      <c r="AM31" s="129"/>
      <c r="AN31" s="129"/>
      <c r="AO31" s="129"/>
      <c r="AP31" s="129"/>
      <c r="AQ31" s="129"/>
      <c r="AR31" s="129"/>
    </row>
    <row r="32" spans="2:44" ht="23.25">
      <c r="B32" s="148"/>
      <c r="C32" s="149"/>
      <c r="D32" s="150"/>
      <c r="E32" s="151"/>
      <c r="F32" s="150"/>
      <c r="G32" s="151"/>
      <c r="H32" s="150"/>
      <c r="I32" s="151"/>
      <c r="J32" s="150"/>
      <c r="K32" s="151"/>
      <c r="L32" s="150"/>
      <c r="N32" s="177" t="s">
        <v>121</v>
      </c>
      <c r="O32" s="179"/>
      <c r="P32" s="178"/>
      <c r="Q32" s="287">
        <f>H120</f>
        <v>0</v>
      </c>
      <c r="R32" s="288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/>
      <c r="AF32" s="232"/>
      <c r="AG32" s="234"/>
      <c r="AH32" s="232"/>
      <c r="AI32" s="234"/>
      <c r="AJ32" s="232"/>
      <c r="AK32" s="235"/>
      <c r="AL32" s="129"/>
      <c r="AM32" s="129"/>
      <c r="AN32" s="129"/>
      <c r="AO32" s="129"/>
      <c r="AP32" s="129"/>
      <c r="AQ32" s="129"/>
      <c r="AR32" s="129"/>
    </row>
    <row r="33" spans="2:44" ht="23.25">
      <c r="B33" s="152"/>
      <c r="C33" s="153"/>
      <c r="D33" s="154"/>
      <c r="E33" s="155"/>
      <c r="F33" s="154"/>
      <c r="G33" s="155"/>
      <c r="H33" s="154"/>
      <c r="I33" s="155"/>
      <c r="J33" s="154"/>
      <c r="K33" s="155"/>
      <c r="L33" s="154"/>
      <c r="N33" s="239" t="s">
        <v>122</v>
      </c>
      <c r="O33" s="240"/>
      <c r="P33" s="241"/>
      <c r="Q33" s="289">
        <f>H121</f>
        <v>0</v>
      </c>
      <c r="R33" s="290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/>
      <c r="AE33" s="129"/>
      <c r="AF33" s="236"/>
      <c r="AG33" s="237"/>
      <c r="AH33" s="236"/>
      <c r="AI33" s="237"/>
      <c r="AJ33" s="236"/>
      <c r="AK33" s="238"/>
      <c r="AL33" s="129"/>
      <c r="AM33" s="129"/>
      <c r="AN33" s="129"/>
      <c r="AO33" s="129"/>
      <c r="AP33" s="129"/>
      <c r="AQ33" s="129"/>
      <c r="AR33" s="129"/>
    </row>
    <row r="34" spans="2:44" ht="26.25">
      <c r="B34" s="156"/>
      <c r="C34" s="156"/>
      <c r="D34" s="157"/>
      <c r="E34" s="156"/>
      <c r="F34" s="158"/>
      <c r="G34" s="159"/>
      <c r="H34" s="159"/>
      <c r="I34" s="160"/>
      <c r="J34" s="159"/>
      <c r="K34" s="159"/>
      <c r="L34" s="159"/>
      <c r="M34" s="161"/>
      <c r="N34" s="242"/>
      <c r="O34" s="242"/>
      <c r="P34" s="242"/>
      <c r="Q34" s="291"/>
      <c r="R34" s="291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/>
      <c r="AG34" s="129"/>
      <c r="AH34" s="129"/>
      <c r="AI34" s="129"/>
      <c r="AJ34" s="129"/>
      <c r="AK34" s="129"/>
      <c r="AL34" s="129"/>
      <c r="AM34" s="129"/>
      <c r="AN34" s="129"/>
      <c r="AO34" s="129"/>
      <c r="AP34" s="129"/>
      <c r="AQ34" s="129"/>
      <c r="AR34" s="129"/>
    </row>
    <row r="35" spans="2:44" ht="26.25" customHeight="1">
      <c r="G35" s="163"/>
      <c r="H35" s="164"/>
      <c r="I35" s="165"/>
      <c r="J35" s="166"/>
      <c r="K35" s="166"/>
      <c r="L35" s="166"/>
      <c r="M35" s="166"/>
      <c r="N35" s="166"/>
      <c r="O35" s="166"/>
      <c r="P35" s="167"/>
      <c r="Q35" s="163"/>
      <c r="R35" s="163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/>
      <c r="AG35" s="129"/>
      <c r="AH35" s="129"/>
      <c r="AI35" s="129"/>
      <c r="AJ35" s="129"/>
      <c r="AK35" s="129"/>
      <c r="AL35" s="129"/>
      <c r="AM35" s="129"/>
      <c r="AN35" s="129"/>
      <c r="AO35" s="129"/>
      <c r="AP35" s="129"/>
      <c r="AQ35" s="129"/>
      <c r="AR35" s="129"/>
    </row>
    <row r="36" spans="2:44" ht="18.75" customHeight="1">
      <c r="G36" s="168"/>
      <c r="H36" s="169"/>
      <c r="I36" s="170"/>
      <c r="J36" s="170"/>
      <c r="K36" s="170"/>
      <c r="L36" s="171"/>
      <c r="M36" s="170"/>
      <c r="N36" s="170"/>
      <c r="O36" s="170"/>
      <c r="P36" s="172"/>
      <c r="Q36" s="168"/>
      <c r="R36" s="168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/>
      <c r="AG36" s="129"/>
      <c r="AH36" s="129"/>
      <c r="AI36" s="129"/>
      <c r="AJ36" s="129"/>
      <c r="AK36" s="129"/>
      <c r="AL36" s="129"/>
      <c r="AM36" s="129"/>
      <c r="AN36" s="129"/>
      <c r="AO36" s="129"/>
      <c r="AP36" s="129"/>
      <c r="AQ36" s="129"/>
      <c r="AR36" s="129"/>
    </row>
    <row r="37" spans="2:44" ht="18.75" customHeight="1">
      <c r="G37" s="168"/>
      <c r="H37" s="169"/>
      <c r="I37" s="170"/>
      <c r="J37" s="173"/>
      <c r="K37" s="174"/>
      <c r="L37" s="175"/>
      <c r="M37" s="174"/>
      <c r="N37" s="170"/>
      <c r="O37" s="170"/>
      <c r="P37" s="172"/>
      <c r="Q37" s="168"/>
      <c r="R37" s="168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/>
      <c r="AG37" s="129"/>
      <c r="AH37" s="129"/>
      <c r="AI37" s="129"/>
      <c r="AJ37" s="129"/>
      <c r="AK37" s="129"/>
      <c r="AL37" s="129"/>
      <c r="AM37" s="129"/>
      <c r="AN37" s="129"/>
      <c r="AO37" s="129"/>
      <c r="AP37" s="129"/>
      <c r="AQ37" s="129"/>
      <c r="AR37" s="129"/>
    </row>
    <row r="38" spans="2:44" ht="18.75" customHeight="1">
      <c r="G38" s="168"/>
      <c r="H38" s="169"/>
      <c r="I38" s="170"/>
      <c r="J38" s="173"/>
      <c r="K38" s="174"/>
      <c r="L38" s="175"/>
      <c r="M38" s="174"/>
      <c r="N38" s="170"/>
      <c r="O38" s="170"/>
      <c r="P38" s="172"/>
      <c r="Q38" s="168"/>
      <c r="R38" s="168"/>
      <c r="T38" s="129"/>
      <c r="U38" s="129"/>
      <c r="V38" s="129"/>
      <c r="W38" s="129"/>
      <c r="X38" s="129"/>
      <c r="Y38" s="129"/>
      <c r="Z38" s="129"/>
      <c r="AA38" s="129"/>
      <c r="AB38" s="129"/>
      <c r="AC38" s="129"/>
      <c r="AD38" s="129"/>
      <c r="AE38" s="129"/>
      <c r="AF38" s="129"/>
      <c r="AG38" s="129"/>
      <c r="AH38" s="129"/>
      <c r="AI38" s="129"/>
      <c r="AJ38" s="129"/>
      <c r="AK38" s="129"/>
      <c r="AL38" s="129"/>
      <c r="AM38" s="129"/>
      <c r="AN38" s="129"/>
      <c r="AO38" s="129"/>
      <c r="AP38" s="129"/>
      <c r="AQ38" s="129"/>
      <c r="AR38" s="129"/>
    </row>
    <row r="39" spans="2:44" ht="18.75" customHeight="1">
      <c r="G39" s="168"/>
      <c r="H39" s="169"/>
      <c r="I39" s="170"/>
      <c r="J39" s="173"/>
      <c r="K39" s="174"/>
      <c r="L39" s="175"/>
      <c r="M39" s="174"/>
      <c r="N39" s="170"/>
      <c r="O39" s="170"/>
      <c r="P39" s="172"/>
      <c r="Q39" s="168"/>
      <c r="R39" s="168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/>
      <c r="AG39" s="129"/>
      <c r="AH39" s="129"/>
      <c r="AI39" s="129"/>
      <c r="AJ39" s="129"/>
      <c r="AK39" s="129"/>
      <c r="AL39" s="129"/>
      <c r="AM39" s="129"/>
      <c r="AN39" s="129"/>
      <c r="AO39" s="129"/>
      <c r="AP39" s="129"/>
      <c r="AQ39" s="129"/>
      <c r="AR39" s="129"/>
    </row>
    <row r="40" spans="2:44" ht="18.75" customHeight="1">
      <c r="G40" s="168"/>
      <c r="H40" s="169"/>
      <c r="I40" s="170"/>
      <c r="J40" s="173"/>
      <c r="K40" s="174"/>
      <c r="L40" s="175"/>
      <c r="M40" s="174"/>
      <c r="N40" s="170"/>
      <c r="O40" s="170"/>
      <c r="P40" s="172"/>
      <c r="Q40" s="168"/>
      <c r="R40" s="168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/>
      <c r="AO40" s="129"/>
      <c r="AP40" s="129"/>
      <c r="AQ40" s="129"/>
      <c r="AR40" s="129"/>
    </row>
    <row r="41" spans="2:44" ht="18.75" customHeight="1">
      <c r="G41" s="168"/>
      <c r="H41" s="169"/>
      <c r="I41" s="170"/>
      <c r="J41" s="173"/>
      <c r="K41" s="174"/>
      <c r="L41" s="175"/>
      <c r="M41" s="174"/>
      <c r="N41" s="170"/>
      <c r="O41" s="170"/>
      <c r="P41" s="172"/>
      <c r="Q41" s="168"/>
      <c r="R41" s="168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/>
      <c r="AO41" s="129"/>
      <c r="AP41" s="129"/>
      <c r="AQ41" s="129"/>
      <c r="AR41" s="129"/>
    </row>
    <row r="42" spans="2:44" ht="18.75" customHeight="1">
      <c r="G42" s="168"/>
      <c r="H42" s="169"/>
      <c r="I42" s="170"/>
      <c r="J42" s="170"/>
      <c r="K42" s="175"/>
      <c r="L42" s="175"/>
      <c r="M42" s="174"/>
      <c r="N42" s="170"/>
      <c r="O42" s="170"/>
      <c r="P42" s="172"/>
      <c r="Q42" s="168"/>
      <c r="R42" s="168"/>
      <c r="T42" s="129"/>
      <c r="U42" s="129"/>
      <c r="V42" s="129"/>
      <c r="W42" s="129"/>
      <c r="X42" s="129"/>
      <c r="Y42" s="129"/>
      <c r="Z42" s="129"/>
      <c r="AA42" s="129"/>
      <c r="AB42" s="129"/>
      <c r="AC42" s="129"/>
      <c r="AD42" s="129"/>
      <c r="AE42" s="129"/>
      <c r="AF42" s="129"/>
      <c r="AG42" s="129"/>
      <c r="AH42" s="129"/>
      <c r="AI42" s="129"/>
      <c r="AJ42" s="129"/>
      <c r="AK42" s="129"/>
      <c r="AL42" s="129"/>
      <c r="AM42" s="129"/>
      <c r="AN42" s="129"/>
      <c r="AO42" s="129"/>
      <c r="AP42" s="129"/>
      <c r="AQ42" s="129"/>
      <c r="AR42" s="129"/>
    </row>
    <row r="43" spans="2:44" ht="18.75" customHeight="1">
      <c r="G43" s="168"/>
      <c r="H43" s="169"/>
      <c r="I43" s="170"/>
      <c r="J43" s="170"/>
      <c r="K43" s="175"/>
      <c r="L43" s="175"/>
      <c r="M43" s="175"/>
      <c r="N43" s="170"/>
      <c r="O43" s="170"/>
      <c r="P43" s="172"/>
      <c r="Q43" s="168"/>
      <c r="R43" s="168"/>
      <c r="T43" s="129"/>
      <c r="U43" s="129"/>
      <c r="V43" s="129"/>
      <c r="W43" s="129"/>
      <c r="X43" s="129"/>
      <c r="Y43" s="129"/>
      <c r="Z43" s="129"/>
      <c r="AA43" s="129"/>
      <c r="AB43" s="129"/>
      <c r="AC43" s="129"/>
      <c r="AD43" s="129"/>
      <c r="AE43" s="129"/>
      <c r="AF43" s="129"/>
      <c r="AG43" s="129"/>
      <c r="AH43" s="129"/>
      <c r="AI43" s="129"/>
      <c r="AJ43" s="129"/>
      <c r="AK43" s="129"/>
      <c r="AL43" s="129"/>
      <c r="AM43" s="129"/>
      <c r="AN43" s="129"/>
      <c r="AO43" s="129"/>
      <c r="AP43" s="129"/>
      <c r="AQ43" s="129"/>
      <c r="AR43" s="129"/>
    </row>
    <row r="44" spans="2:44" ht="18.75" customHeight="1">
      <c r="G44" s="168"/>
      <c r="H44" s="169"/>
      <c r="I44" s="170"/>
      <c r="J44" s="170"/>
      <c r="K44" s="175"/>
      <c r="L44" s="175"/>
      <c r="M44" s="175"/>
      <c r="N44" s="170"/>
      <c r="O44" s="170"/>
      <c r="P44" s="172"/>
      <c r="Q44" s="168"/>
      <c r="R44" s="168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O44" s="129"/>
      <c r="AP44" s="129"/>
      <c r="AQ44" s="129"/>
      <c r="AR44" s="129"/>
    </row>
    <row r="45" spans="2:44" ht="18.75" customHeight="1">
      <c r="G45" s="168"/>
      <c r="H45" s="169"/>
      <c r="I45" s="170"/>
      <c r="J45" s="170"/>
      <c r="K45" s="175"/>
      <c r="L45" s="175"/>
      <c r="M45" s="175"/>
      <c r="N45" s="170"/>
      <c r="O45" s="170"/>
      <c r="P45" s="172"/>
      <c r="Q45" s="168"/>
      <c r="R45" s="168"/>
      <c r="T45" s="129"/>
      <c r="U45" s="129"/>
      <c r="V45" s="129"/>
      <c r="W45" s="129"/>
      <c r="X45" s="129"/>
      <c r="Y45" s="129"/>
      <c r="Z45" s="129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</row>
    <row r="46" spans="2:44" ht="18.75" customHeight="1">
      <c r="G46" s="168"/>
      <c r="H46" s="169"/>
      <c r="I46" s="170"/>
      <c r="J46" s="170"/>
      <c r="K46" s="175"/>
      <c r="L46" s="175"/>
      <c r="M46" s="175"/>
      <c r="N46" s="170"/>
      <c r="O46" s="170"/>
      <c r="P46" s="172"/>
      <c r="Q46" s="168"/>
      <c r="R46" s="168"/>
      <c r="T46" s="129"/>
      <c r="U46" s="129"/>
      <c r="V46" s="129"/>
      <c r="W46" s="129"/>
      <c r="X46" s="129"/>
      <c r="Y46" s="129"/>
      <c r="Z46" s="129"/>
      <c r="AA46" s="129"/>
      <c r="AB46" s="129"/>
      <c r="AC46" s="129"/>
      <c r="AD46" s="129"/>
      <c r="AE46" s="129"/>
      <c r="AF46" s="129"/>
      <c r="AG46" s="129"/>
      <c r="AH46" s="129"/>
      <c r="AI46" s="129"/>
      <c r="AJ46" s="129"/>
      <c r="AK46" s="129"/>
      <c r="AL46" s="129"/>
      <c r="AM46" s="129"/>
      <c r="AN46" s="129"/>
      <c r="AO46" s="129"/>
      <c r="AP46" s="129"/>
      <c r="AQ46" s="129"/>
      <c r="AR46" s="129"/>
    </row>
    <row r="47" spans="2:44" ht="18.75" customHeight="1">
      <c r="G47" s="168"/>
      <c r="H47" s="169"/>
      <c r="I47" s="170"/>
      <c r="J47" s="170"/>
      <c r="K47" s="175"/>
      <c r="L47" s="175"/>
      <c r="M47" s="175"/>
      <c r="N47" s="170"/>
      <c r="O47" s="170"/>
      <c r="P47" s="172"/>
      <c r="Q47" s="168"/>
      <c r="R47" s="168"/>
      <c r="T47" s="129"/>
      <c r="U47" s="129"/>
      <c r="V47" s="129"/>
      <c r="W47" s="129"/>
      <c r="X47" s="129"/>
      <c r="Y47" s="129"/>
      <c r="Z47" s="129"/>
      <c r="AA47" s="129"/>
      <c r="AB47" s="129"/>
      <c r="AC47" s="129"/>
      <c r="AD47" s="129"/>
      <c r="AE47" s="129"/>
      <c r="AF47" s="129"/>
      <c r="AG47" s="129"/>
      <c r="AH47" s="129"/>
      <c r="AI47" s="129"/>
      <c r="AJ47" s="129"/>
      <c r="AK47" s="129"/>
      <c r="AL47" s="129"/>
      <c r="AM47" s="129"/>
      <c r="AN47" s="129"/>
      <c r="AO47" s="129"/>
      <c r="AP47" s="129"/>
      <c r="AQ47" s="129"/>
      <c r="AR47" s="129"/>
    </row>
    <row r="48" spans="2:44" ht="18.75" customHeight="1">
      <c r="G48" s="168"/>
      <c r="H48" s="169"/>
      <c r="I48" s="170"/>
      <c r="J48" s="170"/>
      <c r="K48" s="170"/>
      <c r="L48" s="170"/>
      <c r="M48" s="170"/>
      <c r="N48" s="170"/>
      <c r="O48" s="170"/>
      <c r="P48" s="172"/>
      <c r="Q48" s="168"/>
      <c r="R48" s="168"/>
      <c r="T48" s="129"/>
      <c r="U48" s="129"/>
      <c r="V48" s="129"/>
      <c r="W48" s="129"/>
      <c r="X48" s="129"/>
      <c r="Y48" s="129"/>
      <c r="Z48" s="129"/>
      <c r="AA48" s="129"/>
      <c r="AB48" s="129"/>
      <c r="AC48" s="129"/>
      <c r="AD48" s="129"/>
      <c r="AE48" s="129"/>
      <c r="AF48" s="129"/>
      <c r="AG48" s="129"/>
      <c r="AH48" s="129"/>
      <c r="AI48" s="129"/>
      <c r="AJ48" s="129"/>
      <c r="AK48" s="129"/>
      <c r="AL48" s="129"/>
      <c r="AM48" s="129"/>
      <c r="AN48" s="129"/>
      <c r="AO48" s="129"/>
      <c r="AP48" s="129"/>
      <c r="AQ48" s="129"/>
      <c r="AR48" s="129"/>
    </row>
    <row r="49" spans="1:44" ht="18.75" customHeight="1">
      <c r="G49" s="168"/>
      <c r="H49" s="169"/>
      <c r="I49" s="170"/>
      <c r="J49" s="170"/>
      <c r="K49" s="170"/>
      <c r="L49" s="170"/>
      <c r="M49" s="170"/>
      <c r="N49" s="170"/>
      <c r="O49" s="170"/>
      <c r="P49" s="172"/>
      <c r="Q49" s="168"/>
      <c r="R49" s="168"/>
      <c r="T49" s="129"/>
      <c r="U49" s="129"/>
      <c r="V49" s="129"/>
      <c r="W49" s="129"/>
      <c r="X49" s="129"/>
      <c r="Y49" s="129"/>
      <c r="Z49" s="129"/>
      <c r="AA49" s="129"/>
      <c r="AB49" s="129"/>
      <c r="AC49" s="129"/>
      <c r="AD49" s="129"/>
      <c r="AE49" s="129"/>
      <c r="AF49" s="129"/>
      <c r="AG49" s="129"/>
      <c r="AH49" s="129"/>
      <c r="AI49" s="129"/>
      <c r="AJ49" s="129"/>
      <c r="AK49" s="129"/>
      <c r="AL49" s="129"/>
      <c r="AM49" s="129"/>
      <c r="AN49" s="129"/>
      <c r="AO49" s="129"/>
      <c r="AP49" s="129"/>
      <c r="AQ49" s="129"/>
      <c r="AR49" s="129"/>
    </row>
    <row r="50" spans="1:44" ht="18.75" customHeight="1">
      <c r="G50" s="168"/>
      <c r="H50" s="168"/>
      <c r="I50" s="172"/>
      <c r="J50" s="172"/>
      <c r="K50" s="172"/>
      <c r="L50" s="172"/>
      <c r="M50" s="172"/>
      <c r="N50" s="172"/>
      <c r="O50" s="172"/>
      <c r="P50" s="172"/>
      <c r="Q50" s="168"/>
      <c r="R50" s="168"/>
      <c r="T50" s="129"/>
      <c r="U50" s="129"/>
      <c r="V50" s="129"/>
      <c r="W50" s="129"/>
      <c r="X50" s="129"/>
      <c r="Y50" s="129"/>
      <c r="Z50" s="129"/>
      <c r="AA50" s="129"/>
      <c r="AB50" s="129"/>
      <c r="AC50" s="129"/>
      <c r="AD50" s="129"/>
      <c r="AE50" s="129"/>
      <c r="AF50" s="129"/>
      <c r="AG50" s="129"/>
      <c r="AH50" s="129"/>
      <c r="AI50" s="129"/>
      <c r="AJ50" s="129"/>
      <c r="AK50" s="129"/>
      <c r="AL50" s="129"/>
      <c r="AM50" s="129"/>
      <c r="AN50" s="129"/>
      <c r="AO50" s="129"/>
      <c r="AP50" s="129"/>
      <c r="AQ50" s="129"/>
      <c r="AR50" s="129"/>
    </row>
    <row r="51" spans="1:44" ht="18.75" customHeight="1">
      <c r="G51" s="168"/>
      <c r="H51" s="168"/>
      <c r="I51" s="172"/>
      <c r="J51" s="172"/>
      <c r="K51" s="172"/>
      <c r="L51" s="172"/>
      <c r="M51" s="172"/>
      <c r="N51" s="172"/>
      <c r="O51" s="172"/>
      <c r="P51" s="172"/>
      <c r="Q51" s="168"/>
      <c r="R51" s="168"/>
      <c r="T51" s="129"/>
      <c r="U51" s="129"/>
      <c r="V51" s="129"/>
      <c r="W51" s="129"/>
      <c r="X51" s="129"/>
      <c r="Y51" s="129"/>
      <c r="Z51" s="129"/>
      <c r="AA51" s="129"/>
      <c r="AB51" s="129"/>
      <c r="AC51" s="129"/>
      <c r="AD51" s="129"/>
      <c r="AE51" s="129"/>
      <c r="AF51" s="129"/>
      <c r="AG51" s="129"/>
      <c r="AH51" s="129"/>
      <c r="AI51" s="129"/>
      <c r="AJ51" s="129"/>
      <c r="AK51" s="129"/>
      <c r="AL51" s="129"/>
      <c r="AM51" s="129"/>
      <c r="AN51" s="129"/>
      <c r="AO51" s="129"/>
      <c r="AP51" s="129"/>
      <c r="AQ51" s="129"/>
      <c r="AR51" s="129"/>
    </row>
    <row r="52" spans="1:44" ht="20.25" customHeight="1">
      <c r="E52" s="292"/>
      <c r="F52" s="292"/>
      <c r="G52" s="168"/>
      <c r="H52" s="168"/>
      <c r="I52" s="172"/>
      <c r="J52" s="172"/>
      <c r="K52" s="172"/>
      <c r="L52" s="172"/>
      <c r="M52" s="172"/>
      <c r="N52" s="172"/>
      <c r="O52" s="172"/>
      <c r="P52" s="172"/>
      <c r="Q52" s="168"/>
      <c r="R52" s="168"/>
      <c r="T52" s="129"/>
      <c r="U52" s="129"/>
      <c r="V52" s="129"/>
      <c r="W52" s="129"/>
      <c r="X52" s="129"/>
      <c r="Y52" s="129"/>
      <c r="Z52" s="129"/>
      <c r="AA52" s="129"/>
      <c r="AB52" s="129"/>
      <c r="AC52" s="129"/>
      <c r="AD52" s="129"/>
      <c r="AE52" s="129"/>
      <c r="AF52" s="129"/>
      <c r="AG52" s="129"/>
      <c r="AH52" s="129"/>
      <c r="AI52" s="129"/>
      <c r="AJ52" s="129"/>
      <c r="AK52" s="129"/>
      <c r="AL52" s="129"/>
      <c r="AM52" s="129"/>
      <c r="AN52" s="129"/>
      <c r="AO52" s="129"/>
      <c r="AP52" s="129"/>
      <c r="AQ52" s="129"/>
      <c r="AR52" s="129"/>
    </row>
    <row r="53" spans="1:44">
      <c r="G53" s="168"/>
      <c r="H53" s="168"/>
      <c r="I53" s="172"/>
      <c r="J53" s="172"/>
      <c r="K53" s="172"/>
      <c r="L53" s="172"/>
      <c r="M53" s="172"/>
      <c r="N53" s="172"/>
      <c r="O53" s="172"/>
      <c r="P53" s="172"/>
      <c r="Q53" s="168"/>
      <c r="R53" s="168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</row>
    <row r="54" spans="1:44">
      <c r="G54" s="168"/>
      <c r="H54" s="168"/>
      <c r="I54" s="172"/>
      <c r="J54" s="172"/>
      <c r="K54" s="172"/>
      <c r="L54" s="172"/>
      <c r="M54" s="172"/>
      <c r="N54" s="172"/>
      <c r="O54" s="172"/>
      <c r="P54" s="172"/>
      <c r="Q54" s="168"/>
      <c r="R54" s="168"/>
      <c r="T54" s="129"/>
      <c r="U54" s="129"/>
      <c r="V54" s="129"/>
      <c r="W54" s="129"/>
      <c r="X54" s="129"/>
      <c r="Y54" s="129"/>
      <c r="Z54" s="129"/>
      <c r="AA54" s="129"/>
      <c r="AB54" s="129"/>
      <c r="AC54" s="129"/>
      <c r="AD54" s="129"/>
      <c r="AE54" s="129"/>
      <c r="AF54" s="129"/>
      <c r="AG54" s="129"/>
      <c r="AH54" s="129"/>
      <c r="AI54" s="129"/>
      <c r="AJ54" s="129"/>
      <c r="AK54" s="129"/>
      <c r="AL54" s="129"/>
      <c r="AM54" s="129"/>
      <c r="AN54" s="129"/>
      <c r="AO54" s="129"/>
      <c r="AP54" s="129"/>
      <c r="AQ54" s="129"/>
      <c r="AR54" s="129"/>
    </row>
    <row r="55" spans="1:44">
      <c r="C55" s="180"/>
      <c r="G55" s="142"/>
      <c r="H55" s="142"/>
      <c r="I55" s="172"/>
      <c r="J55" s="172"/>
      <c r="K55" s="172"/>
      <c r="L55" s="172"/>
      <c r="M55" s="172"/>
      <c r="N55" s="172"/>
      <c r="O55" s="172"/>
      <c r="P55" s="172"/>
      <c r="Q55" s="142"/>
      <c r="R55" s="142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  <c r="AJ55" s="129"/>
      <c r="AK55" s="129"/>
      <c r="AL55" s="129"/>
      <c r="AM55" s="129"/>
      <c r="AN55" s="129"/>
      <c r="AO55" s="129"/>
      <c r="AP55" s="129"/>
      <c r="AQ55" s="129"/>
      <c r="AR55" s="129"/>
    </row>
    <row r="56" spans="1:44">
      <c r="C56" s="180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/>
      <c r="AG56" s="129"/>
      <c r="AH56" s="129"/>
      <c r="AI56" s="129"/>
      <c r="AJ56" s="129"/>
      <c r="AK56" s="129"/>
      <c r="AL56" s="129"/>
      <c r="AM56" s="129"/>
      <c r="AN56" s="129"/>
      <c r="AO56" s="129"/>
      <c r="AP56" s="129"/>
      <c r="AQ56" s="129"/>
      <c r="AR56" s="129"/>
    </row>
    <row r="57" spans="1:44"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/>
      <c r="AG57" s="129"/>
      <c r="AH57" s="129"/>
      <c r="AI57" s="129"/>
      <c r="AJ57" s="129"/>
      <c r="AK57" s="129"/>
      <c r="AL57" s="129"/>
      <c r="AM57" s="129"/>
      <c r="AN57" s="129"/>
      <c r="AO57" s="129"/>
      <c r="AP57" s="129"/>
      <c r="AQ57" s="129"/>
      <c r="AR57" s="129"/>
    </row>
    <row r="58" spans="1:44">
      <c r="T58" s="129"/>
      <c r="U58" s="129"/>
      <c r="V58" s="129"/>
      <c r="W58" s="129"/>
      <c r="X58" s="129"/>
      <c r="Y58" s="129"/>
      <c r="Z58" s="129"/>
      <c r="AA58" s="129"/>
      <c r="AB58" s="129"/>
      <c r="AC58" s="129"/>
      <c r="AD58" s="129"/>
      <c r="AE58" s="129"/>
      <c r="AF58" s="129"/>
      <c r="AG58" s="129"/>
      <c r="AH58" s="129"/>
      <c r="AI58" s="129"/>
      <c r="AJ58" s="129"/>
      <c r="AK58" s="129"/>
      <c r="AL58" s="129"/>
      <c r="AM58" s="129"/>
      <c r="AN58" s="129"/>
      <c r="AO58" s="129"/>
      <c r="AP58" s="129"/>
      <c r="AQ58" s="129"/>
      <c r="AR58" s="129"/>
    </row>
    <row r="59" spans="1:44">
      <c r="B59" s="283"/>
      <c r="C59" s="283"/>
      <c r="D59" s="283"/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/>
      <c r="AE59" s="129"/>
      <c r="AF59" s="129"/>
      <c r="AG59" s="129"/>
      <c r="AH59" s="129"/>
      <c r="AI59" s="129"/>
      <c r="AJ59" s="129"/>
      <c r="AK59" s="129"/>
      <c r="AL59" s="129"/>
      <c r="AM59" s="129"/>
      <c r="AN59" s="129"/>
      <c r="AO59" s="129"/>
      <c r="AP59" s="129"/>
      <c r="AQ59" s="129"/>
      <c r="AR59" s="129"/>
    </row>
    <row r="60" spans="1:44">
      <c r="A60" s="129"/>
      <c r="B60" s="129"/>
      <c r="C60" s="129"/>
      <c r="D60" s="129"/>
      <c r="E60" s="129"/>
      <c r="F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  <c r="Q60" s="129"/>
      <c r="R60" s="129"/>
      <c r="S60" s="129"/>
      <c r="T60" s="129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</row>
    <row r="61" spans="1:44">
      <c r="E61" s="181" t="s">
        <v>123</v>
      </c>
      <c r="AA61" s="181" t="s">
        <v>124</v>
      </c>
      <c r="AD61" s="129"/>
      <c r="AE61" s="129"/>
      <c r="AF61" s="129"/>
      <c r="AG61" s="129"/>
      <c r="AH61" s="129"/>
      <c r="AI61" s="129"/>
      <c r="AJ61" s="129"/>
      <c r="AK61" s="129"/>
      <c r="AL61" s="129"/>
      <c r="AM61" s="129"/>
      <c r="AN61" s="129"/>
      <c r="AO61" s="129"/>
      <c r="AP61" s="129"/>
    </row>
    <row r="62" spans="1:44">
      <c r="A62" s="284" t="s">
        <v>125</v>
      </c>
      <c r="B62" s="284"/>
      <c r="C62" s="182">
        <f>Q29-2*C66</f>
        <v>0</v>
      </c>
      <c r="D62" s="183">
        <f>Q29-C66</f>
        <v>0</v>
      </c>
      <c r="E62" s="183">
        <f>Q29</f>
        <v>0</v>
      </c>
      <c r="F62" s="183">
        <f>E62+$C$66</f>
        <v>0</v>
      </c>
      <c r="G62" s="183">
        <f t="shared" ref="G62:AC62" si="0">F62+$C$66</f>
        <v>0</v>
      </c>
      <c r="H62" s="183">
        <f t="shared" si="0"/>
        <v>0</v>
      </c>
      <c r="I62" s="183">
        <f t="shared" si="0"/>
        <v>0</v>
      </c>
      <c r="J62" s="183">
        <f t="shared" si="0"/>
        <v>0</v>
      </c>
      <c r="K62" s="183">
        <f t="shared" si="0"/>
        <v>0</v>
      </c>
      <c r="L62" s="183">
        <f t="shared" si="0"/>
        <v>0</v>
      </c>
      <c r="M62" s="183">
        <f t="shared" si="0"/>
        <v>0</v>
      </c>
      <c r="N62" s="183">
        <f t="shared" si="0"/>
        <v>0</v>
      </c>
      <c r="O62" s="183">
        <f t="shared" si="0"/>
        <v>0</v>
      </c>
      <c r="P62" s="183">
        <f t="shared" si="0"/>
        <v>0</v>
      </c>
      <c r="Q62" s="183">
        <f t="shared" si="0"/>
        <v>0</v>
      </c>
      <c r="R62" s="183">
        <f t="shared" si="0"/>
        <v>0</v>
      </c>
      <c r="S62" s="183">
        <f t="shared" si="0"/>
        <v>0</v>
      </c>
      <c r="T62" s="183">
        <f t="shared" si="0"/>
        <v>0</v>
      </c>
      <c r="U62" s="183">
        <f t="shared" si="0"/>
        <v>0</v>
      </c>
      <c r="V62" s="183">
        <f t="shared" si="0"/>
        <v>0</v>
      </c>
      <c r="W62" s="183">
        <f t="shared" si="0"/>
        <v>0</v>
      </c>
      <c r="X62" s="183">
        <f t="shared" si="0"/>
        <v>0</v>
      </c>
      <c r="Y62" s="183">
        <f t="shared" si="0"/>
        <v>0</v>
      </c>
      <c r="Z62" s="183">
        <f t="shared" si="0"/>
        <v>0</v>
      </c>
      <c r="AA62" s="183">
        <f t="shared" si="0"/>
        <v>0</v>
      </c>
      <c r="AB62" s="183">
        <f t="shared" si="0"/>
        <v>0</v>
      </c>
      <c r="AC62" s="183">
        <f t="shared" si="0"/>
        <v>0</v>
      </c>
      <c r="AD62" s="129"/>
      <c r="AE62" s="129"/>
      <c r="AF62" s="129"/>
      <c r="AG62" s="129"/>
      <c r="AH62" s="129"/>
      <c r="AI62" s="129"/>
      <c r="AJ62" s="129"/>
      <c r="AK62" s="129"/>
      <c r="AL62" s="129"/>
      <c r="AM62" s="129"/>
      <c r="AN62" s="129"/>
      <c r="AO62" s="129"/>
      <c r="AP62" s="129"/>
    </row>
    <row r="63" spans="1:44">
      <c r="A63" s="284" t="s">
        <v>126</v>
      </c>
      <c r="B63" s="284"/>
      <c r="C63" s="184" t="e">
        <f t="shared" ref="C63:AC63" si="1">NORMDIST(C62,$Q$20,$Q$21,FALSE)</f>
        <v>#NUM!</v>
      </c>
      <c r="D63" s="184" t="e">
        <f t="shared" si="1"/>
        <v>#NUM!</v>
      </c>
      <c r="E63" s="184" t="e">
        <f t="shared" si="1"/>
        <v>#NUM!</v>
      </c>
      <c r="F63" s="184" t="e">
        <f t="shared" si="1"/>
        <v>#NUM!</v>
      </c>
      <c r="G63" s="184" t="e">
        <f t="shared" si="1"/>
        <v>#NUM!</v>
      </c>
      <c r="H63" s="184" t="e">
        <f t="shared" si="1"/>
        <v>#NUM!</v>
      </c>
      <c r="I63" s="184" t="e">
        <f t="shared" si="1"/>
        <v>#NUM!</v>
      </c>
      <c r="J63" s="184" t="e">
        <f t="shared" si="1"/>
        <v>#NUM!</v>
      </c>
      <c r="K63" s="184" t="e">
        <f t="shared" si="1"/>
        <v>#NUM!</v>
      </c>
      <c r="L63" s="184" t="e">
        <f t="shared" si="1"/>
        <v>#NUM!</v>
      </c>
      <c r="M63" s="184" t="e">
        <f t="shared" si="1"/>
        <v>#NUM!</v>
      </c>
      <c r="N63" s="184" t="e">
        <f t="shared" si="1"/>
        <v>#NUM!</v>
      </c>
      <c r="O63" s="184" t="e">
        <f t="shared" si="1"/>
        <v>#NUM!</v>
      </c>
      <c r="P63" s="184" t="e">
        <f t="shared" si="1"/>
        <v>#NUM!</v>
      </c>
      <c r="Q63" s="184" t="e">
        <f t="shared" si="1"/>
        <v>#NUM!</v>
      </c>
      <c r="R63" s="184" t="e">
        <f t="shared" si="1"/>
        <v>#NUM!</v>
      </c>
      <c r="S63" s="184" t="e">
        <f t="shared" si="1"/>
        <v>#NUM!</v>
      </c>
      <c r="T63" s="184" t="e">
        <f t="shared" si="1"/>
        <v>#NUM!</v>
      </c>
      <c r="U63" s="184" t="e">
        <f t="shared" si="1"/>
        <v>#NUM!</v>
      </c>
      <c r="V63" s="184" t="e">
        <f t="shared" si="1"/>
        <v>#NUM!</v>
      </c>
      <c r="W63" s="184" t="e">
        <f t="shared" si="1"/>
        <v>#NUM!</v>
      </c>
      <c r="X63" s="184" t="e">
        <f t="shared" si="1"/>
        <v>#NUM!</v>
      </c>
      <c r="Y63" s="184" t="e">
        <f t="shared" si="1"/>
        <v>#NUM!</v>
      </c>
      <c r="Z63" s="184" t="e">
        <f t="shared" si="1"/>
        <v>#NUM!</v>
      </c>
      <c r="AA63" s="184" t="e">
        <f t="shared" si="1"/>
        <v>#NUM!</v>
      </c>
      <c r="AB63" s="184" t="e">
        <f t="shared" si="1"/>
        <v>#NUM!</v>
      </c>
      <c r="AC63" s="184" t="e">
        <f t="shared" si="1"/>
        <v>#NUM!</v>
      </c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</row>
    <row r="64" spans="1:44">
      <c r="A64" s="284" t="s">
        <v>127</v>
      </c>
      <c r="B64" s="284"/>
      <c r="C64" s="185">
        <f>FREQUENCY($C$19:$L$33,C62)</f>
        <v>10</v>
      </c>
      <c r="D64" s="185">
        <f t="shared" ref="D64:AC64" si="2">FREQUENCY($C$19:$L$33,D62)-FREQUENCY($C$19:$L$33,C62)</f>
        <v>0</v>
      </c>
      <c r="E64" s="185">
        <f t="shared" si="2"/>
        <v>0</v>
      </c>
      <c r="F64" s="185">
        <f t="shared" si="2"/>
        <v>0</v>
      </c>
      <c r="G64" s="185">
        <f t="shared" si="2"/>
        <v>0</v>
      </c>
      <c r="H64" s="185">
        <f t="shared" si="2"/>
        <v>0</v>
      </c>
      <c r="I64" s="185">
        <f t="shared" si="2"/>
        <v>0</v>
      </c>
      <c r="J64" s="185">
        <f t="shared" si="2"/>
        <v>0</v>
      </c>
      <c r="K64" s="185">
        <f t="shared" si="2"/>
        <v>0</v>
      </c>
      <c r="L64" s="185">
        <f t="shared" si="2"/>
        <v>0</v>
      </c>
      <c r="M64" s="185">
        <f t="shared" si="2"/>
        <v>0</v>
      </c>
      <c r="N64" s="185">
        <f t="shared" si="2"/>
        <v>0</v>
      </c>
      <c r="O64" s="185">
        <f t="shared" si="2"/>
        <v>0</v>
      </c>
      <c r="P64" s="185">
        <f t="shared" si="2"/>
        <v>0</v>
      </c>
      <c r="Q64" s="185">
        <f t="shared" si="2"/>
        <v>0</v>
      </c>
      <c r="R64" s="185">
        <f t="shared" si="2"/>
        <v>0</v>
      </c>
      <c r="S64" s="185">
        <f t="shared" si="2"/>
        <v>0</v>
      </c>
      <c r="T64" s="185">
        <f t="shared" si="2"/>
        <v>0</v>
      </c>
      <c r="U64" s="185">
        <f t="shared" si="2"/>
        <v>0</v>
      </c>
      <c r="V64" s="185">
        <f t="shared" si="2"/>
        <v>0</v>
      </c>
      <c r="W64" s="185">
        <f t="shared" si="2"/>
        <v>0</v>
      </c>
      <c r="X64" s="185">
        <f t="shared" si="2"/>
        <v>0</v>
      </c>
      <c r="Y64" s="185">
        <f t="shared" si="2"/>
        <v>0</v>
      </c>
      <c r="Z64" s="185">
        <f t="shared" si="2"/>
        <v>0</v>
      </c>
      <c r="AA64" s="185">
        <f t="shared" si="2"/>
        <v>0</v>
      </c>
      <c r="AB64" s="185">
        <f t="shared" si="2"/>
        <v>0</v>
      </c>
      <c r="AC64" s="185">
        <f t="shared" si="2"/>
        <v>0</v>
      </c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</row>
    <row r="65" spans="1:44"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</row>
    <row r="66" spans="1:44">
      <c r="A66" s="284" t="s">
        <v>128</v>
      </c>
      <c r="B66" s="284"/>
      <c r="C66" s="184">
        <f>(Q28-Q29)/22</f>
        <v>0</v>
      </c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</row>
    <row r="67" spans="1:44">
      <c r="A67" s="129"/>
      <c r="B67" s="129"/>
      <c r="C67" s="129"/>
      <c r="D67" s="129"/>
      <c r="E67" s="129"/>
      <c r="F67" s="129"/>
      <c r="G67" s="129"/>
      <c r="H67" s="129"/>
      <c r="I67" s="129"/>
      <c r="J67" s="129"/>
      <c r="K67" s="129"/>
      <c r="L67" s="129"/>
      <c r="M67" s="129"/>
      <c r="N67" s="129"/>
      <c r="O67" s="129"/>
      <c r="P67" s="129"/>
      <c r="Q67" s="12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</row>
    <row r="68" spans="1:44">
      <c r="A68" s="129"/>
      <c r="B68" s="129"/>
      <c r="C68" s="129"/>
      <c r="D68" s="129"/>
      <c r="E68" s="129"/>
      <c r="F68" s="129"/>
      <c r="G68" s="129"/>
      <c r="H68" s="129"/>
      <c r="I68" s="129"/>
      <c r="J68" s="129"/>
      <c r="K68" s="129"/>
      <c r="L68" s="129"/>
      <c r="M68" s="129"/>
      <c r="N68" s="129"/>
      <c r="O68" s="129"/>
      <c r="P68" s="129"/>
      <c r="Q68" s="129"/>
      <c r="R68" s="129"/>
      <c r="S68" s="129"/>
      <c r="T68" s="129"/>
      <c r="U68" s="129"/>
      <c r="V68" s="129"/>
      <c r="W68" s="129"/>
      <c r="X68" s="129"/>
      <c r="Y68" s="129"/>
      <c r="Z68" s="129"/>
      <c r="AA68" s="129"/>
      <c r="AB68" s="129"/>
      <c r="AC68" s="186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</row>
    <row r="69" spans="1:44">
      <c r="A69" s="129"/>
      <c r="B69" s="129"/>
      <c r="C69" s="129"/>
      <c r="D69" s="129"/>
      <c r="E69" s="129"/>
      <c r="F69" s="129"/>
      <c r="G69" s="129"/>
      <c r="H69" s="129"/>
      <c r="I69" s="129"/>
      <c r="J69" s="129"/>
      <c r="K69" s="129"/>
      <c r="L69" s="129"/>
      <c r="M69" s="129"/>
      <c r="N69" s="129"/>
      <c r="O69" s="129"/>
      <c r="P69" s="129"/>
      <c r="Q69" s="129"/>
      <c r="R69" s="129"/>
      <c r="S69" s="129"/>
      <c r="T69" s="129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</row>
    <row r="70" spans="1:44">
      <c r="A70" s="129"/>
      <c r="B70" s="129"/>
      <c r="C70" s="129"/>
      <c r="D70" s="129"/>
      <c r="E70" s="129"/>
      <c r="F70" s="129"/>
      <c r="G70" s="129"/>
      <c r="H70" s="129"/>
      <c r="I70" s="129"/>
      <c r="J70" s="129"/>
      <c r="K70" s="129"/>
      <c r="L70" s="129"/>
      <c r="M70" s="129"/>
      <c r="N70" s="129"/>
      <c r="O70" s="129"/>
      <c r="P70" s="129"/>
      <c r="Q70" s="12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</row>
    <row r="71" spans="1:44">
      <c r="A71" s="129"/>
      <c r="B71" s="129"/>
      <c r="C71" s="129"/>
      <c r="D71" s="129"/>
      <c r="E71" s="129"/>
      <c r="F71" s="129"/>
      <c r="G71" s="129"/>
      <c r="H71" s="129"/>
      <c r="I71" s="129"/>
      <c r="J71" s="129"/>
      <c r="K71" s="129"/>
      <c r="L71" s="129"/>
      <c r="M71" s="129"/>
      <c r="N71" s="129"/>
      <c r="O71" s="129"/>
      <c r="P71" s="129"/>
      <c r="Q71" s="129"/>
      <c r="R71" s="129"/>
      <c r="S71" s="129"/>
      <c r="T71" s="129"/>
      <c r="U71" s="129"/>
      <c r="V71" s="129"/>
      <c r="W71" s="129"/>
      <c r="X71" s="129"/>
      <c r="Y71" s="129"/>
      <c r="Z71" s="129"/>
      <c r="AA71" s="129"/>
      <c r="AB71" s="129"/>
      <c r="AC71" s="186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</row>
    <row r="72" spans="1:44">
      <c r="A72" s="129"/>
      <c r="B72" s="129"/>
      <c r="C72" s="129"/>
      <c r="D72" s="187"/>
      <c r="E72" s="187"/>
      <c r="F72" s="129"/>
      <c r="G72" s="129"/>
      <c r="H72" s="129"/>
      <c r="I72" s="129"/>
      <c r="J72" s="129"/>
      <c r="K72" s="129"/>
      <c r="L72" s="129"/>
      <c r="M72" s="129"/>
      <c r="N72" s="129"/>
      <c r="O72" s="129"/>
      <c r="P72" s="129"/>
      <c r="Q72" s="129"/>
      <c r="R72" s="129"/>
      <c r="S72" s="129"/>
      <c r="T72" s="129"/>
      <c r="U72" s="129"/>
      <c r="V72" s="129"/>
      <c r="W72" s="129"/>
      <c r="X72" s="129"/>
      <c r="Y72" s="129"/>
      <c r="Z72" s="129"/>
      <c r="AA72" s="129"/>
      <c r="AB72" s="129"/>
      <c r="AC72" s="129"/>
      <c r="AD72" s="129"/>
      <c r="AE72" s="129"/>
      <c r="AF72" s="129"/>
      <c r="AG72" s="129"/>
      <c r="AH72" s="129"/>
      <c r="AI72" s="129"/>
      <c r="AJ72" s="129"/>
      <c r="AK72" s="129"/>
      <c r="AL72" s="129"/>
      <c r="AM72" s="129"/>
      <c r="AN72" s="129"/>
      <c r="AO72" s="129"/>
      <c r="AP72" s="129"/>
      <c r="AQ72" s="129"/>
      <c r="AR72" s="129"/>
    </row>
    <row r="73" spans="1:44">
      <c r="A73" s="129"/>
      <c r="B73" s="129"/>
      <c r="C73" s="129"/>
      <c r="D73" s="129"/>
      <c r="E73" s="129"/>
      <c r="F73" s="129"/>
      <c r="G73" s="129"/>
      <c r="H73" s="129"/>
      <c r="I73" s="129"/>
      <c r="J73" s="129"/>
      <c r="K73" s="129"/>
      <c r="L73" s="129"/>
      <c r="M73" s="129"/>
      <c r="N73" s="129"/>
      <c r="O73" s="129"/>
      <c r="P73" s="129"/>
      <c r="Q73" s="129"/>
      <c r="R73" s="129"/>
      <c r="S73" s="129"/>
      <c r="T73" s="129"/>
      <c r="U73" s="129"/>
      <c r="V73" s="129"/>
      <c r="W73" s="129"/>
      <c r="X73" s="129"/>
      <c r="Y73" s="129"/>
      <c r="Z73" s="129"/>
      <c r="AA73" s="129"/>
      <c r="AB73" s="129"/>
      <c r="AC73" s="129"/>
      <c r="AD73" s="129"/>
      <c r="AE73" s="129"/>
      <c r="AF73" s="129"/>
      <c r="AG73" s="129"/>
      <c r="AH73" s="129"/>
      <c r="AI73" s="129"/>
      <c r="AJ73" s="129"/>
      <c r="AK73" s="129"/>
      <c r="AL73" s="129"/>
      <c r="AM73" s="129"/>
      <c r="AN73" s="129"/>
      <c r="AO73" s="129"/>
      <c r="AP73" s="129"/>
      <c r="AQ73" s="129"/>
      <c r="AR73" s="129"/>
    </row>
    <row r="74" spans="1:44">
      <c r="A74" s="129"/>
      <c r="B74" s="129"/>
      <c r="C74" s="129"/>
      <c r="D74" s="129"/>
      <c r="E74" s="129"/>
      <c r="F74" s="129"/>
      <c r="G74" s="129"/>
      <c r="H74" s="129"/>
      <c r="I74" s="129"/>
      <c r="J74" s="129"/>
      <c r="K74" s="129"/>
      <c r="L74" s="129"/>
      <c r="M74" s="129"/>
      <c r="N74" s="129"/>
      <c r="O74" s="129"/>
      <c r="P74" s="129"/>
      <c r="Q74" s="129"/>
      <c r="R74" s="129"/>
      <c r="S74" s="129"/>
      <c r="T74" s="129"/>
      <c r="U74" s="129"/>
      <c r="V74" s="129"/>
      <c r="W74" s="129"/>
      <c r="X74" s="129"/>
      <c r="Y74" s="129"/>
      <c r="Z74" s="129"/>
      <c r="AA74" s="129"/>
      <c r="AB74" s="129"/>
      <c r="AC74" s="129"/>
      <c r="AD74" s="129"/>
      <c r="AE74" s="129"/>
      <c r="AF74" s="129"/>
      <c r="AG74" s="129"/>
      <c r="AH74" s="129"/>
      <c r="AI74" s="129"/>
      <c r="AJ74" s="129"/>
      <c r="AK74" s="129"/>
      <c r="AL74" s="129"/>
      <c r="AM74" s="129"/>
      <c r="AN74" s="129"/>
      <c r="AO74" s="129"/>
      <c r="AP74" s="129"/>
      <c r="AQ74" s="129"/>
      <c r="AR74" s="129"/>
    </row>
    <row r="75" spans="1:44">
      <c r="A75" s="129"/>
      <c r="B75" s="129"/>
      <c r="C75" s="129"/>
      <c r="D75" s="129"/>
      <c r="E75" s="129"/>
      <c r="F75" s="129"/>
      <c r="G75" s="129"/>
      <c r="H75" s="129"/>
      <c r="I75" s="129"/>
      <c r="J75" s="129"/>
      <c r="K75" s="129"/>
      <c r="L75" s="129"/>
      <c r="M75" s="129"/>
      <c r="N75" s="129"/>
      <c r="O75" s="129"/>
      <c r="P75" s="129"/>
      <c r="Q75" s="129"/>
      <c r="R75" s="129"/>
      <c r="S75" s="129"/>
      <c r="T75" s="129"/>
      <c r="U75" s="129"/>
      <c r="V75" s="129"/>
      <c r="W75" s="129"/>
      <c r="X75" s="129"/>
      <c r="Y75" s="129"/>
      <c r="Z75" s="129"/>
      <c r="AA75" s="129"/>
      <c r="AB75" s="129"/>
      <c r="AC75" s="186"/>
      <c r="AD75" s="129"/>
      <c r="AE75" s="129"/>
      <c r="AF75" s="129"/>
      <c r="AG75" s="129"/>
      <c r="AH75" s="129"/>
      <c r="AI75" s="129"/>
      <c r="AJ75" s="129"/>
      <c r="AK75" s="129"/>
      <c r="AL75" s="129"/>
      <c r="AM75" s="129"/>
      <c r="AN75" s="129"/>
      <c r="AO75" s="129"/>
      <c r="AP75" s="129"/>
      <c r="AQ75" s="129"/>
      <c r="AR75" s="129"/>
    </row>
    <row r="76" spans="1:44">
      <c r="A76" s="129"/>
      <c r="B76" s="129"/>
      <c r="C76" s="129"/>
      <c r="D76" s="187"/>
      <c r="E76" s="187"/>
      <c r="F76" s="129"/>
      <c r="G76" s="129"/>
      <c r="H76" s="129"/>
      <c r="I76" s="129"/>
      <c r="J76" s="129"/>
      <c r="K76" s="129"/>
      <c r="L76" s="129"/>
      <c r="M76" s="129"/>
      <c r="N76" s="129"/>
      <c r="O76" s="129"/>
      <c r="P76" s="129"/>
      <c r="Q76" s="129"/>
      <c r="R76" s="129"/>
      <c r="S76" s="129"/>
      <c r="T76" s="129"/>
      <c r="U76" s="129"/>
      <c r="V76" s="129"/>
      <c r="W76" s="129"/>
      <c r="X76" s="129"/>
      <c r="Y76" s="129"/>
      <c r="Z76" s="129"/>
      <c r="AA76" s="129"/>
      <c r="AB76" s="129"/>
      <c r="AC76" s="129"/>
      <c r="AD76" s="129"/>
      <c r="AE76" s="129"/>
      <c r="AF76" s="129"/>
      <c r="AG76" s="129"/>
      <c r="AH76" s="129"/>
      <c r="AI76" s="129"/>
      <c r="AJ76" s="129"/>
      <c r="AK76" s="129"/>
      <c r="AL76" s="129"/>
      <c r="AM76" s="129"/>
      <c r="AN76" s="129"/>
      <c r="AO76" s="129"/>
      <c r="AP76" s="129"/>
      <c r="AQ76" s="129"/>
      <c r="AR76" s="129"/>
    </row>
    <row r="77" spans="1:44">
      <c r="A77" s="129"/>
      <c r="B77" s="129"/>
      <c r="C77" s="129"/>
      <c r="D77" s="129"/>
      <c r="E77" s="129"/>
      <c r="F77" s="129"/>
      <c r="G77" s="129"/>
      <c r="H77" s="129"/>
      <c r="I77" s="129"/>
      <c r="J77" s="129"/>
      <c r="K77" s="129"/>
      <c r="L77" s="129"/>
      <c r="M77" s="129"/>
      <c r="N77" s="129"/>
      <c r="O77" s="129"/>
      <c r="P77" s="129"/>
      <c r="Q77" s="129"/>
      <c r="R77" s="129"/>
      <c r="S77" s="129"/>
      <c r="T77" s="129"/>
      <c r="U77" s="129"/>
      <c r="V77" s="129"/>
      <c r="W77" s="129"/>
      <c r="X77" s="129"/>
      <c r="Y77" s="129"/>
      <c r="Z77" s="129"/>
      <c r="AA77" s="129"/>
      <c r="AB77" s="129"/>
      <c r="AC77" s="129"/>
      <c r="AD77" s="129"/>
      <c r="AE77" s="129"/>
      <c r="AF77" s="129"/>
      <c r="AG77" s="129"/>
      <c r="AH77" s="129"/>
      <c r="AI77" s="129"/>
      <c r="AJ77" s="129"/>
      <c r="AK77" s="129"/>
      <c r="AL77" s="129"/>
      <c r="AM77" s="129"/>
      <c r="AN77" s="129"/>
      <c r="AO77" s="129"/>
      <c r="AP77" s="129"/>
      <c r="AQ77" s="129"/>
      <c r="AR77" s="129"/>
    </row>
    <row r="78" spans="1:44">
      <c r="A78" s="129"/>
      <c r="B78" s="129"/>
      <c r="C78" s="129"/>
      <c r="D78" s="129"/>
      <c r="E78" s="129"/>
      <c r="F78" s="129"/>
      <c r="G78" s="129"/>
      <c r="H78" s="129"/>
      <c r="I78" s="129"/>
      <c r="J78" s="129"/>
      <c r="K78" s="129"/>
      <c r="L78" s="129"/>
      <c r="M78" s="129"/>
      <c r="N78" s="129"/>
      <c r="O78" s="129"/>
      <c r="P78" s="129"/>
      <c r="Q78" s="129"/>
      <c r="R78" s="129"/>
      <c r="S78" s="129"/>
      <c r="T78" s="129"/>
      <c r="U78" s="129"/>
      <c r="V78" s="129"/>
      <c r="W78" s="129"/>
      <c r="X78" s="129"/>
      <c r="Y78" s="129"/>
      <c r="Z78" s="129"/>
      <c r="AA78" s="129"/>
      <c r="AB78" s="129"/>
      <c r="AC78" s="129"/>
      <c r="AD78" s="129"/>
      <c r="AE78" s="129"/>
      <c r="AF78" s="129"/>
      <c r="AG78" s="129"/>
      <c r="AH78" s="129"/>
      <c r="AI78" s="129"/>
      <c r="AJ78" s="129"/>
      <c r="AK78" s="129"/>
      <c r="AL78" s="129"/>
      <c r="AM78" s="129"/>
      <c r="AN78" s="129"/>
      <c r="AO78" s="129"/>
      <c r="AP78" s="129"/>
      <c r="AQ78" s="129"/>
      <c r="AR78" s="129"/>
    </row>
    <row r="79" spans="1:44">
      <c r="A79" s="129"/>
      <c r="B79" s="129"/>
      <c r="C79" s="129"/>
      <c r="D79" s="129"/>
      <c r="E79" s="129"/>
      <c r="F79" s="129"/>
      <c r="G79" s="129"/>
      <c r="H79" s="129"/>
      <c r="I79" s="129"/>
      <c r="J79" s="129"/>
      <c r="K79" s="129"/>
      <c r="L79" s="129"/>
      <c r="M79" s="129"/>
      <c r="N79" s="129"/>
      <c r="O79" s="129"/>
      <c r="P79" s="129"/>
      <c r="Q79" s="129"/>
      <c r="R79" s="129"/>
      <c r="S79" s="129"/>
      <c r="T79" s="129"/>
      <c r="U79" s="129"/>
      <c r="V79" s="129"/>
      <c r="W79" s="129"/>
      <c r="X79" s="129"/>
      <c r="Y79" s="129"/>
      <c r="Z79" s="129"/>
      <c r="AA79" s="129"/>
      <c r="AB79" s="129"/>
      <c r="AC79" s="186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</row>
    <row r="80" spans="1:44">
      <c r="A80" s="129"/>
      <c r="B80" s="129"/>
      <c r="C80" s="129"/>
      <c r="D80" s="129"/>
      <c r="E80" s="129"/>
      <c r="F80" s="129"/>
      <c r="G80" s="129"/>
      <c r="H80" s="129"/>
      <c r="I80" s="129"/>
      <c r="J80" s="129"/>
      <c r="K80" s="129"/>
      <c r="L80" s="129"/>
      <c r="M80" s="129"/>
      <c r="N80" s="129"/>
      <c r="O80" s="129"/>
      <c r="P80" s="129"/>
      <c r="Q80" s="129"/>
      <c r="R80" s="129"/>
      <c r="S80" s="129"/>
      <c r="T80" s="129"/>
      <c r="U80" s="129"/>
      <c r="V80" s="129"/>
      <c r="W80" s="129"/>
      <c r="X80" s="129"/>
      <c r="Y80" s="129"/>
      <c r="Z80" s="129"/>
      <c r="AA80" s="129"/>
      <c r="AB80" s="129"/>
      <c r="AC80" s="129"/>
      <c r="AD80" s="129"/>
      <c r="AE80" s="129"/>
      <c r="AF80" s="129"/>
      <c r="AG80" s="129"/>
      <c r="AH80" s="129"/>
      <c r="AI80" s="129"/>
      <c r="AJ80" s="129"/>
      <c r="AK80" s="129"/>
      <c r="AL80" s="129"/>
      <c r="AM80" s="129"/>
      <c r="AN80" s="129"/>
      <c r="AO80" s="129"/>
      <c r="AP80" s="129"/>
      <c r="AQ80" s="129"/>
      <c r="AR80" s="129"/>
    </row>
    <row r="81" spans="1:58">
      <c r="A81" s="129"/>
      <c r="B81" s="129"/>
      <c r="C81" s="129"/>
      <c r="D81" s="129"/>
      <c r="E81" s="129"/>
      <c r="F81" s="129"/>
      <c r="G81" s="129"/>
      <c r="H81" s="129"/>
      <c r="I81" s="129"/>
      <c r="J81" s="129"/>
      <c r="K81" s="129"/>
      <c r="L81" s="129"/>
      <c r="M81" s="129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  <c r="AJ81" s="129"/>
      <c r="AK81" s="129"/>
      <c r="AL81" s="129"/>
      <c r="AM81" s="129"/>
      <c r="AN81" s="129"/>
      <c r="AO81" s="129"/>
      <c r="AP81" s="129"/>
      <c r="AQ81" s="129"/>
      <c r="AR81" s="129"/>
    </row>
    <row r="82" spans="1:58">
      <c r="A82" s="129"/>
      <c r="B82" s="129"/>
      <c r="C82" s="129"/>
      <c r="D82" s="129"/>
      <c r="E82" s="129"/>
      <c r="F82" s="129"/>
      <c r="G82" s="129"/>
      <c r="H82" s="129"/>
      <c r="I82" s="129"/>
      <c r="J82" s="129"/>
      <c r="K82" s="129"/>
      <c r="L82" s="129"/>
      <c r="M82" s="129"/>
      <c r="N82" s="129"/>
      <c r="O82" s="129"/>
      <c r="P82" s="129"/>
      <c r="Q82" s="129"/>
      <c r="R82" s="129"/>
      <c r="S82" s="129"/>
      <c r="T82" s="129"/>
      <c r="U82" s="129"/>
      <c r="V82" s="129"/>
      <c r="W82" s="129"/>
      <c r="X82" s="129"/>
      <c r="Y82" s="129"/>
      <c r="Z82" s="129"/>
      <c r="AA82" s="129"/>
      <c r="AB82" s="129"/>
      <c r="AC82" s="186"/>
      <c r="AD82" s="129"/>
      <c r="AE82" s="129"/>
      <c r="AF82" s="129"/>
      <c r="AG82" s="129"/>
      <c r="AH82" s="129"/>
      <c r="AI82" s="129"/>
      <c r="AJ82" s="129"/>
      <c r="AK82" s="129"/>
      <c r="AL82" s="129"/>
      <c r="AM82" s="129"/>
      <c r="AN82" s="129"/>
      <c r="AO82" s="129"/>
      <c r="AP82" s="129"/>
      <c r="AQ82" s="129"/>
      <c r="AR82" s="129"/>
    </row>
    <row r="83" spans="1:58">
      <c r="A83" s="129"/>
      <c r="B83" s="129"/>
      <c r="C83" s="129"/>
      <c r="D83" s="187"/>
      <c r="E83" s="187"/>
      <c r="F83" s="129"/>
      <c r="G83" s="129"/>
      <c r="H83" s="129"/>
      <c r="I83" s="129"/>
      <c r="J83" s="129"/>
      <c r="K83" s="129"/>
      <c r="L83" s="129"/>
      <c r="M83" s="129"/>
      <c r="N83" s="129"/>
      <c r="O83" s="129"/>
      <c r="P83" s="129"/>
      <c r="Q83" s="129"/>
      <c r="R83" s="129"/>
      <c r="S83" s="129"/>
      <c r="T83" s="129"/>
      <c r="U83" s="129"/>
      <c r="V83" s="129"/>
      <c r="W83" s="129"/>
      <c r="X83" s="129"/>
      <c r="Y83" s="129"/>
      <c r="Z83" s="129"/>
      <c r="AA83" s="129"/>
      <c r="AB83" s="129"/>
      <c r="AC83" s="129"/>
      <c r="AD83" s="129"/>
      <c r="AE83" s="129"/>
      <c r="AF83" s="129"/>
      <c r="AG83" s="129"/>
      <c r="AH83" s="129"/>
      <c r="AI83" s="129"/>
      <c r="AJ83" s="129"/>
      <c r="AK83" s="129"/>
      <c r="AL83" s="129"/>
      <c r="AM83" s="129"/>
      <c r="AN83" s="129"/>
      <c r="AO83" s="129"/>
      <c r="AP83" s="129"/>
      <c r="AQ83" s="129"/>
      <c r="AR83" s="129"/>
    </row>
    <row r="84" spans="1:58">
      <c r="A84" s="129"/>
      <c r="B84" s="129"/>
      <c r="C84" s="129"/>
      <c r="D84" s="129"/>
      <c r="E84" s="129"/>
      <c r="F84" s="129"/>
      <c r="G84" s="129"/>
      <c r="H84" s="129"/>
      <c r="I84" s="129"/>
      <c r="J84" s="129"/>
      <c r="K84" s="129"/>
      <c r="L84" s="129"/>
      <c r="M84" s="129"/>
      <c r="N84" s="129"/>
      <c r="O84" s="129"/>
      <c r="P84" s="129"/>
      <c r="Q84" s="129"/>
      <c r="R84" s="129"/>
      <c r="S84" s="129"/>
      <c r="T84" s="129"/>
      <c r="U84" s="129"/>
      <c r="V84" s="129"/>
      <c r="W84" s="129"/>
      <c r="X84" s="129"/>
      <c r="Y84" s="129"/>
      <c r="Z84" s="129"/>
      <c r="AA84" s="129"/>
      <c r="AB84" s="129"/>
      <c r="AC84" s="129"/>
      <c r="AD84" s="129"/>
      <c r="AE84" s="129"/>
      <c r="AF84" s="129"/>
      <c r="AG84" s="129"/>
      <c r="AH84" s="129"/>
      <c r="AI84" s="129"/>
      <c r="AJ84" s="129"/>
      <c r="AK84" s="129"/>
      <c r="AL84" s="129"/>
      <c r="AM84" s="129"/>
      <c r="AN84" s="129"/>
      <c r="AO84" s="129"/>
      <c r="AP84" s="129"/>
      <c r="AQ84" s="129"/>
      <c r="AR84" s="129"/>
    </row>
    <row r="85" spans="1:58">
      <c r="A85" s="129"/>
      <c r="B85" s="129"/>
      <c r="C85" s="129"/>
      <c r="D85" s="129"/>
      <c r="E85" s="129"/>
      <c r="F85" s="129"/>
      <c r="G85" s="129"/>
      <c r="H85" s="129"/>
      <c r="I85" s="129"/>
      <c r="J85" s="129"/>
      <c r="K85" s="129"/>
      <c r="L85" s="129"/>
      <c r="M85" s="129"/>
      <c r="N85" s="129"/>
      <c r="O85" s="129"/>
      <c r="P85" s="129"/>
      <c r="Q85" s="129"/>
      <c r="R85" s="129"/>
      <c r="S85" s="129"/>
      <c r="T85" s="129"/>
      <c r="U85" s="129"/>
      <c r="V85" s="129"/>
      <c r="W85" s="129"/>
      <c r="X85" s="129"/>
      <c r="Y85" s="129"/>
      <c r="Z85" s="129"/>
      <c r="AA85" s="129"/>
      <c r="AB85" s="129"/>
      <c r="AC85" s="129"/>
      <c r="AD85" s="129"/>
      <c r="AE85" s="129"/>
      <c r="AF85" s="129"/>
      <c r="AG85" s="129"/>
      <c r="AH85" s="129"/>
      <c r="AI85" s="129"/>
      <c r="AJ85" s="129"/>
      <c r="AK85" s="129"/>
      <c r="AL85" s="129"/>
      <c r="AM85" s="129"/>
      <c r="AN85" s="129"/>
      <c r="AO85" s="129"/>
      <c r="AP85" s="129"/>
      <c r="AQ85" s="129"/>
      <c r="AR85" s="129"/>
    </row>
    <row r="86" spans="1:58">
      <c r="A86" s="129"/>
      <c r="B86" s="129"/>
      <c r="C86" s="129"/>
      <c r="D86" s="129"/>
      <c r="E86" s="129"/>
      <c r="F86" s="129"/>
      <c r="G86" s="129"/>
      <c r="H86" s="129"/>
      <c r="I86" s="129"/>
      <c r="J86" s="129"/>
      <c r="K86" s="129"/>
      <c r="L86" s="129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86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</row>
    <row r="87" spans="1:58">
      <c r="A87" s="129"/>
      <c r="B87" s="129"/>
      <c r="C87" s="129"/>
      <c r="D87" s="187"/>
      <c r="E87" s="187"/>
      <c r="F87" s="129"/>
      <c r="G87" s="129"/>
      <c r="H87" s="129"/>
      <c r="I87" s="129"/>
      <c r="J87" s="129"/>
      <c r="K87" s="129"/>
      <c r="L87" s="129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</row>
    <row r="88" spans="1:58">
      <c r="A88" s="129"/>
      <c r="B88" s="129"/>
      <c r="C88" s="129"/>
      <c r="D88" s="129"/>
      <c r="E88" s="129"/>
      <c r="F88" s="129"/>
      <c r="G88" s="129"/>
      <c r="H88" s="129"/>
      <c r="I88" s="129"/>
      <c r="J88" s="129"/>
      <c r="K88" s="129"/>
      <c r="L88" s="129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</row>
    <row r="89" spans="1:58">
      <c r="A89" s="129"/>
      <c r="B89" s="129"/>
      <c r="C89" s="129"/>
      <c r="D89" s="129"/>
      <c r="E89" s="129"/>
      <c r="F89" s="129"/>
      <c r="G89" s="129"/>
      <c r="H89" s="129"/>
      <c r="I89" s="129"/>
      <c r="J89" s="129"/>
      <c r="K89" s="129"/>
      <c r="L89" s="129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</row>
    <row r="90" spans="1:58">
      <c r="A90" s="129"/>
      <c r="B90" s="129"/>
      <c r="C90" s="129"/>
      <c r="D90" s="129"/>
      <c r="E90" s="129"/>
      <c r="F90" s="129"/>
      <c r="G90" s="129"/>
      <c r="H90" s="129"/>
      <c r="I90" s="129"/>
      <c r="J90" s="129"/>
      <c r="K90" s="129"/>
      <c r="L90" s="129"/>
      <c r="M90" s="129"/>
      <c r="N90" s="129"/>
      <c r="O90" s="129"/>
      <c r="P90" s="129"/>
      <c r="Q90" s="129"/>
      <c r="R90" s="129"/>
      <c r="S90" s="129"/>
      <c r="T90" s="129"/>
      <c r="U90" s="129"/>
      <c r="V90" s="129"/>
      <c r="W90" s="129"/>
      <c r="X90" s="129"/>
      <c r="Y90" s="129"/>
      <c r="Z90" s="129"/>
      <c r="AA90" s="129"/>
      <c r="AB90" s="129"/>
      <c r="AC90" s="186"/>
      <c r="AD90" s="129"/>
      <c r="AE90" s="129"/>
      <c r="AF90" s="129"/>
      <c r="AG90" s="129"/>
      <c r="AH90" s="129"/>
      <c r="AI90" s="129"/>
      <c r="AJ90" s="129"/>
      <c r="AK90" s="129"/>
      <c r="AL90" s="129"/>
      <c r="AM90" s="129"/>
      <c r="AN90" s="129"/>
      <c r="AO90" s="129"/>
      <c r="AP90" s="129"/>
      <c r="AQ90" s="129"/>
      <c r="AR90" s="129"/>
    </row>
    <row r="91" spans="1:58">
      <c r="A91" s="129"/>
      <c r="B91" s="129"/>
      <c r="C91" s="129"/>
      <c r="D91" s="187"/>
      <c r="E91" s="187"/>
      <c r="F91" s="129"/>
      <c r="G91" s="129"/>
      <c r="H91" s="129"/>
      <c r="I91" s="129"/>
      <c r="J91" s="129"/>
      <c r="K91" s="129"/>
      <c r="L91" s="129"/>
      <c r="M91" s="129"/>
      <c r="N91" s="129"/>
      <c r="O91" s="129"/>
      <c r="P91" s="129"/>
      <c r="Q91" s="129"/>
      <c r="R91" s="129"/>
      <c r="S91" s="129"/>
      <c r="T91" s="129"/>
      <c r="U91" s="129"/>
      <c r="V91" s="129"/>
      <c r="W91" s="129"/>
      <c r="X91" s="129"/>
      <c r="Y91" s="129"/>
      <c r="Z91" s="129"/>
      <c r="AA91" s="129"/>
      <c r="AB91" s="129"/>
      <c r="AC91" s="129"/>
      <c r="AF91" s="129"/>
      <c r="AG91" s="129"/>
      <c r="AH91" s="129"/>
      <c r="AI91" s="129"/>
      <c r="AJ91" s="129"/>
      <c r="AK91" s="129"/>
      <c r="AL91" s="129"/>
      <c r="AM91" s="129"/>
      <c r="AN91" s="129"/>
      <c r="AO91" s="129"/>
      <c r="AP91" s="129"/>
      <c r="AQ91" s="129"/>
      <c r="AR91" s="129"/>
    </row>
    <row r="95" spans="1:58" s="188" customFormat="1" ht="12.75">
      <c r="B95" s="189"/>
      <c r="D95" s="189"/>
      <c r="R95" s="190"/>
      <c r="S95" s="189"/>
      <c r="T95" s="189"/>
      <c r="U95" s="189"/>
      <c r="V95" s="189"/>
      <c r="W95" s="189"/>
      <c r="X95" s="189"/>
      <c r="Y95" s="189"/>
      <c r="Z95" s="189"/>
      <c r="AA95" s="189"/>
      <c r="AB95" s="189"/>
      <c r="AC95" s="189"/>
      <c r="AD95" s="189"/>
      <c r="AE95" s="189"/>
      <c r="AO95" s="191"/>
    </row>
    <row r="96" spans="1:58" s="125" customFormat="1" ht="12.75">
      <c r="A96" s="144"/>
      <c r="B96" s="144"/>
      <c r="C96" s="144"/>
      <c r="D96" s="144"/>
      <c r="E96" s="296" t="s">
        <v>129</v>
      </c>
      <c r="F96" s="296"/>
      <c r="G96" s="296"/>
      <c r="H96" s="192">
        <f>B9</f>
        <v>0</v>
      </c>
      <c r="J96" s="297" t="s">
        <v>130</v>
      </c>
      <c r="K96" s="297"/>
      <c r="L96" s="192">
        <f>C11</f>
        <v>0</v>
      </c>
      <c r="M96" s="297" t="s">
        <v>131</v>
      </c>
      <c r="N96" s="297"/>
      <c r="O96" s="297"/>
      <c r="P96" s="192">
        <f>E11</f>
        <v>0</v>
      </c>
      <c r="BF96" s="144"/>
    </row>
    <row r="97" spans="1:58" s="125" customFormat="1" ht="13.5" thickBot="1">
      <c r="A97" s="144"/>
      <c r="B97" s="144"/>
      <c r="C97" s="144"/>
      <c r="D97" s="144"/>
      <c r="H97" s="193"/>
      <c r="BF97" s="144"/>
    </row>
    <row r="98" spans="1:58" s="125" customFormat="1" ht="12.75" customHeight="1" thickTop="1">
      <c r="A98" s="144"/>
      <c r="B98" s="144"/>
      <c r="C98" s="144"/>
      <c r="D98" s="194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195"/>
      <c r="Q98" s="195"/>
      <c r="R98" s="195"/>
      <c r="S98" s="195"/>
      <c r="T98" s="195"/>
      <c r="U98" s="195"/>
      <c r="V98" s="195"/>
      <c r="W98" s="196"/>
      <c r="BF98" s="144"/>
    </row>
    <row r="99" spans="1:58" s="125" customFormat="1" ht="12.75">
      <c r="A99" s="144"/>
      <c r="B99" s="144"/>
      <c r="C99" s="144"/>
      <c r="D99" s="197"/>
      <c r="N99" s="198"/>
      <c r="O99" s="199"/>
      <c r="W99" s="200"/>
      <c r="BF99" s="144"/>
    </row>
    <row r="100" spans="1:58" s="125" customFormat="1" ht="12.75">
      <c r="A100" s="144"/>
      <c r="B100" s="144"/>
      <c r="C100" s="144"/>
      <c r="D100" s="197"/>
      <c r="J100" s="198"/>
      <c r="K100" s="199"/>
      <c r="P100" s="201" t="e">
        <f>H103+(3*H112)</f>
        <v>#DIV/0!</v>
      </c>
      <c r="R100" s="202" t="e">
        <f>H103+(2*H112)</f>
        <v>#DIV/0!</v>
      </c>
      <c r="S100" s="144"/>
      <c r="T100" s="202" t="e">
        <f>H103+(1*H112)</f>
        <v>#DIV/0!</v>
      </c>
      <c r="U100" s="144"/>
      <c r="W100" s="200"/>
      <c r="BF100" s="144"/>
    </row>
    <row r="101" spans="1:58" s="125" customFormat="1" ht="6" customHeight="1" thickBot="1">
      <c r="A101" s="144"/>
      <c r="B101" s="144"/>
      <c r="C101" s="144"/>
      <c r="D101" s="197"/>
      <c r="J101" s="198"/>
      <c r="K101" s="199"/>
      <c r="P101" s="201" t="e">
        <f>H103-(3*H112)</f>
        <v>#DIV/0!</v>
      </c>
      <c r="R101" s="202" t="e">
        <f>H103-(2*H112)</f>
        <v>#DIV/0!</v>
      </c>
      <c r="S101" s="144"/>
      <c r="T101" s="202" t="e">
        <f>H103-(1*H112)</f>
        <v>#DIV/0!</v>
      </c>
      <c r="U101" s="144"/>
      <c r="W101" s="200"/>
      <c r="BF101" s="144"/>
    </row>
    <row r="102" spans="1:58" s="125" customFormat="1" ht="15.95" customHeight="1" thickBot="1">
      <c r="A102" s="144" t="s">
        <v>105</v>
      </c>
      <c r="B102" s="144" t="s">
        <v>106</v>
      </c>
      <c r="C102" s="144"/>
      <c r="D102" s="197"/>
      <c r="E102" s="203" t="s">
        <v>132</v>
      </c>
      <c r="F102" s="203" t="s">
        <v>133</v>
      </c>
      <c r="G102" s="125" t="s">
        <v>134</v>
      </c>
      <c r="H102" s="204">
        <f>H96+L96</f>
        <v>0</v>
      </c>
      <c r="J102" s="198"/>
      <c r="K102" s="199"/>
      <c r="W102" s="200"/>
      <c r="BF102" s="144"/>
    </row>
    <row r="103" spans="1:58" s="125" customFormat="1" ht="15.95" customHeight="1">
      <c r="A103" s="144">
        <f>IF(E103="",0,IF(E103&gt;H102,1,0))</f>
        <v>0</v>
      </c>
      <c r="B103" s="144">
        <f>IF(E103="",0,IF(E103&lt;H104,1,0))</f>
        <v>0</v>
      </c>
      <c r="C103" s="144">
        <v>1</v>
      </c>
      <c r="D103" s="197"/>
      <c r="E103" s="243"/>
      <c r="F103" s="249"/>
      <c r="G103" s="125" t="s">
        <v>135</v>
      </c>
      <c r="H103" s="204">
        <f>H96</f>
        <v>0</v>
      </c>
      <c r="J103" s="198"/>
      <c r="K103" s="199"/>
      <c r="P103" s="205" t="str">
        <f>IF(E103="","",IF(E103&gt;P100,0,IF(E103&gt;P101,1,0)))</f>
        <v/>
      </c>
      <c r="Q103" s="205" t="str">
        <f>IF(F103="","",IF(F103&gt;P100,0,IF(F103&gt;P101,1,0)))</f>
        <v/>
      </c>
      <c r="R103" s="205" t="str">
        <f>IF(E103="","",IF(E103&gt;R100,0,IF(E103&gt;R101,1,0)))</f>
        <v/>
      </c>
      <c r="S103" s="205" t="str">
        <f>IF(F103="","",IF(F103&gt;R100,0,IF(F103&gt;R101,1,0)))</f>
        <v/>
      </c>
      <c r="T103" s="205" t="str">
        <f>IF(E103="","",IF(E103&gt;T100,0,IF(E103&gt;T101,1,0)))</f>
        <v/>
      </c>
      <c r="U103" s="205" t="str">
        <f>IF(F103="","",IF(F103&gt;T100,0,IF(F103&gt;T101,1,0)))</f>
        <v/>
      </c>
      <c r="W103" s="200"/>
      <c r="BF103" s="144"/>
    </row>
    <row r="104" spans="1:58" s="125" customFormat="1" ht="15.95" customHeight="1">
      <c r="A104" s="144">
        <f>IF(E104="",0,IF(E104&gt;H102,1,0))</f>
        <v>0</v>
      </c>
      <c r="B104" s="144">
        <f>IF(E104="",0,IF(E104&lt;H104,1,0))</f>
        <v>0</v>
      </c>
      <c r="C104" s="144">
        <v>2</v>
      </c>
      <c r="D104" s="197"/>
      <c r="E104" s="244"/>
      <c r="F104" s="249"/>
      <c r="G104" s="125" t="s">
        <v>136</v>
      </c>
      <c r="H104" s="204">
        <f>H96+P96</f>
        <v>0</v>
      </c>
      <c r="J104" s="198"/>
      <c r="K104" s="199"/>
      <c r="P104" s="205" t="str">
        <f>IF(E104="","",IF(E104&gt;P100,0,IF(E104&gt;P101,1,0)))</f>
        <v/>
      </c>
      <c r="Q104" s="205" t="str">
        <f>IF(F104="","",IF(F104&gt;P100,0,IF(F104&gt;P101,1,0)))</f>
        <v/>
      </c>
      <c r="R104" s="205" t="str">
        <f>IF(E104="","",IF(E104&gt;R100,0,IF(E104&gt;R101,1,0)))</f>
        <v/>
      </c>
      <c r="S104" s="205" t="str">
        <f>IF(F104="","",IF(F104&gt;R100,0,IF(F104&gt;R101,1,0)))</f>
        <v/>
      </c>
      <c r="T104" s="205" t="str">
        <f>IF(E104="","",IF(E104&gt;T100,0,IF(E104&gt;T101,1,0)))</f>
        <v/>
      </c>
      <c r="U104" s="205" t="str">
        <f>IF(F104="","",IF(F104&gt;T100,0,IF(F104&gt;T101,1,0)))</f>
        <v/>
      </c>
      <c r="W104" s="200"/>
      <c r="BF104" s="144"/>
    </row>
    <row r="105" spans="1:58" s="125" customFormat="1" ht="15.95" customHeight="1">
      <c r="A105" s="144">
        <f>IF(E105="",0,IF(E105&gt;H102,1,0))</f>
        <v>0</v>
      </c>
      <c r="B105" s="144">
        <f>IF(E105="",0,IF(E105&lt;H104,1,0))</f>
        <v>0</v>
      </c>
      <c r="C105" s="144">
        <v>3</v>
      </c>
      <c r="D105" s="197"/>
      <c r="E105" s="245"/>
      <c r="F105" s="249"/>
      <c r="G105" s="206"/>
      <c r="H105" s="207"/>
      <c r="I105" s="144"/>
      <c r="J105" s="144"/>
      <c r="P105" s="205" t="str">
        <f>IF(E105="","",IF(E105&gt;P100,0,IF(E105&gt;P101,1,0)))</f>
        <v/>
      </c>
      <c r="Q105" s="205" t="str">
        <f>IF(F105="","",IF(F105&gt;P100,0,IF(F105&gt;P101,1,0)))</f>
        <v/>
      </c>
      <c r="R105" s="205" t="str">
        <f>IF(E105="","",IF(E105&gt;R100,0,IF(E105&gt;R101,1,0)))</f>
        <v/>
      </c>
      <c r="S105" s="205" t="str">
        <f>IF(F105="","",IF(F105&gt;R100,0,IF(F105&gt;R101,1,0)))</f>
        <v/>
      </c>
      <c r="T105" s="205" t="str">
        <f>IF(E105="","",IF(E105&gt;T100,0,IF(E105&gt;T101,1,0)))</f>
        <v/>
      </c>
      <c r="U105" s="205" t="str">
        <f>IF(F105="","",IF(F105&gt;T100,0,IF(F105&gt;T101,1,0)))</f>
        <v/>
      </c>
      <c r="W105" s="200"/>
      <c r="BF105" s="144"/>
    </row>
    <row r="106" spans="1:58" s="125" customFormat="1" ht="15.95" customHeight="1">
      <c r="A106" s="144">
        <f>IF(E106="",0,IF(E106&gt;H102,1,0))</f>
        <v>0</v>
      </c>
      <c r="B106" s="144">
        <f>IF(E106="",0,IF(E106&lt;H104,1,0))</f>
        <v>0</v>
      </c>
      <c r="C106" s="144">
        <v>4</v>
      </c>
      <c r="D106" s="197"/>
      <c r="E106" s="244"/>
      <c r="F106" s="249"/>
      <c r="G106" s="208" t="s">
        <v>137</v>
      </c>
      <c r="H106" s="204" t="e">
        <f>AVERAGE(E103:F127)</f>
        <v>#DIV/0!</v>
      </c>
      <c r="I106" s="144"/>
      <c r="J106" s="144"/>
      <c r="P106" s="205" t="str">
        <f>IF(E106="","",IF(E106&gt;P100,0,IF(E106&gt;P101,1,0)))</f>
        <v/>
      </c>
      <c r="Q106" s="205" t="str">
        <f>IF(F106="","",IF(F106&gt;P100,0,IF(F106&gt;P101,1,0)))</f>
        <v/>
      </c>
      <c r="R106" s="205" t="str">
        <f>IF(E106="","",IF(E106&gt;R100,0,IF(E106&gt;R101,1,0)))</f>
        <v/>
      </c>
      <c r="S106" s="205" t="str">
        <f>IF(F106="","",IF(F106&gt;R100,0,IF(F106&gt;R101,1,0)))</f>
        <v/>
      </c>
      <c r="T106" s="205" t="str">
        <f>IF(E106="","",IF(E106&gt;T100,0,IF(E106&gt;T101,1,0)))</f>
        <v/>
      </c>
      <c r="U106" s="205" t="str">
        <f>IF(F106="","",IF(F106&gt;T100,0,IF(F106&gt;T101,1,0)))</f>
        <v/>
      </c>
      <c r="W106" s="200"/>
      <c r="BF106" s="144"/>
    </row>
    <row r="107" spans="1:58" s="125" customFormat="1" ht="15.95" customHeight="1">
      <c r="A107" s="144">
        <f>IF(E107="",0,IF(E107&gt;H102,1,0))</f>
        <v>0</v>
      </c>
      <c r="B107" s="144">
        <f>IF(E107="",0,IF(E107&lt;H104,1,0))</f>
        <v>0</v>
      </c>
      <c r="C107" s="144">
        <v>5</v>
      </c>
      <c r="D107" s="197"/>
      <c r="E107" s="245"/>
      <c r="F107" s="249"/>
      <c r="G107" s="208" t="s">
        <v>138</v>
      </c>
      <c r="H107" s="209" t="e">
        <f>((H102-H104)/(6*H111))</f>
        <v>#DIV/0!</v>
      </c>
      <c r="I107" s="144"/>
      <c r="J107" s="144"/>
      <c r="K107" s="210"/>
      <c r="L107" s="210"/>
      <c r="M107" s="210"/>
      <c r="N107" s="210"/>
      <c r="O107" s="210"/>
      <c r="P107" s="205" t="str">
        <f>IF(E107="","",IF(E107&gt;P100,0,IF(E107&gt;P101,1,0)))</f>
        <v/>
      </c>
      <c r="Q107" s="205" t="str">
        <f>IF(F107="","",IF(F107&gt;P100,0,IF(F107&gt;P101,1,0)))</f>
        <v/>
      </c>
      <c r="R107" s="205" t="str">
        <f>IF(E107="","",IF(E107&gt;R100,0,IF(E107&gt;R101,1,0)))</f>
        <v/>
      </c>
      <c r="S107" s="205" t="str">
        <f>IF(F107="","",IF(F107&gt;R100,0,IF(F107&gt;R101,1,0)))</f>
        <v/>
      </c>
      <c r="T107" s="205" t="str">
        <f>IF(E107="","",IF(E107&gt;T100,0,IF(E107&gt;T101,1,0)))</f>
        <v/>
      </c>
      <c r="U107" s="205" t="str">
        <f>IF(F107="","",IF(F107&gt;T100,0,IF(F107&gt;T101,1,0)))</f>
        <v/>
      </c>
      <c r="W107" s="200"/>
      <c r="BF107" s="144"/>
    </row>
    <row r="108" spans="1:58" s="125" customFormat="1" ht="15.95" customHeight="1">
      <c r="A108" s="144">
        <f>IF(E108="",0,IF(E108&gt;H102,1,0))</f>
        <v>0</v>
      </c>
      <c r="B108" s="144">
        <f>IF(E108="",0,IF(E108&lt;H104,1,0))</f>
        <v>0</v>
      </c>
      <c r="C108" s="144">
        <v>6</v>
      </c>
      <c r="D108" s="197"/>
      <c r="E108" s="244"/>
      <c r="F108" s="251"/>
      <c r="G108" s="208" t="s">
        <v>139</v>
      </c>
      <c r="H108" s="209" t="e">
        <f>MIN(I108:J108)</f>
        <v>#DIV/0!</v>
      </c>
      <c r="I108" s="144" t="e">
        <f>((H102-H106)/(3*H111))</f>
        <v>#DIV/0!</v>
      </c>
      <c r="J108" s="144" t="e">
        <f>((H106-H104)/(3*H111))</f>
        <v>#DIV/0!</v>
      </c>
      <c r="K108" s="211"/>
      <c r="M108" s="212"/>
      <c r="N108" s="211"/>
      <c r="P108" s="205" t="str">
        <f>IF(E108="","",IF(E108&gt;P100,0,IF(E108&gt;P101,1,0)))</f>
        <v/>
      </c>
      <c r="Q108" s="205" t="str">
        <f>IF(F108="","",IF(F108&gt;P100,0,IF(F108&gt;P101,1,0)))</f>
        <v/>
      </c>
      <c r="R108" s="205" t="str">
        <f>IF(E108="","",IF(E108&gt;R100,0,IF(E108&gt;R101,1,0)))</f>
        <v/>
      </c>
      <c r="S108" s="205" t="str">
        <f>IF(F108="","",IF(F108&gt;R100,0,IF(F108&gt;R101,1,0)))</f>
        <v/>
      </c>
      <c r="T108" s="205" t="str">
        <f>IF(E108="","",IF(E108&gt;T100,0,IF(E108&gt;T101,1,0)))</f>
        <v/>
      </c>
      <c r="U108" s="205" t="str">
        <f>IF(F108="","",IF(F108&gt;T100,0,IF(F108&gt;T101,1,0)))</f>
        <v/>
      </c>
      <c r="W108" s="200"/>
      <c r="BF108" s="144"/>
    </row>
    <row r="109" spans="1:58" s="125" customFormat="1" ht="15.95" customHeight="1">
      <c r="A109" s="144">
        <f>IF(E109="",0,IF(E109&gt;H102,1,0))</f>
        <v>0</v>
      </c>
      <c r="B109" s="144">
        <f>IF(E109="",0,IF(E109&lt;H104,1,0))</f>
        <v>0</v>
      </c>
      <c r="C109" s="144">
        <v>7</v>
      </c>
      <c r="D109" s="197"/>
      <c r="E109" s="245"/>
      <c r="F109" s="251"/>
      <c r="G109" s="208" t="s">
        <v>140</v>
      </c>
      <c r="H109" s="213" t="e">
        <f>((H102-H104))/(6*H112)</f>
        <v>#DIV/0!</v>
      </c>
      <c r="I109" s="144"/>
      <c r="J109" s="144"/>
      <c r="K109" s="211"/>
      <c r="M109" s="212"/>
      <c r="N109" s="211"/>
      <c r="P109" s="205" t="str">
        <f>IF(E109="","",IF(E109&gt;P100,0,IF(E109&gt;P101,1,0)))</f>
        <v/>
      </c>
      <c r="Q109" s="205" t="str">
        <f>IF(F109="","",IF(F109&gt;P100,0,IF(F109&gt;P101,1,0)))</f>
        <v/>
      </c>
      <c r="R109" s="205" t="str">
        <f>IF(E109="","",IF(E109&gt;R100,0,IF(E109&gt;R101,1,0)))</f>
        <v/>
      </c>
      <c r="S109" s="205" t="str">
        <f>IF(F109="","",IF(F109&gt;R100,0,IF(F109&gt;R101,1,0)))</f>
        <v/>
      </c>
      <c r="T109" s="205" t="str">
        <f>IF(E109="","",IF(E109&gt;T100,0,IF(E109&gt;T101,1,0)))</f>
        <v/>
      </c>
      <c r="U109" s="205" t="str">
        <f>IF(F109="","",IF(F109&gt;T100,0,IF(F109&gt;T101,1,0)))</f>
        <v/>
      </c>
      <c r="W109" s="200"/>
      <c r="BF109" s="144"/>
    </row>
    <row r="110" spans="1:58" s="125" customFormat="1" ht="15.95" customHeight="1">
      <c r="A110" s="144">
        <f>IF(E110="",0,IF(E110&gt;H102,1,0))</f>
        <v>0</v>
      </c>
      <c r="B110" s="144">
        <f>IF(E110="",0,IF(E110&lt;H104,1,0))</f>
        <v>0</v>
      </c>
      <c r="C110" s="144">
        <v>8</v>
      </c>
      <c r="D110" s="197"/>
      <c r="E110" s="244"/>
      <c r="F110" s="251"/>
      <c r="G110" s="208" t="s">
        <v>141</v>
      </c>
      <c r="H110" s="213" t="e">
        <f>MIN(I110:J110)</f>
        <v>#DIV/0!</v>
      </c>
      <c r="I110" s="144" t="e">
        <f>((H102-H106)/(3*H112))</f>
        <v>#DIV/0!</v>
      </c>
      <c r="J110" s="144" t="e">
        <f>((H106-H104)/(3*H112))</f>
        <v>#DIV/0!</v>
      </c>
      <c r="K110" s="211"/>
      <c r="M110" s="212"/>
      <c r="N110" s="211"/>
      <c r="P110" s="205" t="str">
        <f>IF(E110="","",IF(E110&gt;P100,0,IF(E110&gt;P101,1,0)))</f>
        <v/>
      </c>
      <c r="Q110" s="205" t="str">
        <f>IF(F110="","",IF(F110&gt;P100,0,IF(F110&gt;P101,1,0)))</f>
        <v/>
      </c>
      <c r="R110" s="205" t="str">
        <f>IF(E110="","",IF(E110&gt;R100,0,IF(E110&gt;R101,1,0)))</f>
        <v/>
      </c>
      <c r="S110" s="205" t="str">
        <f>IF(F110="","",IF(F110&gt;R100,0,IF(F110&gt;R101,1,0)))</f>
        <v/>
      </c>
      <c r="T110" s="205" t="str">
        <f>IF(E110="","",IF(E110&gt;T100,0,IF(E110&gt;T101,1,0)))</f>
        <v/>
      </c>
      <c r="U110" s="205" t="str">
        <f>IF(F110="","",IF(F110&gt;T100,0,IF(F110&gt;T101,1,0)))</f>
        <v/>
      </c>
      <c r="W110" s="200"/>
      <c r="BF110" s="144"/>
    </row>
    <row r="111" spans="1:58" s="125" customFormat="1" ht="15.95" customHeight="1">
      <c r="A111" s="144">
        <f>IF(E111="",0,IF(E111&gt;H102,1,0))</f>
        <v>0</v>
      </c>
      <c r="B111" s="144">
        <f>IF(E111="",0,IF(E111&lt;H104,1,0))</f>
        <v>0</v>
      </c>
      <c r="C111" s="144">
        <v>9</v>
      </c>
      <c r="D111" s="197"/>
      <c r="E111" s="245"/>
      <c r="F111" s="251"/>
      <c r="G111" s="208" t="s">
        <v>142</v>
      </c>
      <c r="H111" s="204" t="e">
        <f>STDEVP(E103:F127)</f>
        <v>#DIV/0!</v>
      </c>
      <c r="I111" s="144"/>
      <c r="J111" s="144"/>
      <c r="K111" s="211"/>
      <c r="M111" s="212"/>
      <c r="N111" s="211"/>
      <c r="P111" s="205" t="str">
        <f>IF(E111="","",IF(E111&gt;P100,0,IF(E111&gt;P101,1,0)))</f>
        <v/>
      </c>
      <c r="Q111" s="205" t="str">
        <f>IF(F111="","",IF(F111&gt;P100,0,IF(F111&gt;P101,1,0)))</f>
        <v/>
      </c>
      <c r="R111" s="205" t="str">
        <f>IF(E111="","",IF(E111&gt;R100,0,IF(E111&gt;R101,1,0)))</f>
        <v/>
      </c>
      <c r="S111" s="205" t="str">
        <f>IF(F111="","",IF(F111&gt;R100,0,IF(F111&gt;R101,1,0)))</f>
        <v/>
      </c>
      <c r="T111" s="205" t="str">
        <f>IF(E111="","",IF(E111&gt;T100,0,IF(E111&gt;T101,1,0)))</f>
        <v/>
      </c>
      <c r="U111" s="205" t="str">
        <f>IF(F111="","",IF(F111&gt;T100,0,IF(F111&gt;T101,1,0)))</f>
        <v/>
      </c>
      <c r="W111" s="200"/>
      <c r="BF111" s="144"/>
    </row>
    <row r="112" spans="1:58" s="125" customFormat="1" ht="15.95" customHeight="1">
      <c r="A112" s="144">
        <f>IF(E112="",0,IF(E112&gt;H102,1,0))</f>
        <v>0</v>
      </c>
      <c r="B112" s="144">
        <f>IF(E112="",0,IF(E112&lt;H104,1,0))</f>
        <v>0</v>
      </c>
      <c r="C112" s="144">
        <v>10</v>
      </c>
      <c r="D112" s="197"/>
      <c r="E112" s="244"/>
      <c r="F112" s="251"/>
      <c r="G112" s="208" t="s">
        <v>143</v>
      </c>
      <c r="H112" s="204" t="e">
        <f>STDEV(E103:F127)</f>
        <v>#DIV/0!</v>
      </c>
      <c r="I112" s="144"/>
      <c r="J112" s="144"/>
      <c r="K112" s="211"/>
      <c r="M112" s="212"/>
      <c r="N112" s="211"/>
      <c r="P112" s="205" t="str">
        <f>IF(E112="","",IF(E112&gt;P100,0,IF(E112&gt;P101,1,0)))</f>
        <v/>
      </c>
      <c r="Q112" s="205" t="str">
        <f>IF(F112="","",IF(F112&gt;P100,0,IF(F112&gt;P101,1,0)))</f>
        <v/>
      </c>
      <c r="R112" s="205" t="str">
        <f>IF(E112="","",IF(E112&gt;R100,0,IF(E112&gt;R101,1,0)))</f>
        <v/>
      </c>
      <c r="S112" s="205" t="str">
        <f>IF(F112="","",IF(F112&gt;R100,0,IF(F112&gt;R101,1,0)))</f>
        <v/>
      </c>
      <c r="T112" s="205" t="str">
        <f>IF(E112="","",IF(E112&gt;T100,0,IF(E112&gt;T101,1,0)))</f>
        <v/>
      </c>
      <c r="U112" s="205" t="str">
        <f>IF(F112="","",IF(F112&gt;T100,0,IF(F112&gt;T101,1,0)))</f>
        <v/>
      </c>
      <c r="W112" s="200"/>
      <c r="BF112" s="144"/>
    </row>
    <row r="113" spans="1:58" s="125" customFormat="1" ht="15.95" customHeight="1">
      <c r="A113" s="144">
        <f>IF(E113="",0,IF(E113&gt;H102,1,0))</f>
        <v>0</v>
      </c>
      <c r="B113" s="144">
        <f>IF(E113="",0,IF(E113&lt;H104,1,0))</f>
        <v>0</v>
      </c>
      <c r="C113" s="144">
        <v>11</v>
      </c>
      <c r="D113" s="197"/>
      <c r="E113" s="246"/>
      <c r="F113" s="251"/>
      <c r="G113" s="208" t="s">
        <v>144</v>
      </c>
      <c r="H113" s="206">
        <f>COUNTA(E103:F127)</f>
        <v>0</v>
      </c>
      <c r="K113" s="211"/>
      <c r="M113" s="212"/>
      <c r="N113" s="211"/>
      <c r="P113" s="205" t="str">
        <f>IF(E113="","",IF(E113&gt;P100,0,IF(E113&gt;P101,1,0)))</f>
        <v/>
      </c>
      <c r="Q113" s="205" t="str">
        <f>IF(F113="","",IF(F113&gt;P100,0,IF(F113&gt;P101,1,0)))</f>
        <v/>
      </c>
      <c r="R113" s="205" t="str">
        <f>IF(E113="","",IF(E113&gt;R100,0,IF(E113&gt;R101,1,0)))</f>
        <v/>
      </c>
      <c r="S113" s="205" t="str">
        <f>IF(F113="","",IF(F113&gt;R100,0,IF(F113&gt;R101,1,0)))</f>
        <v/>
      </c>
      <c r="T113" s="205" t="str">
        <f>IF(E113="","",IF(E113&gt;T100,0,IF(E113&gt;T101,1,0)))</f>
        <v/>
      </c>
      <c r="U113" s="205" t="str">
        <f>IF(F113="","",IF(F113&gt;T100,0,IF(F113&gt;T101,1,0)))</f>
        <v/>
      </c>
      <c r="W113" s="200"/>
      <c r="BF113" s="144"/>
    </row>
    <row r="114" spans="1:58" s="125" customFormat="1" ht="15.95" customHeight="1">
      <c r="A114" s="144">
        <f>IF(E114="",0,IF(E114&gt;H102,1,0))</f>
        <v>0</v>
      </c>
      <c r="B114" s="144">
        <f>IF(E114="",0,IF(E114&lt;H104,1,0))</f>
        <v>0</v>
      </c>
      <c r="C114" s="144">
        <v>12</v>
      </c>
      <c r="D114" s="197"/>
      <c r="E114" s="246"/>
      <c r="F114" s="251"/>
      <c r="G114" s="208" t="s">
        <v>145</v>
      </c>
      <c r="H114" s="214" t="e">
        <f>MEDIAN(E103:F127)</f>
        <v>#NUM!</v>
      </c>
      <c r="M114" s="212"/>
      <c r="N114" s="211"/>
      <c r="P114" s="205" t="str">
        <f>IF(E114="","",IF(E114&gt;P100,0,IF(E114&gt;P101,1,0)))</f>
        <v/>
      </c>
      <c r="Q114" s="205" t="str">
        <f>IF(F114="","",IF(F114&gt;P100,0,IF(F114&gt;P101,1,0)))</f>
        <v/>
      </c>
      <c r="R114" s="205" t="str">
        <f>IF(E114="","",IF(E114&gt;R100,0,IF(E114&gt;R101,1,0)))</f>
        <v/>
      </c>
      <c r="S114" s="205" t="str">
        <f>IF(F114="","",IF(F114&gt;R100,0,IF(F114&gt;R101,1,0)))</f>
        <v/>
      </c>
      <c r="T114" s="205" t="str">
        <f>IF(E114="","",IF(E114&gt;T100,0,IF(E114&gt;T101,1,0)))</f>
        <v/>
      </c>
      <c r="U114" s="205" t="str">
        <f>IF(F114="","",IF(F114&gt;T100,0,IF(F114&gt;T101,1,0)))</f>
        <v/>
      </c>
      <c r="W114" s="200"/>
      <c r="BF114" s="144"/>
    </row>
    <row r="115" spans="1:58" s="125" customFormat="1" ht="15.95" customHeight="1">
      <c r="A115" s="144">
        <f>IF(E115="",0,IF(E115&gt;H102,1,0))</f>
        <v>0</v>
      </c>
      <c r="B115" s="144">
        <f>IF(E115="",0,IF(E115&lt;H104,1,0))</f>
        <v>0</v>
      </c>
      <c r="C115" s="144">
        <v>13</v>
      </c>
      <c r="D115" s="197"/>
      <c r="E115" s="246"/>
      <c r="F115" s="251"/>
      <c r="G115" s="208" t="s">
        <v>146</v>
      </c>
      <c r="H115" s="204">
        <f>MIN(E103:F127)</f>
        <v>0</v>
      </c>
      <c r="K115" s="211"/>
      <c r="M115" s="212"/>
      <c r="P115" s="205" t="str">
        <f>IF(E115="","",IF(E115&gt;P100,0,IF(E115&gt;P101,1,0)))</f>
        <v/>
      </c>
      <c r="Q115" s="205" t="str">
        <f>IF(F115="","",IF(F115&gt;P100,0,IF(F115&gt;P101,1,0)))</f>
        <v/>
      </c>
      <c r="R115" s="205" t="str">
        <f>IF(E115="","",IF(E115&gt;R100,0,IF(E115&gt;R101,1,0)))</f>
        <v/>
      </c>
      <c r="S115" s="205" t="str">
        <f>IF(F115="","",IF(F115&gt;R100,0,IF(F115&gt;R101,1,0)))</f>
        <v/>
      </c>
      <c r="T115" s="205" t="str">
        <f>IF(E115="","",IF(E115&gt;T100,0,IF(E115&gt;T101,1,0)))</f>
        <v/>
      </c>
      <c r="U115" s="205" t="str">
        <f>IF(F115="","",IF(F115&gt;T100,0,IF(F115&gt;T101,1,0)))</f>
        <v/>
      </c>
      <c r="W115" s="200"/>
      <c r="BF115" s="144"/>
    </row>
    <row r="116" spans="1:58" s="125" customFormat="1" ht="15.95" customHeight="1">
      <c r="A116" s="144">
        <f>IF(E116="",0,IF(E116&gt;H102,1,0))</f>
        <v>0</v>
      </c>
      <c r="B116" s="144">
        <f>IF(E116="",0,IF(E116&lt;H104,1,0))</f>
        <v>0</v>
      </c>
      <c r="C116" s="144">
        <v>14</v>
      </c>
      <c r="D116" s="197"/>
      <c r="E116" s="246"/>
      <c r="F116" s="251"/>
      <c r="G116" s="208" t="s">
        <v>147</v>
      </c>
      <c r="H116" s="204">
        <f>MAX(E103:F127)</f>
        <v>0</v>
      </c>
      <c r="M116" s="212"/>
      <c r="P116" s="205" t="str">
        <f>IF(E116="","",IF(E116&gt;P100,0,IF(E116&gt;P101,1,0)))</f>
        <v/>
      </c>
      <c r="Q116" s="205" t="str">
        <f>IF(F116="","",IF(F116&gt;P100,0,IF(F116&gt;P101,1,0)))</f>
        <v/>
      </c>
      <c r="R116" s="205" t="str">
        <f>IF(E116="","",IF(E116&gt;R100,0,IF(E116&gt;R101,1,0)))</f>
        <v/>
      </c>
      <c r="S116" s="205" t="str">
        <f>IF(F116="","",IF(F116&gt;R100,0,IF(F116&gt;R101,1,0)))</f>
        <v/>
      </c>
      <c r="T116" s="205" t="str">
        <f>IF(E116="","",IF(E116&gt;T100,0,IF(E116&gt;T101,1,0)))</f>
        <v/>
      </c>
      <c r="U116" s="205" t="str">
        <f>IF(F116="","",IF(F116&gt;T100,0,IF(F116&gt;T101,1,0)))</f>
        <v/>
      </c>
      <c r="W116" s="200"/>
      <c r="BF116" s="144"/>
    </row>
    <row r="117" spans="1:58" s="125" customFormat="1" ht="15.95" customHeight="1">
      <c r="A117" s="144">
        <f>IF(E117="",0,IF(E117&gt;H102,1,0))</f>
        <v>0</v>
      </c>
      <c r="B117" s="144">
        <f>IF(E117="",0,IF(E117&lt;H104,1,0))</f>
        <v>0</v>
      </c>
      <c r="C117" s="144">
        <v>15</v>
      </c>
      <c r="D117" s="197"/>
      <c r="E117" s="246"/>
      <c r="F117" s="251"/>
      <c r="G117" s="208" t="s">
        <v>148</v>
      </c>
      <c r="H117" s="204">
        <f>ABS(H115-H116)</f>
        <v>0</v>
      </c>
      <c r="P117" s="205" t="str">
        <f>IF(E117="","",IF(E117&gt;P100,0,IF(E117&gt;P101,1,0)))</f>
        <v/>
      </c>
      <c r="Q117" s="205" t="str">
        <f>IF(F117="","",IF(F117&gt;P100,0,IF(F117&gt;P101,1,0)))</f>
        <v/>
      </c>
      <c r="R117" s="205" t="str">
        <f>IF(E117="","",IF(E117&gt;R100,0,IF(E117&gt;R101,1,0)))</f>
        <v/>
      </c>
      <c r="S117" s="205" t="str">
        <f>IF(F117="","",IF(F117&gt;R100,0,IF(F117&gt;R101,1,0)))</f>
        <v/>
      </c>
      <c r="T117" s="205" t="str">
        <f>IF(E117="","",IF(E117&gt;T100,0,IF(E117&gt;T101,1,0)))</f>
        <v/>
      </c>
      <c r="U117" s="205" t="str">
        <f>IF(F117="","",IF(F117&gt;T100,0,IF(F117&gt;T101,1,0)))</f>
        <v/>
      </c>
      <c r="W117" s="200"/>
      <c r="BF117" s="144"/>
    </row>
    <row r="118" spans="1:58" s="125" customFormat="1" ht="15.95" customHeight="1">
      <c r="A118" s="144">
        <f>IF(E118="",0,IF(E118&gt;H102,1,0))</f>
        <v>0</v>
      </c>
      <c r="B118" s="144">
        <f>IF(E118="",0,IF(E118&lt;H104,1,0))</f>
        <v>0</v>
      </c>
      <c r="C118" s="144">
        <v>16</v>
      </c>
      <c r="D118" s="197"/>
      <c r="E118" s="246"/>
      <c r="F118" s="247"/>
      <c r="G118" s="208" t="s">
        <v>149</v>
      </c>
      <c r="H118" s="204" t="e">
        <f>KURT(E103:F127)</f>
        <v>#DIV/0!</v>
      </c>
      <c r="P118" s="205" t="str">
        <f>IF(E118="","",IF(E118&gt;P100,0,IF(E118&gt;P101,1,0)))</f>
        <v/>
      </c>
      <c r="Q118" s="205" t="str">
        <f>IF(F118="","",IF(F118&gt;P100,0,IF(F118&gt;P101,1,0)))</f>
        <v/>
      </c>
      <c r="R118" s="205" t="str">
        <f>IF(E118="","",IF(E118&gt;R100,0,IF(E118&gt;R101,1,0)))</f>
        <v/>
      </c>
      <c r="S118" s="205" t="str">
        <f>IF(F118="","",IF(F118&gt;R100,0,IF(F118&gt;R101,1,0)))</f>
        <v/>
      </c>
      <c r="T118" s="205" t="str">
        <f>IF(E118="","",IF(E118&gt;T100,0,IF(E118&gt;T101,1,0)))</f>
        <v/>
      </c>
      <c r="U118" s="205" t="str">
        <f>IF(F118="","",IF(F118&gt;T100,0,IF(F118&gt;T101,1,0)))</f>
        <v/>
      </c>
      <c r="W118" s="200"/>
      <c r="BF118" s="144"/>
    </row>
    <row r="119" spans="1:58" s="125" customFormat="1" ht="15.95" customHeight="1">
      <c r="A119" s="144">
        <f>IF(E119="",0,IF(E119&gt;H102,1,0))</f>
        <v>0</v>
      </c>
      <c r="B119" s="144">
        <f>IF(E119="",0,IF(E119&lt;H104,1,0))</f>
        <v>0</v>
      </c>
      <c r="C119" s="144">
        <v>17</v>
      </c>
      <c r="D119" s="197"/>
      <c r="E119" s="246"/>
      <c r="F119" s="247"/>
      <c r="G119" s="208" t="s">
        <v>150</v>
      </c>
      <c r="H119" s="204" t="e">
        <f>VAR(E103:F127)</f>
        <v>#DIV/0!</v>
      </c>
      <c r="P119" s="205" t="str">
        <f>IF(E119="","",IF(E119&gt;P100,0,IF(E119&gt;P101,1,0)))</f>
        <v/>
      </c>
      <c r="Q119" s="205" t="str">
        <f>IF(F119="","",IF(F119&gt;P100,0,IF(F119&gt;P101,1,0)))</f>
        <v/>
      </c>
      <c r="R119" s="205" t="str">
        <f>IF(E119="","",IF(E119&gt;R100,0,IF(E119&gt;R101,1,0)))</f>
        <v/>
      </c>
      <c r="S119" s="205" t="str">
        <f>IF(F119="","",IF(F119&gt;R100,0,IF(F119&gt;R101,1,0)))</f>
        <v/>
      </c>
      <c r="T119" s="205" t="str">
        <f>IF(E119="","",IF(E119&gt;T100,0,IF(E119&gt;T101,1,0)))</f>
        <v/>
      </c>
      <c r="U119" s="205" t="str">
        <f>IF(F119="","",IF(F119&gt;T100,0,IF(F119&gt;T101,1,0)))</f>
        <v/>
      </c>
      <c r="W119" s="200"/>
      <c r="BF119" s="144"/>
    </row>
    <row r="120" spans="1:58" s="125" customFormat="1" ht="15.95" customHeight="1">
      <c r="A120" s="144">
        <f>IF(E120="",0,IF(E120&gt;H102,1,0))</f>
        <v>0</v>
      </c>
      <c r="B120" s="144">
        <f>IF(E120="",0,IF(E120&lt;H104,1,0))</f>
        <v>0</v>
      </c>
      <c r="C120" s="144">
        <v>18</v>
      </c>
      <c r="D120" s="197"/>
      <c r="E120" s="246"/>
      <c r="F120" s="247"/>
      <c r="G120" s="208" t="s">
        <v>151</v>
      </c>
      <c r="H120" s="215">
        <f>B153</f>
        <v>0</v>
      </c>
      <c r="P120" s="205" t="str">
        <f>IF(E120="","",IF(E120&gt;P100,0,IF(E120&gt;P101,1,0)))</f>
        <v/>
      </c>
      <c r="Q120" s="205" t="str">
        <f>IF(F120="","",IF(F120&gt;P100,0,IF(F120&gt;P101,1,0)))</f>
        <v/>
      </c>
      <c r="R120" s="205" t="str">
        <f>IF(E120="","",IF(E120&gt;R100,0,IF(E120&gt;R101,1,0)))</f>
        <v/>
      </c>
      <c r="S120" s="205" t="str">
        <f>IF(F120="","",IF(F120&gt;R100,0,IF(F120&gt;R101,1,0)))</f>
        <v/>
      </c>
      <c r="T120" s="205" t="str">
        <f>IF(E120="","",IF(E120&gt;T100,0,IF(E120&gt;T101,1,0)))</f>
        <v/>
      </c>
      <c r="U120" s="205" t="str">
        <f>IF(F120="","",IF(F120&gt;T100,0,IF(F120&gt;T101,1,0)))</f>
        <v/>
      </c>
      <c r="W120" s="200"/>
      <c r="BF120" s="144"/>
    </row>
    <row r="121" spans="1:58" s="125" customFormat="1" ht="15.95" customHeight="1">
      <c r="A121" s="144">
        <f>IF(E121="",0,IF(E121&gt;H102,1,0))</f>
        <v>0</v>
      </c>
      <c r="B121" s="144">
        <f>IF(E121="",0,IF(E121&lt;H104,1,0))</f>
        <v>0</v>
      </c>
      <c r="C121" s="144">
        <v>19</v>
      </c>
      <c r="D121" s="197"/>
      <c r="E121" s="246"/>
      <c r="F121" s="247"/>
      <c r="G121" s="208" t="s">
        <v>152</v>
      </c>
      <c r="H121" s="215">
        <f>A153</f>
        <v>0</v>
      </c>
      <c r="P121" s="205" t="str">
        <f>IF(E121="","",IF(E121&gt;P100,0,IF(E121&gt;P101,1,0)))</f>
        <v/>
      </c>
      <c r="Q121" s="205" t="str">
        <f>IF(F121="","",IF(F121&gt;P100,0,IF(F121&gt;P101,1,0)))</f>
        <v/>
      </c>
      <c r="R121" s="205" t="str">
        <f>IF(E121="","",IF(E121&gt;R100,0,IF(E121&gt;R101,1,0)))</f>
        <v/>
      </c>
      <c r="S121" s="205" t="str">
        <f>IF(F121="","",IF(F121&gt;R100,0,IF(F121&gt;R101,1,0)))</f>
        <v/>
      </c>
      <c r="T121" s="205" t="str">
        <f>IF(E121="","",IF(E121&gt;T100,0,IF(E121&gt;T101,1,0)))</f>
        <v/>
      </c>
      <c r="U121" s="205" t="str">
        <f>IF(F121="","",IF(F121&gt;T100,0,IF(F121&gt;T101,1,0)))</f>
        <v/>
      </c>
      <c r="W121" s="200"/>
      <c r="BF121" s="144"/>
    </row>
    <row r="122" spans="1:58" s="125" customFormat="1" ht="15.95" customHeight="1">
      <c r="A122" s="144">
        <f>IF(E122="",0,IF(E122&gt;H102,1,0))</f>
        <v>0</v>
      </c>
      <c r="B122" s="144">
        <f>IF(E122="",0,IF(E122&lt;H104,1,0))</f>
        <v>0</v>
      </c>
      <c r="C122" s="144">
        <v>20</v>
      </c>
      <c r="D122" s="197"/>
      <c r="E122" s="246"/>
      <c r="F122" s="247"/>
      <c r="G122" s="206" t="s">
        <v>153</v>
      </c>
      <c r="H122" s="206" t="str">
        <f>IF(H126=3,"Oui","Non")</f>
        <v>Non</v>
      </c>
      <c r="P122" s="205" t="str">
        <f>IF(E122="","",IF(E122&gt;P100,0,IF(E122&gt;P101,1,0)))</f>
        <v/>
      </c>
      <c r="Q122" s="205" t="str">
        <f>IF(F122="","",IF(F122&gt;P100,0,IF(F122&gt;P101,1,0)))</f>
        <v/>
      </c>
      <c r="R122" s="205" t="str">
        <f>IF(E122="","",IF(E122&gt;R100,0,IF(E122&gt;R101,1,0)))</f>
        <v/>
      </c>
      <c r="S122" s="205" t="str">
        <f>IF(F122="","",IF(F122&gt;R100,0,IF(F122&gt;R101,1,0)))</f>
        <v/>
      </c>
      <c r="T122" s="205" t="str">
        <f>IF(E122="","",IF(E122&gt;T100,0,IF(E122&gt;T101,1,0)))</f>
        <v/>
      </c>
      <c r="U122" s="205" t="str">
        <f>IF(F122="","",IF(F122&gt;T100,0,IF(F122&gt;T101,1,0)))</f>
        <v/>
      </c>
      <c r="W122" s="200"/>
      <c r="BF122" s="144"/>
    </row>
    <row r="123" spans="1:58" s="125" customFormat="1" ht="15.95" customHeight="1">
      <c r="A123" s="144">
        <f>IF(E123="",0,IF(E123&gt;H102,1,0))</f>
        <v>0</v>
      </c>
      <c r="B123" s="144">
        <f>IF(E123="",0,IF(E123&lt;H104,1,0))</f>
        <v>0</v>
      </c>
      <c r="C123" s="144">
        <v>21</v>
      </c>
      <c r="D123" s="197"/>
      <c r="E123" s="249"/>
      <c r="F123" s="247"/>
      <c r="G123" s="202">
        <f>(100*(SUM(P103:Q127)))/30</f>
        <v>0</v>
      </c>
      <c r="H123" s="144">
        <f>IF(G123&gt;=99.7,1,0)</f>
        <v>0</v>
      </c>
      <c r="I123" s="144"/>
      <c r="J123" s="144"/>
      <c r="K123" s="144"/>
      <c r="L123" s="144"/>
      <c r="M123" s="144"/>
      <c r="N123" s="144"/>
      <c r="O123" s="144"/>
      <c r="P123" s="205" t="str">
        <f>IF(E123="","",IF(E123&gt;P100,0,IF(E123&gt;P101,1,0)))</f>
        <v/>
      </c>
      <c r="Q123" s="205" t="str">
        <f>IF(F123="","",IF(F123&gt;P100,0,IF(F123&gt;P101,1,0)))</f>
        <v/>
      </c>
      <c r="R123" s="205" t="str">
        <f>IF(E123="","",IF(E123&gt;R100,0,IF(E123&gt;R101,1,0)))</f>
        <v/>
      </c>
      <c r="S123" s="205" t="str">
        <f>IF(F123="","",IF(F123&gt;R100,0,IF(F123&gt;R101,1,0)))</f>
        <v/>
      </c>
      <c r="T123" s="205" t="str">
        <f>IF(E123="","",IF(E123&gt;T100,0,IF(E123&gt;T101,1,0)))</f>
        <v/>
      </c>
      <c r="U123" s="205" t="str">
        <f>IF(F123="","",IF(F123&gt;T100,0,IF(F123&gt;T101,1,0)))</f>
        <v/>
      </c>
      <c r="V123" s="144"/>
      <c r="W123" s="216"/>
      <c r="X123" s="144"/>
      <c r="Y123" s="144"/>
      <c r="Z123" s="144"/>
      <c r="AA123" s="144"/>
      <c r="AB123" s="144"/>
      <c r="AC123" s="144"/>
      <c r="AD123" s="144"/>
      <c r="AE123" s="144"/>
      <c r="AF123" s="144"/>
      <c r="AG123" s="144"/>
      <c r="AH123" s="144"/>
      <c r="AI123" s="144"/>
      <c r="AJ123" s="144"/>
      <c r="AK123" s="144"/>
      <c r="AL123" s="144"/>
      <c r="AM123" s="144"/>
      <c r="AN123" s="144"/>
      <c r="AO123" s="144"/>
      <c r="AP123" s="144"/>
      <c r="AQ123" s="144"/>
      <c r="AR123" s="144"/>
      <c r="AS123" s="144"/>
      <c r="AT123" s="144"/>
      <c r="AU123" s="144"/>
      <c r="AV123" s="144"/>
      <c r="AW123" s="144"/>
      <c r="AX123" s="144"/>
      <c r="AY123" s="144"/>
      <c r="AZ123" s="144"/>
      <c r="BA123" s="144"/>
      <c r="BB123" s="144"/>
      <c r="BC123" s="144"/>
      <c r="BD123" s="144"/>
      <c r="BE123" s="144"/>
      <c r="BF123" s="144"/>
    </row>
    <row r="124" spans="1:58" s="125" customFormat="1" ht="15.95" customHeight="1">
      <c r="A124" s="144">
        <f>IF(E124="",0,IF(E124&gt;H102,1,0))</f>
        <v>0</v>
      </c>
      <c r="B124" s="144">
        <f>IF(E124="",0,IF(E124&lt;H104,1,0))</f>
        <v>0</v>
      </c>
      <c r="C124" s="144">
        <v>22</v>
      </c>
      <c r="D124" s="197"/>
      <c r="E124" s="249"/>
      <c r="F124" s="247"/>
      <c r="G124" s="202">
        <f>(100*(SUM(R103:S127)))/30</f>
        <v>0</v>
      </c>
      <c r="H124" s="144">
        <f>IF(G124&gt;=95.5,1,0)</f>
        <v>0</v>
      </c>
      <c r="P124" s="205" t="str">
        <f>IF(E124="","",IF(E124&gt;P100,0,IF(E124&gt;P101,1,0)))</f>
        <v/>
      </c>
      <c r="Q124" s="205" t="str">
        <f>IF(F124="","",IF(F124&gt;P100,0,IF(F124&gt;P101,1,0)))</f>
        <v/>
      </c>
      <c r="R124" s="205" t="str">
        <f>IF(E124="","",IF(E124&gt;R100,0,IF(E124&gt;R101,1,0)))</f>
        <v/>
      </c>
      <c r="S124" s="205" t="str">
        <f>IF(F124="","",IF(F124&gt;R100,0,IF(F124&gt;R101,1,0)))</f>
        <v/>
      </c>
      <c r="T124" s="205" t="str">
        <f>IF(E124="","",IF(E124&gt;T100,0,IF(E124&gt;T101,1,0)))</f>
        <v/>
      </c>
      <c r="U124" s="205" t="str">
        <f>IF(F124="","",IF(F124&gt;T100,0,IF(F124&gt;T101,1,0)))</f>
        <v/>
      </c>
      <c r="W124" s="200"/>
      <c r="BF124" s="144"/>
    </row>
    <row r="125" spans="1:58" s="125" customFormat="1" ht="15.95" customHeight="1">
      <c r="A125" s="144">
        <f>IF(E125="",0,IF(E125&gt;H102,1,0))</f>
        <v>0</v>
      </c>
      <c r="B125" s="144">
        <f>IF(E125="",0,IF(E125&lt;H104,1,0))</f>
        <v>0</v>
      </c>
      <c r="C125" s="144">
        <v>23</v>
      </c>
      <c r="D125" s="197"/>
      <c r="E125" s="249"/>
      <c r="F125" s="247"/>
      <c r="G125" s="199">
        <f>(100*(SUM(T103:U127)))/30</f>
        <v>0</v>
      </c>
      <c r="H125" s="144">
        <f>IF(G125&gt;=68.3,1,0)</f>
        <v>0</v>
      </c>
      <c r="I125" s="144"/>
      <c r="J125" s="144"/>
      <c r="K125" s="144"/>
      <c r="L125" s="144"/>
      <c r="M125" s="144"/>
      <c r="N125" s="144"/>
      <c r="O125" s="144"/>
      <c r="P125" s="205" t="str">
        <f>IF(E125="","",IF(E125&gt;P100,0,IF(E125&gt;P101,1,0)))</f>
        <v/>
      </c>
      <c r="Q125" s="205" t="str">
        <f>IF(F125="","",IF(F125&gt;P100,0,IF(F125&gt;P101,1,0)))</f>
        <v/>
      </c>
      <c r="R125" s="205" t="str">
        <f>IF(E125="","",IF(E125&gt;R100,0,IF(E125&gt;R101,1,0)))</f>
        <v/>
      </c>
      <c r="S125" s="205" t="str">
        <f>IF(F125="","",IF(F125&gt;R100,0,IF(F125&gt;R101,1,0)))</f>
        <v/>
      </c>
      <c r="T125" s="205" t="str">
        <f>IF(E125="","",IF(E125&gt;T100,0,IF(E125&gt;T101,1,0)))</f>
        <v/>
      </c>
      <c r="U125" s="205" t="str">
        <f>IF(F125="","",IF(F125&gt;T100,0,IF(F125&gt;T101,1,0)))</f>
        <v/>
      </c>
      <c r="V125" s="144"/>
      <c r="W125" s="216"/>
      <c r="X125" s="144"/>
      <c r="Y125" s="144"/>
      <c r="Z125" s="144"/>
      <c r="AA125" s="144"/>
      <c r="AB125" s="144"/>
      <c r="AC125" s="144"/>
      <c r="AD125" s="144"/>
      <c r="AE125" s="144"/>
      <c r="AF125" s="144"/>
      <c r="AG125" s="144"/>
      <c r="AH125" s="144"/>
      <c r="AI125" s="144"/>
      <c r="AJ125" s="144"/>
      <c r="AK125" s="144"/>
      <c r="AL125" s="144"/>
      <c r="AM125" s="144"/>
      <c r="AN125" s="144"/>
      <c r="AO125" s="144"/>
      <c r="AP125" s="144"/>
      <c r="AQ125" s="144"/>
      <c r="AR125" s="144"/>
      <c r="AS125" s="144"/>
      <c r="AT125" s="144"/>
      <c r="AU125" s="144"/>
      <c r="AV125" s="144"/>
      <c r="AW125" s="144"/>
      <c r="AX125" s="144"/>
      <c r="AY125" s="144"/>
      <c r="AZ125" s="144"/>
      <c r="BA125" s="144"/>
      <c r="BB125" s="144"/>
      <c r="BC125" s="144"/>
      <c r="BD125" s="144"/>
      <c r="BF125" s="144"/>
    </row>
    <row r="126" spans="1:58" s="125" customFormat="1" ht="15.95" customHeight="1">
      <c r="A126" s="144">
        <f>IF(E126="",0,IF(E126&gt;H102,1,0))</f>
        <v>0</v>
      </c>
      <c r="B126" s="144">
        <f>IF(E126="",0,IF(E126&lt;H104,1,0))</f>
        <v>0</v>
      </c>
      <c r="C126" s="144">
        <v>24</v>
      </c>
      <c r="D126" s="197"/>
      <c r="E126" s="249"/>
      <c r="F126" s="247"/>
      <c r="G126" s="217"/>
      <c r="H126" s="144">
        <f>SUM(H123:H125)</f>
        <v>0</v>
      </c>
      <c r="I126" s="218"/>
      <c r="J126" s="144"/>
      <c r="K126" s="144"/>
      <c r="L126" s="144"/>
      <c r="M126" s="144"/>
      <c r="N126" s="144"/>
      <c r="O126" s="144"/>
      <c r="P126" s="205" t="str">
        <f>IF(E126="","",IF(E126&gt;P100,0,IF(E126&gt;P101,1,0)))</f>
        <v/>
      </c>
      <c r="Q126" s="205" t="str">
        <f>IF(F126="","",IF(F126&gt;P100,0,IF(F126&gt;P101,1,0)))</f>
        <v/>
      </c>
      <c r="R126" s="205" t="str">
        <f>IF(E126="","",IF(E126&gt;R100,0,IF(E126&gt;R101,1,0)))</f>
        <v/>
      </c>
      <c r="S126" s="205" t="str">
        <f>IF(F126="","",IF(F126&gt;R100,0,IF(F126&gt;R101,1,0)))</f>
        <v/>
      </c>
      <c r="T126" s="205" t="str">
        <f>IF(E126="","",IF(E126&gt;T100,0,IF(E126&gt;T101,1,0)))</f>
        <v/>
      </c>
      <c r="U126" s="205" t="str">
        <f>IF(F126="","",IF(F126&gt;T100,0,IF(F126&gt;T101,1,0)))</f>
        <v/>
      </c>
      <c r="V126" s="144"/>
      <c r="W126" s="216"/>
      <c r="X126" s="144"/>
      <c r="Y126" s="144"/>
      <c r="Z126" s="144"/>
      <c r="AA126" s="144"/>
      <c r="AB126" s="144"/>
      <c r="AC126" s="144"/>
      <c r="AD126" s="144"/>
      <c r="AE126" s="144"/>
      <c r="AF126" s="144"/>
      <c r="AG126" s="144"/>
      <c r="AH126" s="144"/>
      <c r="AI126" s="144"/>
      <c r="AJ126" s="144"/>
      <c r="AK126" s="144"/>
      <c r="AL126" s="144"/>
      <c r="AM126" s="144"/>
      <c r="AN126" s="144"/>
      <c r="AO126" s="144"/>
      <c r="AP126" s="144"/>
      <c r="AQ126" s="144"/>
      <c r="AR126" s="144"/>
      <c r="AS126" s="144"/>
      <c r="AT126" s="144"/>
      <c r="AU126" s="144"/>
      <c r="AV126" s="144"/>
      <c r="AW126" s="144"/>
      <c r="AX126" s="144"/>
      <c r="AY126" s="144"/>
      <c r="AZ126" s="144"/>
      <c r="BA126" s="144"/>
      <c r="BB126" s="144"/>
      <c r="BC126" s="144"/>
      <c r="BD126" s="144"/>
      <c r="BF126" s="144"/>
    </row>
    <row r="127" spans="1:58" s="125" customFormat="1" ht="15.95" customHeight="1" thickBot="1">
      <c r="A127" s="144">
        <f>IF(E127="",0,IF(E127&gt;H102,1,0))</f>
        <v>0</v>
      </c>
      <c r="B127" s="144">
        <f>IF(E127="",0,IF(E127&lt;H104,1,0))</f>
        <v>0</v>
      </c>
      <c r="C127" s="144">
        <v>25</v>
      </c>
      <c r="D127" s="219"/>
      <c r="E127" s="250"/>
      <c r="F127" s="248"/>
      <c r="G127" s="220"/>
      <c r="H127" s="221"/>
      <c r="I127" s="221">
        <v>1</v>
      </c>
      <c r="J127" s="221">
        <f t="shared" ref="J127:O127" si="3">I127+1</f>
        <v>2</v>
      </c>
      <c r="K127" s="221">
        <f t="shared" si="3"/>
        <v>3</v>
      </c>
      <c r="L127" s="221">
        <f t="shared" si="3"/>
        <v>4</v>
      </c>
      <c r="M127" s="221">
        <f t="shared" si="3"/>
        <v>5</v>
      </c>
      <c r="N127" s="221">
        <f t="shared" si="3"/>
        <v>6</v>
      </c>
      <c r="O127" s="221">
        <f t="shared" si="3"/>
        <v>7</v>
      </c>
      <c r="P127" s="222" t="str">
        <f>IF(E127="","",IF(E127&gt;P100,0,IF(E127&gt;P101,1,0)))</f>
        <v/>
      </c>
      <c r="Q127" s="222" t="str">
        <f>IF(F127="","",IF(F127&gt;P100,0,IF(F127&gt;P101,1,0)))</f>
        <v/>
      </c>
      <c r="R127" s="222" t="str">
        <f>IF(E127="","",IF(E127&gt;#REF!,0,IF(E127&gt;R101,1,0)))</f>
        <v/>
      </c>
      <c r="S127" s="222" t="str">
        <f>IF(F127="","",IF(F127&gt;#REF!,0,IF(F127&gt;R101,1,0)))</f>
        <v/>
      </c>
      <c r="T127" s="222" t="str">
        <f>IF(E127="","",IF(E127&gt;T100,0,IF(E127&gt;T101,1,0)))</f>
        <v/>
      </c>
      <c r="U127" s="222" t="str">
        <f>IF(F127="","",IF(F127&gt;T100,0,IF(F127&gt;T101,1,0)))</f>
        <v/>
      </c>
      <c r="V127" s="222" t="str">
        <f t="shared" ref="V127:AG127" si="4">IF(G127="","",IF(G127&gt;U100,0,IF(G127&gt;U101,1,0)))</f>
        <v/>
      </c>
      <c r="W127" s="222" t="str">
        <f t="shared" si="4"/>
        <v/>
      </c>
      <c r="X127" s="222">
        <f t="shared" si="4"/>
        <v>0</v>
      </c>
      <c r="Y127" s="222">
        <f t="shared" si="4"/>
        <v>0</v>
      </c>
      <c r="Z127" s="222">
        <f t="shared" si="4"/>
        <v>0</v>
      </c>
      <c r="AA127" s="222">
        <f t="shared" si="4"/>
        <v>0</v>
      </c>
      <c r="AB127" s="222">
        <f t="shared" si="4"/>
        <v>0</v>
      </c>
      <c r="AC127" s="222">
        <f t="shared" si="4"/>
        <v>0</v>
      </c>
      <c r="AD127" s="222">
        <f t="shared" si="4"/>
        <v>0</v>
      </c>
      <c r="AE127" s="222" t="str">
        <f t="shared" si="4"/>
        <v/>
      </c>
      <c r="AF127" s="222" t="str">
        <f t="shared" si="4"/>
        <v/>
      </c>
      <c r="AG127" s="222" t="str">
        <f t="shared" si="4"/>
        <v/>
      </c>
      <c r="AH127" s="144">
        <f>AG113+1</f>
        <v>1</v>
      </c>
      <c r="AI127" s="144">
        <f t="shared" ref="AI127:BE127" si="5">AH127+1</f>
        <v>2</v>
      </c>
      <c r="AJ127" s="144">
        <f t="shared" si="5"/>
        <v>3</v>
      </c>
      <c r="AK127" s="144">
        <f t="shared" si="5"/>
        <v>4</v>
      </c>
      <c r="AL127" s="144">
        <f t="shared" si="5"/>
        <v>5</v>
      </c>
      <c r="AM127" s="144">
        <f t="shared" si="5"/>
        <v>6</v>
      </c>
      <c r="AN127" s="144">
        <f t="shared" si="5"/>
        <v>7</v>
      </c>
      <c r="AO127" s="144">
        <f t="shared" si="5"/>
        <v>8</v>
      </c>
      <c r="AP127" s="144">
        <f t="shared" si="5"/>
        <v>9</v>
      </c>
      <c r="AQ127" s="144">
        <f t="shared" si="5"/>
        <v>10</v>
      </c>
      <c r="AR127" s="144">
        <f t="shared" si="5"/>
        <v>11</v>
      </c>
      <c r="AS127" s="144">
        <f t="shared" si="5"/>
        <v>12</v>
      </c>
      <c r="AT127" s="144">
        <f t="shared" si="5"/>
        <v>13</v>
      </c>
      <c r="AU127" s="144">
        <f t="shared" si="5"/>
        <v>14</v>
      </c>
      <c r="AV127" s="144">
        <f t="shared" si="5"/>
        <v>15</v>
      </c>
      <c r="AW127" s="144">
        <f t="shared" si="5"/>
        <v>16</v>
      </c>
      <c r="AX127" s="144">
        <f t="shared" si="5"/>
        <v>17</v>
      </c>
      <c r="AY127" s="144">
        <f t="shared" si="5"/>
        <v>18</v>
      </c>
      <c r="AZ127" s="144">
        <f t="shared" si="5"/>
        <v>19</v>
      </c>
      <c r="BA127" s="144">
        <f t="shared" si="5"/>
        <v>20</v>
      </c>
      <c r="BB127" s="144">
        <f t="shared" si="5"/>
        <v>21</v>
      </c>
      <c r="BC127" s="144">
        <f t="shared" si="5"/>
        <v>22</v>
      </c>
      <c r="BD127" s="144">
        <f t="shared" si="5"/>
        <v>23</v>
      </c>
      <c r="BE127" s="144">
        <f t="shared" si="5"/>
        <v>24</v>
      </c>
      <c r="BF127" s="144"/>
    </row>
    <row r="128" spans="1:58" s="125" customFormat="1" ht="12.95" customHeight="1" thickTop="1">
      <c r="A128" s="144">
        <f>IF(F103="",0,IF(F103&gt;H102,1,0))</f>
        <v>0</v>
      </c>
      <c r="B128" s="144">
        <f>IF(F103="",0,IF(F103&lt;H104,1,0))</f>
        <v>0</v>
      </c>
      <c r="C128" s="144"/>
      <c r="D128" s="144"/>
      <c r="G128" s="217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44"/>
      <c r="V128" s="144"/>
      <c r="W128" s="144"/>
      <c r="X128" s="144"/>
      <c r="Y128" s="144"/>
      <c r="Z128" s="144"/>
      <c r="AA128" s="144"/>
      <c r="AB128" s="144"/>
      <c r="AC128" s="144"/>
      <c r="AD128" s="144"/>
      <c r="AE128" s="144"/>
      <c r="AF128" s="144"/>
      <c r="AG128" s="144"/>
      <c r="AH128" s="144"/>
      <c r="AI128" s="144"/>
      <c r="AJ128" s="144"/>
      <c r="AK128" s="144"/>
      <c r="AL128" s="144"/>
      <c r="AM128" s="144"/>
      <c r="AN128" s="144"/>
      <c r="AO128" s="144"/>
      <c r="AP128" s="144"/>
      <c r="AQ128" s="144"/>
      <c r="AR128" s="144"/>
      <c r="AS128" s="144"/>
      <c r="AT128" s="144"/>
      <c r="AU128" s="144"/>
      <c r="AV128" s="144"/>
      <c r="AW128" s="144"/>
      <c r="AX128" s="144"/>
      <c r="AY128" s="144"/>
      <c r="AZ128" s="144"/>
      <c r="BA128" s="144"/>
      <c r="BB128" s="144"/>
      <c r="BC128" s="144"/>
      <c r="BD128" s="144"/>
      <c r="BE128" s="144"/>
      <c r="BF128" s="144" t="s">
        <v>154</v>
      </c>
    </row>
    <row r="129" spans="1:58" s="125" customFormat="1" ht="12.95" customHeight="1">
      <c r="A129" s="144">
        <f>IF(F104="",0,IF(F104&gt;H102,1,0))</f>
        <v>0</v>
      </c>
      <c r="B129" s="144">
        <f>IF(F104="",0,IF(F104&lt;H104,1,0))</f>
        <v>0</v>
      </c>
      <c r="C129" s="144"/>
      <c r="D129" s="144"/>
      <c r="E129" s="199">
        <f>ABS(H103-H115)</f>
        <v>0</v>
      </c>
      <c r="F129" s="125" t="e">
        <f>AND((H103-(3*H112))&lt;(H103-(ABS(E131)/2)),(H103-(3*H112))&gt;(H103-(ABS(E131)/1)))</f>
        <v>#DIV/0!</v>
      </c>
      <c r="G129" s="217" t="e">
        <f>IF(F129&lt;H104,,IF(F129=FALSE,(H103-(ABS(E131))),"3 Sigmas"))</f>
        <v>#DIV/0!</v>
      </c>
      <c r="H129" s="199">
        <f>(H103-(ABS(E131)/1))</f>
        <v>0</v>
      </c>
      <c r="I129" s="144" t="b">
        <f>AND(E103&lt;&gt;"",E103&lt;&gt;" ",E103&lt;H129,E103=H129)</f>
        <v>0</v>
      </c>
      <c r="J129" s="144" t="b">
        <f>AND(E104&lt;&gt;"",E104&lt;H129,E104=H129)</f>
        <v>0</v>
      </c>
      <c r="K129" s="144" t="b">
        <f>AND(E105&lt;&gt;"",E105&lt;H129,E105=H129)</f>
        <v>0</v>
      </c>
      <c r="L129" s="144" t="b">
        <f>AND(E106&lt;&gt;"",E106&lt;H129,E106=H129)</f>
        <v>0</v>
      </c>
      <c r="M129" s="144" t="b">
        <f>AND(E107&lt;&gt;"",E107&lt;H129,E107=H129)</f>
        <v>0</v>
      </c>
      <c r="N129" s="144" t="b">
        <f>AND(E108&lt;&gt;"",E108&lt;H129,E108=H129)</f>
        <v>0</v>
      </c>
      <c r="O129" s="144" t="b">
        <f>AND(E109&lt;&gt;"",E109&lt;H129,E109=H129)</f>
        <v>0</v>
      </c>
      <c r="P129" s="144" t="b">
        <f>AND(E110&lt;&gt;"",E110&lt;H129,E110=H129)</f>
        <v>0</v>
      </c>
      <c r="Q129" s="144" t="b">
        <f>AND(E111&lt;&gt;"",E111&lt;H129,E111=H129)</f>
        <v>0</v>
      </c>
      <c r="R129" s="144" t="b">
        <f>AND(E112&lt;&gt;"",E112&lt;H129,E112=H129)</f>
        <v>0</v>
      </c>
      <c r="S129" s="144" t="b">
        <f>AND(E113&lt;&gt;"",E113&lt;H129,E113=H129)</f>
        <v>0</v>
      </c>
      <c r="T129" s="144" t="b">
        <f>AND(E114&lt;&gt;"",E114&lt;H129,E114=H129)</f>
        <v>0</v>
      </c>
      <c r="U129" s="144" t="b">
        <f>AND(E115&lt;&gt;"",E115&lt;H129,E115=H129)</f>
        <v>0</v>
      </c>
      <c r="V129" s="144" t="b">
        <f>AND(E116&lt;&gt;"",E116&lt;H129,E116=H129)</f>
        <v>0</v>
      </c>
      <c r="W129" s="144" t="b">
        <f>AND(E117&lt;&gt;"",E117&lt;H129,E117=H129)</f>
        <v>0</v>
      </c>
      <c r="X129" s="144" t="b">
        <f>AND(E119&lt;&gt;"",E119&lt;H129,E119=H129)</f>
        <v>0</v>
      </c>
      <c r="Y129" s="144" t="b">
        <f>AND(E120&lt;&gt;"",E120&lt;H129,E120=H129)</f>
        <v>0</v>
      </c>
      <c r="Z129" s="144" t="b">
        <f>AND(E121&lt;&gt;"",E121&lt;H129,E121=H129)</f>
        <v>0</v>
      </c>
      <c r="AA129" s="144" t="b">
        <f>AND(E122&lt;&gt;"",E122&lt;H129,E122=H129)</f>
        <v>0</v>
      </c>
      <c r="AB129" s="144" t="b">
        <f>AND(E123&lt;&gt;"",E123&lt;H129,E123=H129)</f>
        <v>0</v>
      </c>
      <c r="AC129" s="144" t="b">
        <f>AND(E124&lt;&gt;"",E124&lt;H129,E124=H129)</f>
        <v>0</v>
      </c>
      <c r="AD129" s="144" t="b">
        <f>AND(E125&lt;&gt;"",E125&lt;H129,E125=H129)</f>
        <v>0</v>
      </c>
      <c r="AE129" s="144" t="b">
        <f>AND(E126&lt;&gt;"",E126&lt;H129,E126=H129)</f>
        <v>0</v>
      </c>
      <c r="AF129" s="144" t="b">
        <f>AND(E127&lt;&gt;"",E127&lt;H129,E127=H129)</f>
        <v>0</v>
      </c>
      <c r="AG129" s="144" t="b">
        <f>AND(F103&lt;&gt;"",F103&lt;H129,F103=H129)</f>
        <v>0</v>
      </c>
      <c r="AH129" s="144" t="b">
        <f>AND(F104&lt;&gt;"",F104&lt;H129,F104=H129)</f>
        <v>0</v>
      </c>
      <c r="AI129" s="144" t="b">
        <f>AND(F105&lt;&gt;"",F105&lt;H129,F105=H129)</f>
        <v>0</v>
      </c>
      <c r="AJ129" s="144" t="b">
        <f>AND(F106&lt;&gt;"",F106&lt;H129,F106=H129)</f>
        <v>0</v>
      </c>
      <c r="AK129" s="144" t="b">
        <f>AND(F107&lt;&gt;"",F107&lt;H129,F107=H129)</f>
        <v>0</v>
      </c>
      <c r="AL129" s="144" t="b">
        <f>AND(F108&lt;&gt;"",F108&lt;H129,F108=H129)</f>
        <v>0</v>
      </c>
      <c r="AM129" s="144" t="b">
        <f>AND(F109&lt;&gt;"",F109&lt;H129,F109=H129)</f>
        <v>0</v>
      </c>
      <c r="AN129" s="144" t="b">
        <f>AND(F110&lt;&gt;"",F110&lt;H129,F110=H129)</f>
        <v>0</v>
      </c>
      <c r="AO129" s="144" t="b">
        <f>AND(F111&lt;&gt;"",F111&lt;H129,F111=H129)</f>
        <v>0</v>
      </c>
      <c r="AP129" s="144" t="b">
        <f>AND(F112&lt;&gt;"",F112&lt;H129,F112=H129)</f>
        <v>0</v>
      </c>
      <c r="AQ129" s="144" t="b">
        <f>AND(F113&lt;&gt;"",F113&lt;H129,F113=H129)</f>
        <v>0</v>
      </c>
      <c r="AR129" s="144" t="b">
        <f>AND(F114&lt;&gt;"",F114&lt;H129,F114=H129)</f>
        <v>0</v>
      </c>
      <c r="AS129" s="144" t="b">
        <f>AND(F115&lt;&gt;"",F115&lt;H129,F115=H129)</f>
        <v>0</v>
      </c>
      <c r="AT129" s="144" t="b">
        <f>AND(F116&lt;&gt;"",F116&lt;H129,F116=H129)</f>
        <v>0</v>
      </c>
      <c r="AU129" s="144" t="b">
        <f>AND(F117&lt;&gt;"",F117&lt;H129,F117=H129)</f>
        <v>0</v>
      </c>
      <c r="AV129" s="144" t="b">
        <f>AND(F118&lt;&gt;"",F118&lt;H129,F118=H129)</f>
        <v>0</v>
      </c>
      <c r="AW129" s="144" t="b">
        <f>AND(F119&lt;&gt;"",F119&lt;H129,F119=H129)</f>
        <v>0</v>
      </c>
      <c r="AX129" s="144" t="b">
        <f>AND(F120&lt;&gt;"",F120&lt;H129,F120=H129)</f>
        <v>0</v>
      </c>
      <c r="AY129" s="144" t="b">
        <f>AND(F121&lt;&gt;"",F121&lt;H129,F121=H129)</f>
        <v>0</v>
      </c>
      <c r="AZ129" s="144" t="b">
        <f>AND(F122&lt;&gt;"",F122&lt;H129,F122=H129)</f>
        <v>0</v>
      </c>
      <c r="BA129" s="144" t="b">
        <f>AND(F123&lt;&gt;"",F123&lt;H129,F123=H129)</f>
        <v>0</v>
      </c>
      <c r="BB129" s="144" t="b">
        <f>AND(F124&lt;&gt;"",F124&lt;H129,F124=H129)</f>
        <v>0</v>
      </c>
      <c r="BC129" s="144" t="b">
        <f>AND(F125&lt;&gt;"",F125&lt;H129,F125=H129)</f>
        <v>0</v>
      </c>
      <c r="BD129" s="144" t="b">
        <f>AND(F126&lt;&gt;"",F126&lt;H129,F126=H129)</f>
        <v>0</v>
      </c>
      <c r="BE129" s="144" t="b">
        <f>AND(F127&lt;&gt;"",F127&lt;&gt;" ",F127&lt;H129,F127=H129)</f>
        <v>0</v>
      </c>
      <c r="BF129" s="144">
        <f t="shared" ref="BF129:BF149" si="6">COUNTIF(I129:BE129,TRUE)</f>
        <v>0</v>
      </c>
    </row>
    <row r="130" spans="1:58" s="125" customFormat="1" ht="12.95" customHeight="1">
      <c r="A130" s="144">
        <f>IF(F105="",0,IF(F105&gt;H102,1,0))</f>
        <v>0</v>
      </c>
      <c r="B130" s="144">
        <f>IF(F105="",0,IF(F105&lt;H104,1,0))</f>
        <v>0</v>
      </c>
      <c r="C130" s="144"/>
      <c r="D130" s="144"/>
      <c r="E130" s="199">
        <f>ABS(H103-H116)</f>
        <v>0</v>
      </c>
      <c r="F130" s="125" t="e">
        <f>AND((H103-(3*H112))&lt;(H103-(ABS(E131)/3)),(H103-(3*H112))&gt;(H103-(ABS(E131)/2)))</f>
        <v>#DIV/0!</v>
      </c>
      <c r="G130" s="217" t="e">
        <f>IF(F130=FALSE,(H103-(ABS(E131)/2)),"3 Sigmas")</f>
        <v>#DIV/0!</v>
      </c>
      <c r="H130" s="199">
        <f>(H103-(ABS(E131)/2))</f>
        <v>0</v>
      </c>
      <c r="I130" s="144" t="b">
        <f>AND(E103&lt;&gt;"",E103&lt;&gt;" ",E103&gt;H129,E103&lt;=H130)</f>
        <v>0</v>
      </c>
      <c r="J130" s="144" t="b">
        <f>AND(E104&lt;&gt;"",E104&gt;H129,E104&lt;=H130)</f>
        <v>0</v>
      </c>
      <c r="K130" s="144" t="b">
        <f>AND(E105&lt;&gt;"",E105&gt;H129,E105&lt;=H130)</f>
        <v>0</v>
      </c>
      <c r="L130" s="144" t="b">
        <f>AND(E106&lt;&gt;"",E106&gt;H129,E106&lt;=H130)</f>
        <v>0</v>
      </c>
      <c r="M130" s="144" t="b">
        <f>AND(E107&lt;&gt;"",E107&gt;H129,E107&lt;=H130)</f>
        <v>0</v>
      </c>
      <c r="N130" s="144" t="b">
        <f>AND(E108&lt;&gt;"",E108&gt;H129,E108&lt;=H130)</f>
        <v>0</v>
      </c>
      <c r="O130" s="144" t="b">
        <f>AND(E109&lt;&gt;"",E109&gt;H129,E109&lt;=H130)</f>
        <v>0</v>
      </c>
      <c r="P130" s="144" t="b">
        <f>AND(E110&lt;&gt;"",E110&gt;H129,E110&lt;=H130)</f>
        <v>0</v>
      </c>
      <c r="Q130" s="144" t="b">
        <f>AND(E111&lt;&gt;"",E111&gt;H129,E111&lt;=H130)</f>
        <v>0</v>
      </c>
      <c r="R130" s="144" t="b">
        <f>AND(E112&lt;&gt;"",E112&gt;H129,E112&lt;=H130)</f>
        <v>0</v>
      </c>
      <c r="S130" s="144" t="b">
        <f>AND(E113&lt;&gt;"",E113&gt;H129,E113&lt;=H130)</f>
        <v>0</v>
      </c>
      <c r="T130" s="144" t="b">
        <f>AND(E114&lt;&gt;"",E114&gt;H129,E114&lt;=H130)</f>
        <v>0</v>
      </c>
      <c r="U130" s="144" t="b">
        <f>AND(E115&lt;&gt;"",E115&gt;H129,E115&lt;=H130)</f>
        <v>0</v>
      </c>
      <c r="V130" s="144" t="b">
        <f>AND(E116&lt;&gt;"",E116&gt;H129,E116&lt;=H130)</f>
        <v>0</v>
      </c>
      <c r="W130" s="144" t="b">
        <f>AND(E117&lt;&gt;"",E117&gt;H129,E117&lt;=H130)</f>
        <v>0</v>
      </c>
      <c r="X130" s="144" t="b">
        <f>AND(E119&lt;&gt;"",E119&gt;H129,E119&lt;=H130)</f>
        <v>0</v>
      </c>
      <c r="Y130" s="144" t="b">
        <f>AND(E120&lt;&gt;"",E120&gt;H129,E120&lt;=H130)</f>
        <v>0</v>
      </c>
      <c r="Z130" s="144" t="b">
        <f>AND(E121&lt;&gt;"",E121&gt;H129,E121&lt;=H130)</f>
        <v>0</v>
      </c>
      <c r="AA130" s="144" t="b">
        <f>AND(E122&lt;&gt;"",E122&gt;H129,E122&lt;=H130)</f>
        <v>0</v>
      </c>
      <c r="AB130" s="144" t="b">
        <f>AND(E123&lt;&gt;"",E123&gt;H129,E123&lt;=H130)</f>
        <v>0</v>
      </c>
      <c r="AC130" s="144" t="b">
        <f>AND(E124&lt;&gt;"",E124&gt;H129,E124&lt;=H130)</f>
        <v>0</v>
      </c>
      <c r="AD130" s="144" t="b">
        <f>AND(E125&lt;&gt;"",E125&gt;H129,E125&lt;=H130)</f>
        <v>0</v>
      </c>
      <c r="AE130" s="144" t="b">
        <f>AND(E126&lt;&gt;"",E126&gt;H129,E126&lt;=H130)</f>
        <v>0</v>
      </c>
      <c r="AF130" s="144" t="b">
        <f>AND(E127&lt;&gt;"",E127&gt;H129,E127&lt;=H130)</f>
        <v>0</v>
      </c>
      <c r="AG130" s="144" t="b">
        <f>AND(F103&lt;&gt;"",F103&gt;H129,F103&lt;=H130)</f>
        <v>0</v>
      </c>
      <c r="AH130" s="144" t="b">
        <f>AND(F104&lt;&gt;"",F104&gt;H129,F104&lt;=H130)</f>
        <v>0</v>
      </c>
      <c r="AI130" s="144" t="b">
        <f>AND(F105&lt;&gt;"",F105&gt;H129,F105&lt;=H130)</f>
        <v>0</v>
      </c>
      <c r="AJ130" s="144" t="b">
        <f>AND(F106&lt;&gt;"",F106&gt;=H129,F106&lt;=H130)</f>
        <v>0</v>
      </c>
      <c r="AK130" s="144" t="b">
        <f>AND(F107&lt;&gt;"",F107&gt;H129,F107&lt;=H130)</f>
        <v>0</v>
      </c>
      <c r="AL130" s="144" t="b">
        <f>AND(F108&lt;&gt;"",F108&gt;H129,F108&lt;=H130)</f>
        <v>0</v>
      </c>
      <c r="AM130" s="144" t="b">
        <f>AND(F109&lt;&gt;"",F109&gt;H129,F109&lt;=H130)</f>
        <v>0</v>
      </c>
      <c r="AN130" s="144" t="b">
        <f>AND(F110&lt;&gt;"",F110&gt;H129,F110&lt;=H130)</f>
        <v>0</v>
      </c>
      <c r="AO130" s="144" t="b">
        <f>AND(F111&lt;&gt;"",F111&gt;H129,F111&lt;=H130)</f>
        <v>0</v>
      </c>
      <c r="AP130" s="144" t="b">
        <f>AND(F112&lt;&gt;"",F112&gt;H129,F112&lt;=H130)</f>
        <v>0</v>
      </c>
      <c r="AQ130" s="144" t="b">
        <f>AND(F113&lt;&gt;"",F113&gt;H129,F113&lt;=H130)</f>
        <v>0</v>
      </c>
      <c r="AR130" s="144" t="b">
        <f>AND(F114&lt;&gt;"",F114&gt;H129,F114&lt;=H130)</f>
        <v>0</v>
      </c>
      <c r="AS130" s="144" t="b">
        <f>AND(F115&lt;&gt;"",F115&gt;H129,F115&lt;=H130)</f>
        <v>0</v>
      </c>
      <c r="AT130" s="144" t="b">
        <f>AND(F116&lt;&gt;"",F116&gt;H129,F116&lt;=H130)</f>
        <v>0</v>
      </c>
      <c r="AU130" s="144" t="b">
        <f>AND(F117&lt;&gt;"",F117&gt;H129,F117&lt;=H130)</f>
        <v>0</v>
      </c>
      <c r="AV130" s="144" t="b">
        <f>AND(F118&lt;&gt;"",F118&gt;H129,F118&lt;=H130)</f>
        <v>0</v>
      </c>
      <c r="AW130" s="144" t="b">
        <f>AND(F119&lt;&gt;"",F119&gt;H129,F119&lt;=H130)</f>
        <v>0</v>
      </c>
      <c r="AX130" s="144" t="b">
        <f>AND(F120&lt;&gt;"",F120&gt;H129,F120&lt;=H130)</f>
        <v>0</v>
      </c>
      <c r="AY130" s="144" t="b">
        <f>AND(F121&lt;&gt;"",F121&gt;H129,F121&lt;=H130)</f>
        <v>0</v>
      </c>
      <c r="AZ130" s="144" t="b">
        <f>AND(F122&lt;&gt;"",F122&gt;H129,F122&lt;=H130)</f>
        <v>0</v>
      </c>
      <c r="BA130" s="144" t="b">
        <f>AND(F123&lt;&gt;"",F123&gt;H129,F123&lt;=H130)</f>
        <v>0</v>
      </c>
      <c r="BB130" s="144" t="b">
        <f>AND(F124&lt;&gt;"",F124&gt;H129,F124&lt;=H130)</f>
        <v>0</v>
      </c>
      <c r="BC130" s="144" t="b">
        <f>AND(F125&lt;&gt;"",F125&gt;H129,F125&lt;=H130)</f>
        <v>0</v>
      </c>
      <c r="BD130" s="144" t="b">
        <f>AND(F126&lt;&gt;"",F126&gt;H129,F126&lt;=H130)</f>
        <v>0</v>
      </c>
      <c r="BE130" s="144" t="b">
        <f>AND(F127&lt;&gt;"",F127&lt;&gt;" ",F127&gt;H129,F127&lt;=H130)</f>
        <v>0</v>
      </c>
      <c r="BF130" s="144">
        <f t="shared" si="6"/>
        <v>0</v>
      </c>
    </row>
    <row r="131" spans="1:58" s="125" customFormat="1" ht="12.95" customHeight="1">
      <c r="A131" s="144">
        <f>IF(F106="",0,IF(F106&gt;H102,1,0))</f>
        <v>0</v>
      </c>
      <c r="B131" s="144">
        <f>IF(F106="",0,IF(F106&lt;H104,1,0))</f>
        <v>0</v>
      </c>
      <c r="C131" s="144"/>
      <c r="D131" s="144"/>
      <c r="E131" s="199">
        <f>(H102-H103)*5</f>
        <v>0</v>
      </c>
      <c r="F131" s="125" t="e">
        <f>AND((H103-(3*H112))&lt;(H103-(ABS(E131)/4)),(H103-(3*H112))&gt;(H103-(ABS(E131)/3)))</f>
        <v>#DIV/0!</v>
      </c>
      <c r="G131" s="217" t="e">
        <f>IF(F131=FALSE,(H103-(ABS(E131)/3)),"3 Sigmas")</f>
        <v>#DIV/0!</v>
      </c>
      <c r="H131" s="199">
        <f>(H103-(ABS(E131)/3))</f>
        <v>0</v>
      </c>
      <c r="I131" s="144" t="b">
        <f>AND(E103&lt;&gt;"",E103&lt;&gt;" ",E103&gt;H130,E103&lt;=H131)</f>
        <v>0</v>
      </c>
      <c r="J131" s="144" t="b">
        <f>AND(E104&lt;&gt;"",E104&gt;H130,E104&lt;=H131)</f>
        <v>0</v>
      </c>
      <c r="K131" s="144" t="b">
        <f>AND(E105&lt;&gt;"",E105&gt;H130,E105&lt;=H131)</f>
        <v>0</v>
      </c>
      <c r="L131" s="144" t="b">
        <f>AND(E106&lt;&gt;"",E106&gt;H130,E106&lt;=H131)</f>
        <v>0</v>
      </c>
      <c r="M131" s="144" t="b">
        <f>AND(E107&lt;&gt;"",E107&gt;H130,E107&lt;=H131)</f>
        <v>0</v>
      </c>
      <c r="N131" s="144" t="b">
        <f>AND(E108&lt;&gt;"",E108&gt;H130,E108&lt;=H131)</f>
        <v>0</v>
      </c>
      <c r="O131" s="144" t="b">
        <f>AND(E109&lt;&gt;"",E109&gt;H130,E109&lt;=H131)</f>
        <v>0</v>
      </c>
      <c r="P131" s="144" t="b">
        <f>AND(E110&lt;&gt;"",E110&gt;H130,E110&lt;=H131)</f>
        <v>0</v>
      </c>
      <c r="Q131" s="144" t="b">
        <f>AND(E111&lt;&gt;"",E111&gt;H130,E111&lt;=H131)</f>
        <v>0</v>
      </c>
      <c r="R131" s="144" t="b">
        <f>AND(E112&lt;&gt;"",E112&gt;H130,E112&lt;=H131)</f>
        <v>0</v>
      </c>
      <c r="S131" s="144" t="b">
        <f>AND(E113&lt;&gt;"",E113&gt;H130,E113&lt;=H131)</f>
        <v>0</v>
      </c>
      <c r="T131" s="144" t="b">
        <f>AND(E114&lt;&gt;"",E114&gt;H130,E114&lt;=H131)</f>
        <v>0</v>
      </c>
      <c r="U131" s="144" t="b">
        <f>AND(E115&lt;&gt;"",E115&gt;H130,E115&lt;=H131)</f>
        <v>0</v>
      </c>
      <c r="V131" s="144" t="b">
        <f>AND(E116&lt;&gt;"",E116&gt;H130,E116&lt;=H131)</f>
        <v>0</v>
      </c>
      <c r="W131" s="144" t="b">
        <f>AND(E117&lt;&gt;"",E117&gt;H130,E117&lt;=H131)</f>
        <v>0</v>
      </c>
      <c r="X131" s="144" t="b">
        <f>AND(E119&lt;&gt;"",E119&gt;H130,E119&lt;=H131)</f>
        <v>0</v>
      </c>
      <c r="Y131" s="144" t="b">
        <f>AND(E120&lt;&gt;"",E120&gt;H130,E120&lt;=H131)</f>
        <v>0</v>
      </c>
      <c r="Z131" s="144" t="b">
        <f>AND(E121&lt;&gt;"",E121&gt;H130,E121&lt;=H131)</f>
        <v>0</v>
      </c>
      <c r="AA131" s="144" t="b">
        <f>AND(E122&lt;&gt;"",E122&gt;H130,E122&lt;=H131)</f>
        <v>0</v>
      </c>
      <c r="AB131" s="144" t="b">
        <f>AND(E123&lt;&gt;"",E123&gt;H130,E123&lt;=H131)</f>
        <v>0</v>
      </c>
      <c r="AC131" s="144" t="b">
        <f>AND(E124&lt;&gt;"",E124&gt;H130,E124&lt;=H131)</f>
        <v>0</v>
      </c>
      <c r="AD131" s="144" t="b">
        <f>AND(E125&lt;&gt;"",E125&gt;H130,E125&lt;=H131)</f>
        <v>0</v>
      </c>
      <c r="AE131" s="144" t="b">
        <f>AND(E126&lt;&gt;"",E126&gt;H130,E126&lt;=H131)</f>
        <v>0</v>
      </c>
      <c r="AF131" s="144" t="b">
        <f>AND(E127&lt;&gt;"",E127&gt;H130,E127&lt;=H131)</f>
        <v>0</v>
      </c>
      <c r="AG131" s="144" t="b">
        <f>AND(F103&lt;&gt;"",F103&gt;H130,F103&lt;=H131)</f>
        <v>0</v>
      </c>
      <c r="AH131" s="144" t="b">
        <f>AND(F104&lt;&gt;"",F104&gt;H130,F104&lt;=H131)</f>
        <v>0</v>
      </c>
      <c r="AI131" s="144" t="b">
        <f>AND(F105&lt;&gt;"",F105&gt;H130,F105&lt;=H131)</f>
        <v>0</v>
      </c>
      <c r="AJ131" s="144" t="b">
        <f>AND(F106&lt;&gt;"",F106&gt;H130,F106&lt;=H131)</f>
        <v>0</v>
      </c>
      <c r="AK131" s="144" t="b">
        <f>AND(F107&lt;&gt;"",F107&gt;H130,F107&lt;=H131)</f>
        <v>0</v>
      </c>
      <c r="AL131" s="144" t="b">
        <f>AND(F108&lt;&gt;"",F108&gt;H130,F108&lt;=H131)</f>
        <v>0</v>
      </c>
      <c r="AM131" s="144" t="b">
        <f>AND(F109&lt;&gt;"",F109&gt;H130,F109&lt;=H131)</f>
        <v>0</v>
      </c>
      <c r="AN131" s="144" t="b">
        <f>AND(F110&lt;&gt;"",F110&gt;H130,F110&lt;=H131)</f>
        <v>0</v>
      </c>
      <c r="AO131" s="144" t="b">
        <f>AND(F111&lt;&gt;"",F111&gt;H130,F111&lt;=H131)</f>
        <v>0</v>
      </c>
      <c r="AP131" s="144" t="b">
        <f>AND(F112&lt;&gt;"",F112&gt;H130,F112&lt;=H131)</f>
        <v>0</v>
      </c>
      <c r="AQ131" s="144" t="b">
        <f>AND(F113&lt;&gt;"",F113&gt;H130,F113&lt;=H131)</f>
        <v>0</v>
      </c>
      <c r="AR131" s="144" t="b">
        <f>AND(F114&lt;&gt;"",F114&gt;H130,F114&lt;=H131)</f>
        <v>0</v>
      </c>
      <c r="AS131" s="144" t="b">
        <f>AND(F115&lt;&gt;"",F115&gt;H130,F115&lt;=H131)</f>
        <v>0</v>
      </c>
      <c r="AT131" s="144" t="b">
        <f>AND(F116&lt;&gt;"",F116&gt;H130,F116&lt;=H131)</f>
        <v>0</v>
      </c>
      <c r="AU131" s="144" t="b">
        <f>AND(F117&lt;&gt;"",F117&gt;H130,F117&lt;=H131)</f>
        <v>0</v>
      </c>
      <c r="AV131" s="144" t="b">
        <f>AND(F118&lt;&gt;"",F118&gt;H130,F118&lt;=H131)</f>
        <v>0</v>
      </c>
      <c r="AW131" s="144" t="b">
        <f>AND(F119&lt;&gt;"",F119&gt;H130,F119&lt;=H131)</f>
        <v>0</v>
      </c>
      <c r="AX131" s="144" t="b">
        <f>AND(F120&lt;&gt;"",F120&gt;H130,F120&lt;=H131)</f>
        <v>0</v>
      </c>
      <c r="AY131" s="144" t="b">
        <f>AND(F121&lt;&gt;"",F121&gt;H130,F121&lt;=H131)</f>
        <v>0</v>
      </c>
      <c r="AZ131" s="144" t="b">
        <f>AND(F122&lt;&gt;"",F122&gt;H130,F122&lt;=H131)</f>
        <v>0</v>
      </c>
      <c r="BA131" s="144" t="b">
        <f>AND(F123&lt;&gt;"",F123&gt;H130,F123&lt;=H131)</f>
        <v>0</v>
      </c>
      <c r="BB131" s="144" t="b">
        <f>AND(F124&lt;&gt;"",F124&gt;H130,F124&lt;=H131)</f>
        <v>0</v>
      </c>
      <c r="BC131" s="144" t="b">
        <f>AND(F125&lt;&gt;"",F125&gt;H130,F125&lt;=H131)</f>
        <v>0</v>
      </c>
      <c r="BD131" s="144" t="b">
        <f>AND(F126&lt;&gt;"",F126&gt;H130,F126&lt;=H131)</f>
        <v>0</v>
      </c>
      <c r="BE131" s="144" t="b">
        <f>AND(F127&lt;&gt;"",F127&lt;&gt;" ",F127&gt;H130,F127&lt;=H131)</f>
        <v>0</v>
      </c>
      <c r="BF131" s="144">
        <f t="shared" si="6"/>
        <v>0</v>
      </c>
    </row>
    <row r="132" spans="1:58" s="125" customFormat="1" ht="12.95" customHeight="1">
      <c r="A132" s="144">
        <f>IF(F107="",0,IF(F107&gt;H102,1,0))</f>
        <v>0</v>
      </c>
      <c r="B132" s="144">
        <f>IF(F107="",0,IF(F107&lt;H104,1,0))</f>
        <v>0</v>
      </c>
      <c r="C132" s="144"/>
      <c r="D132" s="144"/>
      <c r="E132" s="199">
        <f>(H103-H104)*5</f>
        <v>0</v>
      </c>
      <c r="F132" s="125" t="e">
        <f>AND((H103-(3*H112))&lt;(H103-(ABS(E131)/5)),(H103-(3*H112))&gt;(H103-(ABS(E131)/4)))</f>
        <v>#DIV/0!</v>
      </c>
      <c r="G132" s="217" t="e">
        <f>IF(F132=FALSE,(H103-(ABS(E131)/4)),"3 Sigmas")</f>
        <v>#DIV/0!</v>
      </c>
      <c r="H132" s="199">
        <f>(H103-(ABS(E131)/4))</f>
        <v>0</v>
      </c>
      <c r="I132" s="144" t="b">
        <f>AND(E103&lt;&gt;"",E103&lt;&gt;" ",E103&gt;H131,E103&lt;=H132)</f>
        <v>0</v>
      </c>
      <c r="J132" s="144" t="b">
        <f>AND(E104&lt;&gt;"",E104&gt;H131,E104&lt;=H132)</f>
        <v>0</v>
      </c>
      <c r="K132" s="144" t="b">
        <f>AND(E105&lt;&gt;"",E105&gt;H131,E105&lt;=H132)</f>
        <v>0</v>
      </c>
      <c r="L132" s="144" t="b">
        <f>AND(E106&lt;&gt;"",E106&gt;H131,E106&lt;=H132)</f>
        <v>0</v>
      </c>
      <c r="M132" s="144" t="b">
        <f>AND(E107&lt;&gt;"",E107&gt;H131,E107&lt;=H132)</f>
        <v>0</v>
      </c>
      <c r="N132" s="144" t="b">
        <f>AND(E108&lt;&gt;"",E108&gt;H131,E108&lt;=H132)</f>
        <v>0</v>
      </c>
      <c r="O132" s="144" t="b">
        <f>AND(E109&lt;&gt;"",E109&gt;H131,E109&lt;=H132)</f>
        <v>0</v>
      </c>
      <c r="P132" s="144" t="b">
        <f>AND(E110&lt;&gt;"",E110&gt;H131,E110&lt;=H132)</f>
        <v>0</v>
      </c>
      <c r="Q132" s="144" t="b">
        <f>AND(E111&lt;&gt;"",E111&gt;H131,E111&lt;=H132)</f>
        <v>0</v>
      </c>
      <c r="R132" s="144" t="b">
        <f>AND(E112&lt;&gt;"",E112&gt;H131,E112&lt;=H132)</f>
        <v>0</v>
      </c>
      <c r="S132" s="144" t="b">
        <f>AND(E113&lt;&gt;"",E113&gt;H131,E113&lt;=H132)</f>
        <v>0</v>
      </c>
      <c r="T132" s="144" t="b">
        <f>AND(E114&lt;&gt;"",E114&gt;H131,E114&lt;=H132)</f>
        <v>0</v>
      </c>
      <c r="U132" s="144" t="b">
        <f>AND(E115&lt;&gt;"",E115&gt;H131,E115&lt;=H132)</f>
        <v>0</v>
      </c>
      <c r="V132" s="144" t="b">
        <f>AND(E116&lt;&gt;"",E116&gt;H131,E116&lt;=H132)</f>
        <v>0</v>
      </c>
      <c r="W132" s="144" t="b">
        <f>AND(E117&lt;&gt;"",E117&gt;H131,E117&lt;=H132)</f>
        <v>0</v>
      </c>
      <c r="X132" s="144" t="b">
        <f>AND(E119&lt;&gt;"",E119&gt;H131,E119&lt;=H132)</f>
        <v>0</v>
      </c>
      <c r="Y132" s="144" t="b">
        <f>AND(E120&lt;&gt;"",E120&gt;H131,E120&lt;=H132)</f>
        <v>0</v>
      </c>
      <c r="Z132" s="144" t="b">
        <f>AND(E121&lt;&gt;"",E121&gt;H131,E121&lt;=H132)</f>
        <v>0</v>
      </c>
      <c r="AA132" s="144" t="b">
        <f>AND(E122&lt;&gt;"",E122&gt;H131,E122&lt;=H132)</f>
        <v>0</v>
      </c>
      <c r="AB132" s="144" t="b">
        <f>AND(E123&lt;&gt;"",E123&gt;H131,E123&lt;=H132)</f>
        <v>0</v>
      </c>
      <c r="AC132" s="144" t="b">
        <f>AND(E124&lt;&gt;"",E124&gt;H131,E124&lt;=H132)</f>
        <v>0</v>
      </c>
      <c r="AD132" s="144" t="b">
        <f>AND(E125&lt;&gt;"",E125&gt;H131,E125&lt;=H132)</f>
        <v>0</v>
      </c>
      <c r="AE132" s="144" t="b">
        <f>AND(E126&lt;&gt;"",E126&gt;H131,E126&lt;=H132)</f>
        <v>0</v>
      </c>
      <c r="AF132" s="144" t="b">
        <f>AND(E127&lt;&gt;"",E127&gt;H131,E127&lt;=H132)</f>
        <v>0</v>
      </c>
      <c r="AG132" s="144" t="b">
        <f>AND(F103&lt;&gt;"",F103&gt;H131,F103&lt;=H132)</f>
        <v>0</v>
      </c>
      <c r="AH132" s="144" t="b">
        <f>AND(F104&lt;&gt;"",F104&gt;H131,F104&lt;=H132)</f>
        <v>0</v>
      </c>
      <c r="AI132" s="144" t="b">
        <f>AND(F105&lt;&gt;"",F105&gt;H131,F105&lt;=H132)</f>
        <v>0</v>
      </c>
      <c r="AJ132" s="144" t="b">
        <f>AND(F106&lt;&gt;"",F106&gt;H131,F106&lt;=H132)</f>
        <v>0</v>
      </c>
      <c r="AK132" s="144" t="b">
        <f>AND(F107&lt;&gt;"",F107&gt;H131,F107&lt;=H132)</f>
        <v>0</v>
      </c>
      <c r="AL132" s="144" t="b">
        <f>AND(F108&lt;&gt;"",F108&gt;H131,F108&lt;=H132)</f>
        <v>0</v>
      </c>
      <c r="AM132" s="144" t="b">
        <f>AND(F109&lt;&gt;"",F109&gt;H131,F109&lt;=H132)</f>
        <v>0</v>
      </c>
      <c r="AN132" s="144" t="b">
        <f>AND(F110&lt;&gt;"",F110&gt;H131,F110&lt;=H132)</f>
        <v>0</v>
      </c>
      <c r="AO132" s="144" t="b">
        <f>AND(F111&lt;&gt;"",F111&gt;H131,F111&lt;=H132)</f>
        <v>0</v>
      </c>
      <c r="AP132" s="144" t="b">
        <f>AND(F112&lt;&gt;"",F112&gt;H131,F112&lt;=H132)</f>
        <v>0</v>
      </c>
      <c r="AQ132" s="144" t="b">
        <f>AND(F113&lt;&gt;"",F113&gt;H131,F113&lt;=H132)</f>
        <v>0</v>
      </c>
      <c r="AR132" s="144" t="b">
        <f>AND(F114&lt;&gt;"",F114&gt;H131,F114&lt;=H132)</f>
        <v>0</v>
      </c>
      <c r="AS132" s="144" t="b">
        <f>AND(F115&lt;&gt;"",F115&gt;H131,F115&lt;=H132)</f>
        <v>0</v>
      </c>
      <c r="AT132" s="144" t="b">
        <f>AND(F116&lt;&gt;"",F116&gt;H131,F116&lt;=H132)</f>
        <v>0</v>
      </c>
      <c r="AU132" s="144" t="b">
        <f>AND(F117&lt;&gt;"",F117&gt;H131,F117&lt;=H132)</f>
        <v>0</v>
      </c>
      <c r="AV132" s="144" t="b">
        <f>AND(F118&lt;&gt;"",F118&gt;H131,F118&lt;=H132)</f>
        <v>0</v>
      </c>
      <c r="AW132" s="144" t="b">
        <f>AND(F119&lt;&gt;"",F119&gt;H131,F119&lt;=H132)</f>
        <v>0</v>
      </c>
      <c r="AX132" s="144" t="b">
        <f>AND(F120&lt;&gt;"",F120&gt;H131,F120&lt;=H132)</f>
        <v>0</v>
      </c>
      <c r="AY132" s="144" t="b">
        <f>AND(F121&lt;&gt;"",F121&gt;H131,F121&lt;=H132)</f>
        <v>0</v>
      </c>
      <c r="AZ132" s="144" t="b">
        <f>AND(F122&lt;&gt;"",F122&gt;H131,F122&lt;=H132)</f>
        <v>0</v>
      </c>
      <c r="BA132" s="144" t="b">
        <f>AND(F123&lt;&gt;"",F123&gt;H131,F123&lt;=H132)</f>
        <v>0</v>
      </c>
      <c r="BB132" s="144" t="b">
        <f>AND(F124&lt;&gt;"",F124&gt;H131,F124&lt;=H132)</f>
        <v>0</v>
      </c>
      <c r="BC132" s="144" t="b">
        <f>AND(F125&lt;&gt;"",F125&gt;H131,F125&lt;=H132)</f>
        <v>0</v>
      </c>
      <c r="BD132" s="144" t="b">
        <f>AND(F126&lt;&gt;"",F126&gt;H131,F126&lt;=H132)</f>
        <v>0</v>
      </c>
      <c r="BE132" s="144" t="b">
        <f>AND(F127&lt;&gt;"",F127&lt;&gt;" ",F127&gt;H131,F127&lt;=H132)</f>
        <v>0</v>
      </c>
      <c r="BF132" s="144">
        <f t="shared" si="6"/>
        <v>0</v>
      </c>
    </row>
    <row r="133" spans="1:58" s="125" customFormat="1" ht="12.95" customHeight="1">
      <c r="A133" s="144">
        <f>IF(F108="",0,IF(F108&gt;H102,1,0))</f>
        <v>0</v>
      </c>
      <c r="B133" s="144">
        <f>IF(F108="",0,IF(F108&lt;H104,1,0))</f>
        <v>0</v>
      </c>
      <c r="C133" s="144"/>
      <c r="D133" s="144"/>
      <c r="F133" s="125" t="e">
        <f>AND((H103-(3*H112))&lt;(H103-(ABS(E131)/6)),(H103-(3*H112))&gt;(H103-(ABS(E131)/5)))</f>
        <v>#DIV/0!</v>
      </c>
      <c r="G133" s="217" t="e">
        <f>IF(F133=FALSE,"Cote Mini","3 Sigmas")</f>
        <v>#DIV/0!</v>
      </c>
      <c r="H133" s="199">
        <f>(H103-(ABS(E131)/5))</f>
        <v>0</v>
      </c>
      <c r="I133" s="144" t="b">
        <f>AND(E103&lt;&gt;"",E103&lt;&gt;" ",E103&gt;H132,E103&lt;=H133)</f>
        <v>0</v>
      </c>
      <c r="J133" s="144" t="b">
        <f>AND(E104&lt;&gt;"",E104&gt;H132,E104&lt;=H133)</f>
        <v>0</v>
      </c>
      <c r="K133" s="144" t="b">
        <f>AND(E105&lt;&gt;"",E105&gt;H132,E105&lt;=H133)</f>
        <v>0</v>
      </c>
      <c r="L133" s="144" t="b">
        <f>AND(E106&lt;&gt;"",E106&gt;H132,E106&lt;=H133)</f>
        <v>0</v>
      </c>
      <c r="M133" s="144" t="b">
        <f>AND(E107&lt;&gt;"",E107&gt;H132,E107&lt;=H133)</f>
        <v>0</v>
      </c>
      <c r="N133" s="144" t="b">
        <f>AND(E108&lt;&gt;"",E108&gt;H132,E108&lt;=H133)</f>
        <v>0</v>
      </c>
      <c r="O133" s="144" t="b">
        <f>AND(E109&lt;&gt;"",E109&gt;H132,E109&lt;=H133)</f>
        <v>0</v>
      </c>
      <c r="P133" s="144" t="b">
        <f>AND(E110&lt;&gt;"",E110&gt;H132,E110&lt;=H133)</f>
        <v>0</v>
      </c>
      <c r="Q133" s="144" t="b">
        <f>AND(E111&lt;&gt;"",E111&gt;H132,E111&lt;=H133)</f>
        <v>0</v>
      </c>
      <c r="R133" s="144" t="b">
        <f>AND(E112&lt;&gt;"",E112&gt;H132,E112&lt;=H133)</f>
        <v>0</v>
      </c>
      <c r="S133" s="144" t="b">
        <f>AND(E113&lt;&gt;"",E113&gt;H132,E113&lt;=H133)</f>
        <v>0</v>
      </c>
      <c r="T133" s="144" t="b">
        <f>AND(E114&lt;&gt;"",E114&gt;H132,E114&lt;=H133)</f>
        <v>0</v>
      </c>
      <c r="U133" s="144" t="b">
        <f>AND(E115&lt;&gt;"",E115&gt;H132,E115&lt;=H133)</f>
        <v>0</v>
      </c>
      <c r="V133" s="144" t="b">
        <f>AND(E116&lt;&gt;"",E116&gt;H132,E116&lt;=H133)</f>
        <v>0</v>
      </c>
      <c r="W133" s="144" t="b">
        <f>AND(E117&lt;&gt;"",E117&gt;H132,E117&lt;=H133)</f>
        <v>0</v>
      </c>
      <c r="X133" s="144" t="b">
        <f>AND(E119&lt;&gt;"",E119&gt;H132,E119&lt;=H133)</f>
        <v>0</v>
      </c>
      <c r="Y133" s="144" t="b">
        <f>AND(E120&lt;&gt;"",E120&gt;H132,E120&lt;=H133)</f>
        <v>0</v>
      </c>
      <c r="Z133" s="144" t="b">
        <f>AND(E121&lt;&gt;"",E121&gt;H132,E121&lt;=H133)</f>
        <v>0</v>
      </c>
      <c r="AA133" s="144" t="b">
        <f>AND(E122&lt;&gt;"",E122&gt;H132,E122&lt;=H133)</f>
        <v>0</v>
      </c>
      <c r="AB133" s="144" t="b">
        <f>AND(E123&lt;&gt;"",E123&gt;H132,E123&lt;=H133)</f>
        <v>0</v>
      </c>
      <c r="AC133" s="144" t="b">
        <f>AND(E124&lt;&gt;"",E124&gt;H132,E124&lt;=H133)</f>
        <v>0</v>
      </c>
      <c r="AD133" s="144" t="b">
        <f>AND(E125&lt;&gt;"",E125&gt;H132,E125&lt;=H133)</f>
        <v>0</v>
      </c>
      <c r="AE133" s="144" t="b">
        <f>AND(E126&lt;&gt;"",E126&gt;H132,E126&lt;=H133)</f>
        <v>0</v>
      </c>
      <c r="AF133" s="144" t="b">
        <f>AND(E127&lt;&gt;"",E127&gt;H132,E127&lt;=H133)</f>
        <v>0</v>
      </c>
      <c r="AG133" s="144" t="b">
        <f>AND(F103&lt;&gt;"",F103&gt;H132,F103&lt;=H133)</f>
        <v>0</v>
      </c>
      <c r="AH133" s="144" t="b">
        <f>AND(F104&lt;&gt;"",F104&gt;H132,F104&lt;=H133)</f>
        <v>0</v>
      </c>
      <c r="AI133" s="144" t="b">
        <f>AND(F105&lt;&gt;"",F105&gt;H132,F105&lt;=H133)</f>
        <v>0</v>
      </c>
      <c r="AJ133" s="144" t="b">
        <f>AND(F106&lt;&gt;"",F106&gt;H132,F106&lt;=H133)</f>
        <v>0</v>
      </c>
      <c r="AK133" s="144" t="b">
        <f>AND(F107&lt;&gt;"",F107&gt;H132,F107&lt;=H133)</f>
        <v>0</v>
      </c>
      <c r="AL133" s="144" t="b">
        <f>AND(F108&lt;&gt;"",F108&gt;H132,F108&lt;=H133)</f>
        <v>0</v>
      </c>
      <c r="AM133" s="144" t="b">
        <f>AND(F109&lt;&gt;"",F109&gt;H132,F109&lt;=H133)</f>
        <v>0</v>
      </c>
      <c r="AN133" s="144" t="b">
        <f>AND(F110&lt;&gt;"",F110&gt;H132,F110&lt;=H133)</f>
        <v>0</v>
      </c>
      <c r="AO133" s="144" t="b">
        <f>AND(F111&lt;&gt;"",F111&gt;H132,F111&lt;=H133)</f>
        <v>0</v>
      </c>
      <c r="AP133" s="144" t="b">
        <f>AND(F112&lt;&gt;"",F112&gt;H132,F112&lt;=H133)</f>
        <v>0</v>
      </c>
      <c r="AQ133" s="144" t="b">
        <f>AND(F113&lt;&gt;"",F113&gt;H132,F113&lt;=H133)</f>
        <v>0</v>
      </c>
      <c r="AR133" s="144" t="b">
        <f>AND(F114&lt;&gt;"",F114&gt;H132,F114&lt;=H133)</f>
        <v>0</v>
      </c>
      <c r="AS133" s="144" t="b">
        <f>AND(F115&lt;&gt;"",F115&gt;H132,F115&lt;=H133)</f>
        <v>0</v>
      </c>
      <c r="AT133" s="144" t="b">
        <f>AND(F116&lt;&gt;"",F116&gt;H132,F116&lt;=H133)</f>
        <v>0</v>
      </c>
      <c r="AU133" s="144" t="b">
        <f>AND(F117&lt;&gt;"",F117&gt;H132,F117&lt;=H133)</f>
        <v>0</v>
      </c>
      <c r="AV133" s="144" t="b">
        <f>AND(F118&lt;&gt;"",F118&gt;H132,F118&lt;=H133)</f>
        <v>0</v>
      </c>
      <c r="AW133" s="144" t="b">
        <f>AND(F119&lt;&gt;"",F119&gt;H132,F119&lt;=H133)</f>
        <v>0</v>
      </c>
      <c r="AX133" s="144" t="b">
        <f>AND(F120&lt;&gt;"",F120&gt;H132,F120&lt;=H133)</f>
        <v>0</v>
      </c>
      <c r="AY133" s="144" t="b">
        <f>AND(F121&lt;&gt;"",F121&gt;H132,F121&lt;=H133)</f>
        <v>0</v>
      </c>
      <c r="AZ133" s="144" t="b">
        <f>AND(F122&lt;&gt;"",F122&gt;H132,F122&lt;=H133)</f>
        <v>0</v>
      </c>
      <c r="BA133" s="144" t="b">
        <f>AND(F123&lt;&gt;"",F123&gt;H132,F123&lt;=H133)</f>
        <v>0</v>
      </c>
      <c r="BB133" s="144" t="b">
        <f>AND(F124&lt;&gt;"",F124&gt;H132,F124&lt;=H133)</f>
        <v>0</v>
      </c>
      <c r="BC133" s="144" t="b">
        <f>AND(F125&lt;&gt;"",F125&gt;H132,F125&lt;=H133)</f>
        <v>0</v>
      </c>
      <c r="BD133" s="144" t="b">
        <f>AND(F126&lt;&gt;"",F126&gt;H132,F126&lt;=H133)</f>
        <v>0</v>
      </c>
      <c r="BE133" s="144" t="b">
        <f>AND(F127&lt;&gt;"",F127&lt;&gt;"",F127&gt;H132,F127&lt;=H133)</f>
        <v>0</v>
      </c>
      <c r="BF133" s="144">
        <f t="shared" si="6"/>
        <v>0</v>
      </c>
    </row>
    <row r="134" spans="1:58" s="125" customFormat="1" ht="12.95" customHeight="1">
      <c r="A134" s="144">
        <f>IF(F109="",0,IF(F109&gt;H102,1,0))</f>
        <v>0</v>
      </c>
      <c r="B134" s="144">
        <f>IF(F109="",0,IF(F109&lt;H104,1,0))</f>
        <v>0</v>
      </c>
      <c r="C134" s="144"/>
      <c r="D134" s="144"/>
      <c r="F134" s="125" t="e">
        <f>AND((H103-(3*H112))&lt;(H103-(ABS(E131)/7)),(H103-(3*H112))&gt;(H103-(ABS(E131)/6)))</f>
        <v>#DIV/0!</v>
      </c>
      <c r="G134" s="217" t="e">
        <f>IF(F134=FALSE,(H103-(ABS(E131)/6)),"3 Sigmas")</f>
        <v>#DIV/0!</v>
      </c>
      <c r="H134" s="199">
        <f>(H103-(ABS(E131)/6))</f>
        <v>0</v>
      </c>
      <c r="I134" s="144" t="b">
        <f>AND(E103&lt;&gt;"",E103&lt;&gt;" ",E103&gt;H133,E103&lt;=H134)</f>
        <v>0</v>
      </c>
      <c r="J134" s="144" t="b">
        <f>AND(E104&lt;&gt;"",E104&gt;H133,E104&lt;=H134)</f>
        <v>0</v>
      </c>
      <c r="K134" s="144" t="b">
        <f>AND(E105&lt;&gt;"",E105&gt;H133,E105&lt;=H134)</f>
        <v>0</v>
      </c>
      <c r="L134" s="144" t="b">
        <f>AND(E106&lt;&gt;"",E106&gt;H133,E106&lt;=H134)</f>
        <v>0</v>
      </c>
      <c r="M134" s="144" t="b">
        <f>AND(E107&lt;&gt;"",E107&gt;H133,E107&lt;=H134)</f>
        <v>0</v>
      </c>
      <c r="N134" s="144" t="b">
        <f>AND(E108&lt;&gt;"",E108&gt;H133,E108&lt;=H134)</f>
        <v>0</v>
      </c>
      <c r="O134" s="144" t="b">
        <f>AND(E109&lt;&gt;"",E109&gt;H133,E109&lt;=H134)</f>
        <v>0</v>
      </c>
      <c r="P134" s="144" t="b">
        <f>AND(E110&lt;&gt;"",E110&gt;H133,E110&lt;=H134)</f>
        <v>0</v>
      </c>
      <c r="Q134" s="144" t="b">
        <f>AND(E111&lt;&gt;"",E111&gt;H133,E111&lt;=H134)</f>
        <v>0</v>
      </c>
      <c r="R134" s="144" t="b">
        <f>AND(E112&lt;&gt;"",E112&gt;H133,E112&lt;=H134)</f>
        <v>0</v>
      </c>
      <c r="S134" s="144" t="b">
        <f>AND(E113&lt;&gt;"",E113&gt;H133,E113&lt;=H134)</f>
        <v>0</v>
      </c>
      <c r="T134" s="144" t="b">
        <f>AND(E114&lt;&gt;"",E114&gt;H133,E114&lt;=H134)</f>
        <v>0</v>
      </c>
      <c r="U134" s="144" t="b">
        <f>AND(E115&lt;&gt;"",E115&gt;H133,E115&lt;=H134)</f>
        <v>0</v>
      </c>
      <c r="V134" s="144" t="b">
        <f>AND(E116&lt;&gt;"",E116&gt;H133,E116&lt;=H134)</f>
        <v>0</v>
      </c>
      <c r="W134" s="144" t="b">
        <f>AND(E117&lt;&gt;"",E117&gt;H133,E117&lt;=H134)</f>
        <v>0</v>
      </c>
      <c r="X134" s="144" t="b">
        <f>AND(E119&lt;&gt;"",E119&gt;H133,E119&lt;=H134)</f>
        <v>0</v>
      </c>
      <c r="Y134" s="144" t="b">
        <f>AND(E120&lt;&gt;"",E120&gt;H133,E120&lt;=H134)</f>
        <v>0</v>
      </c>
      <c r="Z134" s="144" t="b">
        <f>AND(E121&lt;&gt;"",E121&gt;H133,E121&lt;=H134)</f>
        <v>0</v>
      </c>
      <c r="AA134" s="144" t="b">
        <f>AND(E122&lt;&gt;"",E122&gt;H133,E122&lt;=H134)</f>
        <v>0</v>
      </c>
      <c r="AB134" s="144" t="b">
        <f>AND(E123&lt;&gt;"",E123&gt;H133,E123&lt;=H134)</f>
        <v>0</v>
      </c>
      <c r="AC134" s="144" t="b">
        <f>AND(E124&lt;&gt;"",E124&gt;H133,E124&lt;=H134)</f>
        <v>0</v>
      </c>
      <c r="AD134" s="144" t="b">
        <f>AND(E125&lt;&gt;"",E125&gt;H133,E125&lt;=H134)</f>
        <v>0</v>
      </c>
      <c r="AE134" s="144" t="b">
        <f>AND(E126&lt;&gt;"",E126&gt;H133,E126&lt;=H134)</f>
        <v>0</v>
      </c>
      <c r="AF134" s="144" t="b">
        <f>AND(E127&lt;&gt;"",E127&gt;H133,E127&lt;=H134)</f>
        <v>0</v>
      </c>
      <c r="AG134" s="144" t="b">
        <f>AND(F103&lt;&gt;"",F103&gt;H133,F103&lt;=H134)</f>
        <v>0</v>
      </c>
      <c r="AH134" s="144" t="b">
        <f>AND(F104&lt;&gt;"",F104&gt;H133,F104&lt;=H134)</f>
        <v>0</v>
      </c>
      <c r="AI134" s="144" t="b">
        <f>AND(F105&lt;&gt;"",F105&gt;H133,F105&lt;=H134)</f>
        <v>0</v>
      </c>
      <c r="AJ134" s="144" t="b">
        <f>AND(F106&lt;&gt;"",F106&gt;H133,F106&lt;=H134)</f>
        <v>0</v>
      </c>
      <c r="AK134" s="144" t="b">
        <f>AND(F107&lt;&gt;"",F107&gt;H133,F107&lt;=H134)</f>
        <v>0</v>
      </c>
      <c r="AL134" s="144" t="b">
        <f>AND(F108&lt;&gt;"",F108&gt;H133,F108&lt;=H134)</f>
        <v>0</v>
      </c>
      <c r="AM134" s="144" t="b">
        <f>AND(F109&lt;&gt;"",F109&gt;H133,F109&lt;=H134)</f>
        <v>0</v>
      </c>
      <c r="AN134" s="144" t="b">
        <f>AND(F110&lt;&gt;"",F110&gt;H133,F110&lt;=H134)</f>
        <v>0</v>
      </c>
      <c r="AO134" s="144" t="b">
        <f>AND(F111&lt;&gt;"",F111&gt;H133,F111&lt;=H134)</f>
        <v>0</v>
      </c>
      <c r="AP134" s="144" t="b">
        <f>AND(F112&lt;&gt;"",F112&gt;H133,F112&lt;=H134)</f>
        <v>0</v>
      </c>
      <c r="AQ134" s="144" t="b">
        <f>AND(F113&lt;&gt;"",F113&gt;H133,F113&lt;=H134)</f>
        <v>0</v>
      </c>
      <c r="AR134" s="144" t="b">
        <f>AND(F114&lt;&gt;"",F114&gt;H133,F114&lt;=H134)</f>
        <v>0</v>
      </c>
      <c r="AS134" s="144" t="b">
        <f>AND(F115&lt;&gt;"",F115&gt;H133,F115&lt;=H134)</f>
        <v>0</v>
      </c>
      <c r="AT134" s="144" t="b">
        <f>AND(F116&lt;&gt;"",F116&gt;H133,F116&lt;=H134)</f>
        <v>0</v>
      </c>
      <c r="AU134" s="144" t="b">
        <f>AND(F117&lt;&gt;"",F117&gt;H133,F117&lt;=H134)</f>
        <v>0</v>
      </c>
      <c r="AV134" s="144" t="b">
        <f>AND(F118&lt;&gt;"",F118&gt;H133,F118&lt;=H134)</f>
        <v>0</v>
      </c>
      <c r="AW134" s="144" t="b">
        <f>AND(F119&lt;&gt;"",F119&gt;H133,F119&lt;=H134)</f>
        <v>0</v>
      </c>
      <c r="AX134" s="144" t="b">
        <f>AND(F120&lt;&gt;"",F120&gt;H133,F120&lt;=H134)</f>
        <v>0</v>
      </c>
      <c r="AY134" s="144" t="b">
        <f>AND(F121&lt;&gt;"",F121&gt;H133,F121&lt;=H134)</f>
        <v>0</v>
      </c>
      <c r="AZ134" s="144" t="b">
        <f>AND(F122&lt;&gt;"",F122&gt;H133,F122&lt;=H134)</f>
        <v>0</v>
      </c>
      <c r="BA134" s="144" t="b">
        <f>AND(F123&lt;&gt;"",F123&gt;H133,F123&lt;=H134)</f>
        <v>0</v>
      </c>
      <c r="BB134" s="144" t="b">
        <f>AND(F124&lt;&gt;"",F124&gt;H133,F124&lt;=H134)</f>
        <v>0</v>
      </c>
      <c r="BC134" s="144" t="b">
        <f>AND(F125&lt;&gt;"",F125&gt;H133,F125&lt;=H134)</f>
        <v>0</v>
      </c>
      <c r="BD134" s="144" t="b">
        <f>AND(F126&lt;&gt;"",F126&gt;H133,F126&lt;=H134)</f>
        <v>0</v>
      </c>
      <c r="BE134" s="144" t="b">
        <f>AND(F127&lt;&gt;"",F127&lt;&gt;" ",F127&gt;H133,F127&lt;=H134)</f>
        <v>0</v>
      </c>
      <c r="BF134" s="144">
        <f t="shared" si="6"/>
        <v>0</v>
      </c>
    </row>
    <row r="135" spans="1:58" s="125" customFormat="1" ht="12.95" customHeight="1">
      <c r="A135" s="144">
        <f>IF(F110="",0,IF(F110&gt;H102,1,0))</f>
        <v>0</v>
      </c>
      <c r="B135" s="144">
        <f>IF(F110="",0,IF(F110&lt;H104,1,0))</f>
        <v>0</v>
      </c>
      <c r="C135" s="144"/>
      <c r="D135" s="144"/>
      <c r="F135" s="125" t="e">
        <f>AND((H103-(3*H112))&lt;(H103-(ABS(E131)/8)),(H103-(3*H112))&gt;(H103-(ABS(E131)/7)))</f>
        <v>#DIV/0!</v>
      </c>
      <c r="G135" s="217" t="e">
        <f>IF(F135=FALSE,(H103-(ABS(E131)/7)),"3 Sigmas")</f>
        <v>#DIV/0!</v>
      </c>
      <c r="H135" s="199">
        <f>(H103-(ABS(E131)/7))</f>
        <v>0</v>
      </c>
      <c r="I135" s="144" t="b">
        <f>AND(E103&lt;&gt;"",E103&lt;&gt;" ",E103&gt;H134,E103&lt;=H135)</f>
        <v>0</v>
      </c>
      <c r="J135" s="144" t="b">
        <f>AND(E104&lt;&gt;"",E104&gt;H134,E104&lt;=H135)</f>
        <v>0</v>
      </c>
      <c r="K135" s="144" t="b">
        <f>AND(E105&lt;&gt;"",E105&gt;H134,E105&lt;=H135)</f>
        <v>0</v>
      </c>
      <c r="L135" s="144" t="b">
        <f>AND(E106&lt;&gt;"",E106&gt;H134,E106&lt;=H135)</f>
        <v>0</v>
      </c>
      <c r="M135" s="144" t="b">
        <f>AND(E107&lt;&gt;"",E107&gt;H134,E107&lt;=H135)</f>
        <v>0</v>
      </c>
      <c r="N135" s="144" t="b">
        <f>AND(E108&lt;&gt;"",E108&gt;H134,E108&lt;=H135)</f>
        <v>0</v>
      </c>
      <c r="O135" s="144" t="b">
        <f>AND(E109&lt;&gt;"",E109&gt;H134,E109&lt;=H135)</f>
        <v>0</v>
      </c>
      <c r="P135" s="144" t="b">
        <f>AND(E110&lt;&gt;"",E110&gt;H134,E110&lt;=H135)</f>
        <v>0</v>
      </c>
      <c r="Q135" s="144" t="b">
        <f>AND(E111&lt;&gt;"",E111&gt;H134,E111&lt;=H135)</f>
        <v>0</v>
      </c>
      <c r="R135" s="144" t="b">
        <f>AND(E112&lt;&gt;"",E112&gt;H134,E112&lt;=H135)</f>
        <v>0</v>
      </c>
      <c r="S135" s="144" t="b">
        <f>AND(E113&lt;&gt;"",E113&gt;H134,E113&lt;=H135)</f>
        <v>0</v>
      </c>
      <c r="T135" s="144" t="b">
        <f>AND(E114&lt;&gt;"",E114&gt;H134,E114&lt;=H135)</f>
        <v>0</v>
      </c>
      <c r="U135" s="144" t="b">
        <f>AND(E115&lt;&gt;"",E115&gt;H134,E115&lt;=H135)</f>
        <v>0</v>
      </c>
      <c r="V135" s="144" t="b">
        <f>AND(E116&lt;&gt;"",E116&gt;H134,E116&lt;=H135)</f>
        <v>0</v>
      </c>
      <c r="W135" s="144" t="b">
        <f>AND(E117&lt;&gt;"",E117&gt;H134,E117&lt;=H135)</f>
        <v>0</v>
      </c>
      <c r="X135" s="144" t="b">
        <f>AND(E119&lt;&gt;"",E119&gt;H134,E119&lt;=H135)</f>
        <v>0</v>
      </c>
      <c r="Y135" s="144" t="b">
        <f>AND(E120&lt;&gt;"",E120&gt;H134,E120&lt;=H135)</f>
        <v>0</v>
      </c>
      <c r="Z135" s="144" t="b">
        <f>AND(E121&lt;&gt;"",E121&gt;H134,E121&lt;=H135)</f>
        <v>0</v>
      </c>
      <c r="AA135" s="144" t="b">
        <f>AND(E122&lt;&gt;"",E122&gt;H134,E122&lt;=H135)</f>
        <v>0</v>
      </c>
      <c r="AB135" s="144" t="b">
        <f>AND(E123&lt;&gt;"",E123&gt;H134,E123&lt;=H135)</f>
        <v>0</v>
      </c>
      <c r="AC135" s="144" t="b">
        <f>AND(E124&lt;&gt;"",E124&gt;H134,E124&lt;=H135)</f>
        <v>0</v>
      </c>
      <c r="AD135" s="144" t="b">
        <f>AND(E125&lt;&gt;"",E125&gt;H134,E125&lt;=H135)</f>
        <v>0</v>
      </c>
      <c r="AE135" s="144" t="b">
        <f>AND(E126&lt;&gt;"",E126&gt;H134,E126&lt;=H135)</f>
        <v>0</v>
      </c>
      <c r="AF135" s="144" t="b">
        <f>AND(E127&lt;&gt;"",E127&gt;H134,E127&lt;=H135)</f>
        <v>0</v>
      </c>
      <c r="AG135" s="144" t="b">
        <f>AND(F103&lt;&gt;"",F103&gt;H134,F103&lt;=H135)</f>
        <v>0</v>
      </c>
      <c r="AH135" s="144" t="b">
        <f>AND(F104&lt;&gt;"",F104&gt;H134,F104&lt;=H135)</f>
        <v>0</v>
      </c>
      <c r="AI135" s="144" t="b">
        <f>AND(F105&lt;&gt;"",F105&gt;H134,F105&lt;=H135)</f>
        <v>0</v>
      </c>
      <c r="AJ135" s="144" t="b">
        <f>AND(F106&lt;&gt;"",F106&gt;H134,F106&lt;=H135)</f>
        <v>0</v>
      </c>
      <c r="AK135" s="144" t="b">
        <f>AND(F107&lt;&gt;"",F107&gt;H134,F107&lt;=H135)</f>
        <v>0</v>
      </c>
      <c r="AL135" s="144" t="b">
        <f>AND(F108&lt;&gt;"",F108&gt;H134,F108&lt;=H135)</f>
        <v>0</v>
      </c>
      <c r="AM135" s="144" t="b">
        <f>AND(F109&lt;&gt;"",F109&gt;H134,F109&lt;=H135)</f>
        <v>0</v>
      </c>
      <c r="AN135" s="144" t="b">
        <f>AND(F110&lt;&gt;"",F110&gt;H134,F110&lt;=H135)</f>
        <v>0</v>
      </c>
      <c r="AO135" s="144" t="b">
        <f>AND(F111&lt;&gt;"",F111&gt;H134,F111&lt;=H135)</f>
        <v>0</v>
      </c>
      <c r="AP135" s="144" t="b">
        <f>AND(F112&lt;&gt;"",F112&gt;H134,F112&lt;=H135)</f>
        <v>0</v>
      </c>
      <c r="AQ135" s="144" t="b">
        <f>AND(F113&lt;&gt;"",F113&gt;H134,F113&lt;=H135)</f>
        <v>0</v>
      </c>
      <c r="AR135" s="144" t="b">
        <f>AND(F114&lt;&gt;"",F114&gt;H134,F114&lt;=H135)</f>
        <v>0</v>
      </c>
      <c r="AS135" s="144" t="b">
        <f>AND(F115&lt;&gt;"",F115&gt;H134,F115&lt;=H135)</f>
        <v>0</v>
      </c>
      <c r="AT135" s="144" t="b">
        <f>AND(F116&lt;&gt;"",F116&gt;H134,F116&lt;=H135)</f>
        <v>0</v>
      </c>
      <c r="AU135" s="144" t="b">
        <f>AND(F117&lt;&gt;"",F117&gt;H134,F117&lt;=H135)</f>
        <v>0</v>
      </c>
      <c r="AV135" s="144" t="b">
        <f>AND(F118&lt;&gt;"",F118&gt;H134,F118&lt;=H135)</f>
        <v>0</v>
      </c>
      <c r="AW135" s="144" t="b">
        <f>AND(F119&lt;&gt;"",F119&gt;H134,F119&lt;=H135)</f>
        <v>0</v>
      </c>
      <c r="AX135" s="144" t="b">
        <f>AND(F120&lt;&gt;"",F120&gt;H134,F120&lt;=H135)</f>
        <v>0</v>
      </c>
      <c r="AY135" s="144" t="b">
        <f>AND(F121&lt;&gt;"",F121&gt;H134,F121&lt;=H135)</f>
        <v>0</v>
      </c>
      <c r="AZ135" s="144" t="b">
        <f>AND(F122&lt;&gt;"",F122&gt;H134,F122&lt;=H135)</f>
        <v>0</v>
      </c>
      <c r="BA135" s="144" t="b">
        <f>AND(F123&lt;&gt;"",F123&gt;H134,F123&lt;=H135)</f>
        <v>0</v>
      </c>
      <c r="BB135" s="144" t="b">
        <f>AND(F124&lt;&gt;"",F124&gt;H134,F124&lt;=H135)</f>
        <v>0</v>
      </c>
      <c r="BC135" s="144" t="b">
        <f>AND(F125&lt;&gt;"",F125&gt;H134,F125&lt;=H135)</f>
        <v>0</v>
      </c>
      <c r="BD135" s="144" t="b">
        <f>AND(F126&lt;&gt;"",F126&gt;H134,F126&lt;=H135)</f>
        <v>0</v>
      </c>
      <c r="BE135" s="144" t="b">
        <f>AND(F127&lt;&gt;"",F127&lt;&gt;" ",F127&gt;H134,F127&lt;=H135)</f>
        <v>0</v>
      </c>
      <c r="BF135" s="144">
        <f t="shared" si="6"/>
        <v>0</v>
      </c>
    </row>
    <row r="136" spans="1:58" s="125" customFormat="1" ht="12.95" customHeight="1">
      <c r="A136" s="144">
        <f>IF(F111="",0,IF(F111&gt;H102,1,0))</f>
        <v>0</v>
      </c>
      <c r="B136" s="144">
        <f>IF(F111="",0,IF(F111&lt;H104,1,0))</f>
        <v>0</v>
      </c>
      <c r="C136" s="144"/>
      <c r="D136" s="144"/>
      <c r="F136" s="125" t="e">
        <f>AND((H103-(3*H112))&lt;(H103-(ABS(E131)/9)),(H103-(3*H112))&gt;(H103-(ABS(E131)/8)))</f>
        <v>#DIV/0!</v>
      </c>
      <c r="G136" s="217" t="e">
        <f>IF(F136=FALSE,(H103-(ABS(E131)/8)),"3 Sigmas")</f>
        <v>#DIV/0!</v>
      </c>
      <c r="H136" s="199">
        <f>(H103-(ABS(E131)/8))</f>
        <v>0</v>
      </c>
      <c r="I136" s="144" t="b">
        <f>AND(E103&lt;&gt;"",E103&lt;&gt;" ",E103&gt;H135,E103&lt;=H136)</f>
        <v>0</v>
      </c>
      <c r="J136" s="144" t="b">
        <f>AND(E104&lt;&gt;"",E104&gt;H135,E104&lt;=H136)</f>
        <v>0</v>
      </c>
      <c r="K136" s="144" t="b">
        <f>AND(E105&lt;&gt;"",E105&gt;H135,E105&lt;=H136)</f>
        <v>0</v>
      </c>
      <c r="L136" s="144" t="b">
        <f>AND(E106&lt;&gt;"",E106&gt;H135,E106&lt;=H136)</f>
        <v>0</v>
      </c>
      <c r="M136" s="144" t="b">
        <f>AND(E107&lt;&gt;"",E107&gt;H135,E107&lt;=H136)</f>
        <v>0</v>
      </c>
      <c r="N136" s="144" t="b">
        <f>AND(E108&lt;&gt;"",E108&gt;H135,E108&lt;=H136)</f>
        <v>0</v>
      </c>
      <c r="O136" s="144" t="b">
        <f>AND(E109&lt;&gt;"",E109&gt;H135,E109&lt;=H136)</f>
        <v>0</v>
      </c>
      <c r="P136" s="144" t="b">
        <f>AND(E110&lt;&gt;"",E110&gt;H135,E110&lt;=H136)</f>
        <v>0</v>
      </c>
      <c r="Q136" s="144" t="b">
        <f>AND(E111&lt;&gt;"",E111&gt;H135,E111&lt;=H136)</f>
        <v>0</v>
      </c>
      <c r="R136" s="144" t="b">
        <f>AND(E112&lt;&gt;"",E112&gt;H135,E112&lt;=H136)</f>
        <v>0</v>
      </c>
      <c r="S136" s="144" t="b">
        <f>AND(E113&lt;&gt;"",E113&gt;H135,E113&lt;=H136)</f>
        <v>0</v>
      </c>
      <c r="T136" s="144" t="b">
        <f>AND(E114&lt;&gt;"",E114&gt;H135,E114&lt;=H136)</f>
        <v>0</v>
      </c>
      <c r="U136" s="144" t="b">
        <f>AND(E115&lt;&gt;"",E115&gt;H135,E115&lt;=H136)</f>
        <v>0</v>
      </c>
      <c r="V136" s="144" t="b">
        <f>AND(E116&lt;&gt;"",E116&gt;H135,E116&lt;=H136)</f>
        <v>0</v>
      </c>
      <c r="W136" s="144" t="b">
        <f>AND(E117&lt;&gt;"",E117&gt;H135,E117&lt;=H136)</f>
        <v>0</v>
      </c>
      <c r="X136" s="144" t="b">
        <f>AND(E119&lt;&gt;"",E119&gt;H135,E119&lt;=H136)</f>
        <v>0</v>
      </c>
      <c r="Y136" s="144" t="b">
        <f>AND(E120&lt;&gt;"",E120&gt;H135,E120&lt;=H136)</f>
        <v>0</v>
      </c>
      <c r="Z136" s="144" t="b">
        <f>AND(E121&lt;&gt;"",E121&gt;H135,E121&lt;=H136)</f>
        <v>0</v>
      </c>
      <c r="AA136" s="144" t="b">
        <f>AND(E122&lt;&gt;"",E122&gt;H135,E122&lt;=H136)</f>
        <v>0</v>
      </c>
      <c r="AB136" s="144" t="b">
        <f>AND(E123&lt;&gt;"",E123&gt;H135,E123&lt;=H136)</f>
        <v>0</v>
      </c>
      <c r="AC136" s="144" t="b">
        <f>AND(E124&lt;&gt;"",E124&gt;H135,E124&lt;=H136)</f>
        <v>0</v>
      </c>
      <c r="AD136" s="144" t="b">
        <f>AND(E125&lt;&gt;"",E125&gt;H135,E125&lt;=H136)</f>
        <v>0</v>
      </c>
      <c r="AE136" s="144" t="b">
        <f>AND(E126&lt;&gt;"",E126&gt;H135,E126&lt;=H136)</f>
        <v>0</v>
      </c>
      <c r="AF136" s="144" t="b">
        <f>AND(E127&lt;&gt;"",E127&gt;H135,E127&lt;=H136)</f>
        <v>0</v>
      </c>
      <c r="AG136" s="144" t="b">
        <f>AND(F103&lt;&gt;"",F103&gt;H135,F103&lt;=H136)</f>
        <v>0</v>
      </c>
      <c r="AH136" s="144" t="b">
        <f>AND(F104&lt;&gt;"",F104&gt;H135,F104&lt;=H136)</f>
        <v>0</v>
      </c>
      <c r="AI136" s="144" t="b">
        <f>AND(F105&lt;&gt;"",F105&gt;H135,F105&lt;=H136)</f>
        <v>0</v>
      </c>
      <c r="AJ136" s="144" t="b">
        <f>AND(F106&lt;&gt;"",F106&gt;H135,F106&lt;=H136)</f>
        <v>0</v>
      </c>
      <c r="AK136" s="144" t="b">
        <f>AND(F107&lt;&gt;"",F107&gt;H135,F107&lt;=H136)</f>
        <v>0</v>
      </c>
      <c r="AL136" s="144" t="b">
        <f>AND(F108&lt;&gt;"",F108&gt;H135,F108&lt;=H136)</f>
        <v>0</v>
      </c>
      <c r="AM136" s="144" t="b">
        <f>AND(F109&lt;&gt;"",F109&gt;H135,F109&lt;=H136)</f>
        <v>0</v>
      </c>
      <c r="AN136" s="144" t="b">
        <f>AND(F110&lt;&gt;"",F110&gt;H135,F110&lt;=H136)</f>
        <v>0</v>
      </c>
      <c r="AO136" s="144" t="b">
        <f>AND(F111&lt;&gt;"",F111&gt;H135,F111&lt;=H136)</f>
        <v>0</v>
      </c>
      <c r="AP136" s="144" t="b">
        <f>AND(F112&lt;&gt;"",F112&gt;H135,F112&lt;=H136)</f>
        <v>0</v>
      </c>
      <c r="AQ136" s="144" t="b">
        <f>AND(F113&lt;&gt;"",F113&gt;H135,F113&lt;=H136)</f>
        <v>0</v>
      </c>
      <c r="AR136" s="144" t="b">
        <f>AND(F114&lt;&gt;"",F114&gt;H135,F114&lt;=H136)</f>
        <v>0</v>
      </c>
      <c r="AS136" s="144" t="b">
        <f>AND(F115&lt;&gt;"",F115&gt;H135,F115&lt;=H136)</f>
        <v>0</v>
      </c>
      <c r="AT136" s="144" t="b">
        <f>AND(F116&lt;&gt;"",F116&gt;H135,F116&lt;=H136)</f>
        <v>0</v>
      </c>
      <c r="AU136" s="144" t="b">
        <f>AND(F117&lt;&gt;"",F117&gt;H135,F117&lt;=H136)</f>
        <v>0</v>
      </c>
      <c r="AV136" s="144" t="b">
        <f>AND(F118&lt;&gt;"",F118&gt;H135,F118&lt;=H136)</f>
        <v>0</v>
      </c>
      <c r="AW136" s="144" t="b">
        <f>AND(F119&lt;&gt;"",F119&gt;H135,F119&lt;=H136)</f>
        <v>0</v>
      </c>
      <c r="AX136" s="144" t="b">
        <f>AND(F120&lt;&gt;"",F120&gt;H135,F120&lt;=H136)</f>
        <v>0</v>
      </c>
      <c r="AY136" s="144" t="b">
        <f>AND(F121&lt;&gt;"",F121&gt;H135,F121&lt;=H136)</f>
        <v>0</v>
      </c>
      <c r="AZ136" s="144" t="b">
        <f>AND(F122&lt;&gt;"",F122&gt;H135,F122&lt;=H136)</f>
        <v>0</v>
      </c>
      <c r="BA136" s="144" t="b">
        <f>AND(F123&lt;&gt;"",F123&gt;H135,F123&lt;=H136)</f>
        <v>0</v>
      </c>
      <c r="BB136" s="144" t="b">
        <f>AND(F124&lt;&gt;"",F124&gt;H135,F124&lt;=H136)</f>
        <v>0</v>
      </c>
      <c r="BC136" s="144" t="b">
        <f>AND(F125&lt;&gt;"",F125&gt;H135,F125&lt;=H136)</f>
        <v>0</v>
      </c>
      <c r="BD136" s="144" t="b">
        <f>AND(F126&lt;&gt;"",F126&gt;H135,F126&lt;=H136)</f>
        <v>0</v>
      </c>
      <c r="BE136" s="144" t="b">
        <f>AND(F127&lt;&gt;"",F127&lt;&gt;" ",F127&gt;H135,F127&lt;=H136)</f>
        <v>0</v>
      </c>
      <c r="BF136" s="144">
        <f t="shared" si="6"/>
        <v>0</v>
      </c>
    </row>
    <row r="137" spans="1:58" s="125" customFormat="1" ht="12.95" customHeight="1">
      <c r="A137" s="144">
        <f>IF(F112="",0,IF(F112&gt;H102,1,0))</f>
        <v>0</v>
      </c>
      <c r="B137" s="144">
        <f>IF(F112="",0,IF(F112&lt;H104,1,0))</f>
        <v>0</v>
      </c>
      <c r="C137" s="144"/>
      <c r="D137" s="144"/>
      <c r="F137" s="125" t="e">
        <f>AND((H103-(3*H112))&lt;(H103-(ABS(E131)/10)),(H103-(3*H112))&gt;(H103-(ABS(E131)/9)))</f>
        <v>#DIV/0!</v>
      </c>
      <c r="G137" s="217" t="e">
        <f>IF(F137=FALSE,(H103-(ABS(E131)/9)),"3 Sigmas")</f>
        <v>#DIV/0!</v>
      </c>
      <c r="H137" s="199">
        <f>(H103-(ABS(E131)/9))</f>
        <v>0</v>
      </c>
      <c r="I137" s="144" t="b">
        <f>AND(E103&lt;&gt;"",E103&lt;&gt;" ",E103&gt;H136,E103&lt;=H137)</f>
        <v>0</v>
      </c>
      <c r="J137" s="144" t="b">
        <f>AND(E104&lt;&gt;"",E104&gt;H136,E104&lt;=H137)</f>
        <v>0</v>
      </c>
      <c r="K137" s="144" t="b">
        <f>AND(E105&lt;&gt;"",E105&gt;H136,E105&lt;=H137)</f>
        <v>0</v>
      </c>
      <c r="L137" s="144" t="b">
        <f>AND(E106&lt;&gt;"",E106&gt;H136,E106&lt;=H137)</f>
        <v>0</v>
      </c>
      <c r="M137" s="144" t="b">
        <f>AND(E107&lt;&gt;"",E107&gt;H136,E107&lt;=H137)</f>
        <v>0</v>
      </c>
      <c r="N137" s="144" t="b">
        <f>AND(E108&lt;&gt;"",E108&gt;H136,E108&lt;=H137)</f>
        <v>0</v>
      </c>
      <c r="O137" s="144" t="b">
        <f>AND(E109&lt;&gt;"",E109&gt;H136,E109&lt;=H137)</f>
        <v>0</v>
      </c>
      <c r="P137" s="144" t="b">
        <f>AND(E110&lt;&gt;"",E110&gt;H136,E110&lt;=H137)</f>
        <v>0</v>
      </c>
      <c r="Q137" s="144" t="b">
        <f>AND(E111&lt;&gt;"",E111&gt;H136,E111&lt;=H137)</f>
        <v>0</v>
      </c>
      <c r="R137" s="144" t="b">
        <f>AND(E112&lt;&gt;"",E112&gt;H136,E112&lt;=H137)</f>
        <v>0</v>
      </c>
      <c r="S137" s="144" t="b">
        <f>AND(E113&lt;&gt;"",E113&gt;H136,E113&lt;=H137)</f>
        <v>0</v>
      </c>
      <c r="T137" s="144" t="b">
        <f>AND(E114&lt;&gt;"",E114&gt;H136,E114&lt;=H137)</f>
        <v>0</v>
      </c>
      <c r="U137" s="144" t="b">
        <f>AND(E115&lt;&gt;"",E115&gt;H136,E115&lt;=H137)</f>
        <v>0</v>
      </c>
      <c r="V137" s="144" t="b">
        <f>AND(E116&lt;&gt;"",E116&gt;H136,E116&lt;=H137)</f>
        <v>0</v>
      </c>
      <c r="W137" s="144" t="b">
        <f>AND(E117&lt;&gt;"",E117&gt;H136,E117&lt;=H137)</f>
        <v>0</v>
      </c>
      <c r="X137" s="144" t="b">
        <f>AND(E119&lt;&gt;"",E119&gt;H136,E119&lt;=H137)</f>
        <v>0</v>
      </c>
      <c r="Y137" s="144" t="b">
        <f>AND(E120&lt;&gt;"",E120&gt;H136,E120&lt;=H137)</f>
        <v>0</v>
      </c>
      <c r="Z137" s="144" t="b">
        <f>AND(E121&lt;&gt;"",E121&gt;H136,E121&lt;=H137)</f>
        <v>0</v>
      </c>
      <c r="AA137" s="144" t="b">
        <f>AND(E122&lt;&gt;"",E122&gt;H136,E122&lt;=H137)</f>
        <v>0</v>
      </c>
      <c r="AB137" s="144" t="b">
        <f>AND(E123&lt;&gt;"",E123&gt;H136,E123&lt;=H137)</f>
        <v>0</v>
      </c>
      <c r="AC137" s="144" t="b">
        <f>AND(E124&lt;&gt;"",E124&gt;H136,E124&lt;=H137)</f>
        <v>0</v>
      </c>
      <c r="AD137" s="144" t="b">
        <f>AND(E125&lt;&gt;"",E125&gt;H136,E125&lt;=H137)</f>
        <v>0</v>
      </c>
      <c r="AE137" s="144" t="b">
        <f>AND(E126&lt;&gt;"",E126&gt;H136,E126&lt;=H137)</f>
        <v>0</v>
      </c>
      <c r="AF137" s="144" t="b">
        <f>AND(E127&lt;&gt;"",E127&gt;H136,E127&lt;=H137)</f>
        <v>0</v>
      </c>
      <c r="AG137" s="144" t="b">
        <f>AND(F103&lt;&gt;"",F103&gt;H136,F103&lt;=H137)</f>
        <v>0</v>
      </c>
      <c r="AH137" s="144" t="b">
        <f>AND(F104&lt;&gt;"",F104&gt;H136,F104&lt;=H137)</f>
        <v>0</v>
      </c>
      <c r="AI137" s="144" t="b">
        <f>AND(F105&lt;&gt;"",F105&gt;H136,F105&lt;=H137)</f>
        <v>0</v>
      </c>
      <c r="AJ137" s="144" t="b">
        <f>AND(F106&lt;&gt;"",F106&gt;H136,F106&lt;=H137)</f>
        <v>0</v>
      </c>
      <c r="AK137" s="144" t="b">
        <f>AND(F107&lt;&gt;"",F107&gt;H136,F107&lt;=H137)</f>
        <v>0</v>
      </c>
      <c r="AL137" s="144" t="b">
        <f>AND(F108&lt;&gt;"",F108&gt;H136,F108&lt;=H137)</f>
        <v>0</v>
      </c>
      <c r="AM137" s="144" t="b">
        <f>AND(F109&lt;&gt;"",F109&gt;H136,F109&lt;=H137)</f>
        <v>0</v>
      </c>
      <c r="AN137" s="144" t="b">
        <f>AND(F110&lt;&gt;"",F110&gt;H136,F110&lt;=H137)</f>
        <v>0</v>
      </c>
      <c r="AO137" s="144" t="b">
        <f>AND(F111&lt;&gt;"",F111&gt;H136,F111&lt;=H137)</f>
        <v>0</v>
      </c>
      <c r="AP137" s="144" t="b">
        <f>AND(F112&lt;&gt;"",F112&gt;H136,F112&lt;=H137)</f>
        <v>0</v>
      </c>
      <c r="AQ137" s="144" t="b">
        <f>AND(F113&lt;&gt;"",F113&gt;H136,F113&lt;=H137)</f>
        <v>0</v>
      </c>
      <c r="AR137" s="144" t="b">
        <f>AND(F114&lt;&gt;"",F114&gt;H136,F114&lt;=H137)</f>
        <v>0</v>
      </c>
      <c r="AS137" s="144" t="b">
        <f>AND(F115&lt;&gt;"",F115&gt;H136,F115&lt;=H137)</f>
        <v>0</v>
      </c>
      <c r="AT137" s="144" t="b">
        <f>AND(F116&lt;&gt;"",F116&gt;H136,F116&lt;=H137)</f>
        <v>0</v>
      </c>
      <c r="AU137" s="144" t="b">
        <f>AND(F117&lt;&gt;"",F117&gt;H136,F117&lt;=H137)</f>
        <v>0</v>
      </c>
      <c r="AV137" s="144" t="b">
        <f>AND(F118&lt;&gt;"",F118&gt;H136,F118&lt;=H137)</f>
        <v>0</v>
      </c>
      <c r="AW137" s="144" t="b">
        <f>AND(F119&lt;&gt;"",F119&gt;H136,F119&lt;=H137)</f>
        <v>0</v>
      </c>
      <c r="AX137" s="144" t="b">
        <f>AND(F120&lt;&gt;"",F120&gt;H136,F120&lt;=H137)</f>
        <v>0</v>
      </c>
      <c r="AY137" s="144" t="b">
        <f>AND(F121&lt;&gt;"",F121&gt;H136,F121&lt;=H137)</f>
        <v>0</v>
      </c>
      <c r="AZ137" s="144" t="b">
        <f>AND(F122&lt;&gt;"",F122&gt;H136,F122&lt;=H137)</f>
        <v>0</v>
      </c>
      <c r="BA137" s="144" t="b">
        <f>AND(F123&lt;&gt;"",F123&gt;H136,F123&lt;=H137)</f>
        <v>0</v>
      </c>
      <c r="BB137" s="144" t="b">
        <f>AND(F124&lt;&gt;"",F124&gt;H136,F124&lt;=H137)</f>
        <v>0</v>
      </c>
      <c r="BC137" s="144" t="b">
        <f>AND(F125&lt;&gt;"",F125&gt;H136,F125&lt;=H137)</f>
        <v>0</v>
      </c>
      <c r="BD137" s="144" t="b">
        <f>AND(F126&lt;&gt;"",F126&gt;H136,F126&lt;=H137)</f>
        <v>0</v>
      </c>
      <c r="BE137" s="144" t="b">
        <f>AND(F127&lt;&gt;"",F127&lt;&gt;" ",F127&gt;H136,F127&lt;=H137)</f>
        <v>0</v>
      </c>
      <c r="BF137" s="144">
        <f t="shared" si="6"/>
        <v>0</v>
      </c>
    </row>
    <row r="138" spans="1:58" s="125" customFormat="1" ht="12.95" customHeight="1">
      <c r="A138" s="144">
        <f>IF(F113="",0,IF(F113&gt;H102,1,0))</f>
        <v>0</v>
      </c>
      <c r="B138" s="144">
        <f>IF(F113="",0,IF(F113&lt;H104,1,0))</f>
        <v>0</v>
      </c>
      <c r="C138" s="144"/>
      <c r="D138" s="144"/>
      <c r="F138" s="125" t="e">
        <f>AND((H103-(3*H112))&lt;H103,(H103-(3*H112))&gt;(H103-(ABS(E131)/10)))</f>
        <v>#DIV/0!</v>
      </c>
      <c r="G138" s="217" t="e">
        <f>IF(F138=FALSE,(H103-(ABS(E131)/10)),"3 Sigmas")</f>
        <v>#DIV/0!</v>
      </c>
      <c r="H138" s="199">
        <f>(H103-(ABS(E131)/10))</f>
        <v>0</v>
      </c>
      <c r="I138" s="144" t="b">
        <f>AND(E103&lt;&gt;"",E103&lt;&gt;" ",E103&gt;H137,E103&lt;=H138)</f>
        <v>0</v>
      </c>
      <c r="J138" s="144" t="b">
        <f>AND(E104&lt;&gt;"",E104&gt;H137,E104&lt;=H138)</f>
        <v>0</v>
      </c>
      <c r="K138" s="144" t="b">
        <f>AND(E105&lt;&gt;"",E105&gt;H137,E105&lt;=H138)</f>
        <v>0</v>
      </c>
      <c r="L138" s="144" t="b">
        <f>AND(E106&lt;&gt;"",E106&gt;H137,E106&lt;=H138)</f>
        <v>0</v>
      </c>
      <c r="M138" s="144" t="b">
        <f>AND(E107&lt;&gt;"",E107&gt;H137,E107&lt;=H138)</f>
        <v>0</v>
      </c>
      <c r="N138" s="144" t="b">
        <f>AND(E108&lt;&gt;"",E108&gt;H137,E108&lt;=H138)</f>
        <v>0</v>
      </c>
      <c r="O138" s="144" t="b">
        <f>AND(E109&lt;&gt;"",E109&gt;H137,E109&lt;=H138)</f>
        <v>0</v>
      </c>
      <c r="P138" s="144" t="b">
        <f>AND(E110&lt;&gt;"",E110&gt;H137,E110&lt;=H138)</f>
        <v>0</v>
      </c>
      <c r="Q138" s="144" t="b">
        <f>AND(E111&lt;&gt;"",E111&gt;H137,E111&lt;=H138)</f>
        <v>0</v>
      </c>
      <c r="R138" s="144" t="b">
        <f>AND(E112&lt;&gt;"",E112&gt;H137,E112&lt;=H138)</f>
        <v>0</v>
      </c>
      <c r="S138" s="144" t="b">
        <f>AND(E113&lt;&gt;"",E113&gt;H137,E113&lt;=H138)</f>
        <v>0</v>
      </c>
      <c r="T138" s="144" t="b">
        <f>AND(E114&lt;&gt;"",E114&gt;H137,E114&lt;=H138)</f>
        <v>0</v>
      </c>
      <c r="U138" s="144" t="b">
        <f>AND(E115&lt;&gt;"",E115&gt;H137,E115&lt;=H138)</f>
        <v>0</v>
      </c>
      <c r="V138" s="144" t="b">
        <f>AND(E116&lt;&gt;"",E116&gt;H137,E116&lt;=H138)</f>
        <v>0</v>
      </c>
      <c r="W138" s="144" t="b">
        <f>AND(E117&lt;&gt;"",E117&gt;H137,E117&lt;=H138)</f>
        <v>0</v>
      </c>
      <c r="X138" s="144" t="b">
        <f>AND(E119&lt;&gt;"",E119&gt;H137,E119&lt;=H138)</f>
        <v>0</v>
      </c>
      <c r="Y138" s="144" t="b">
        <f>AND(E120&lt;&gt;"",E120&gt;H137,E120&lt;=H138)</f>
        <v>0</v>
      </c>
      <c r="Z138" s="144" t="b">
        <f>AND(E121&lt;&gt;"",E121&gt;H137,E121&lt;=H138)</f>
        <v>0</v>
      </c>
      <c r="AA138" s="144" t="b">
        <f>AND(E122&lt;&gt;"",E122&gt;H137,E122&lt;=H138)</f>
        <v>0</v>
      </c>
      <c r="AB138" s="144" t="b">
        <f>AND(E123&lt;&gt;"",E123&gt;H137,E123&lt;=H138)</f>
        <v>0</v>
      </c>
      <c r="AC138" s="144" t="b">
        <f>AND(E124&lt;&gt;"",E124&gt;H137,E124&lt;=H138)</f>
        <v>0</v>
      </c>
      <c r="AD138" s="144" t="b">
        <f>AND(E125&lt;&gt;"",E125&gt;H137,E125&lt;=H138)</f>
        <v>0</v>
      </c>
      <c r="AE138" s="144" t="b">
        <f>AND(E126&lt;&gt;"",E126&gt;H137,E126&lt;=H138)</f>
        <v>0</v>
      </c>
      <c r="AF138" s="144" t="b">
        <f>AND(E127&lt;&gt;"",E127&gt;H137,E127&lt;=H138)</f>
        <v>0</v>
      </c>
      <c r="AG138" s="144" t="b">
        <f>AND(F103&lt;&gt;"",F103&gt;H137,F103&lt;=H138)</f>
        <v>0</v>
      </c>
      <c r="AH138" s="144" t="b">
        <f>AND(F104&lt;&gt;"",F104&gt;H137,F104&lt;=H138)</f>
        <v>0</v>
      </c>
      <c r="AI138" s="144" t="b">
        <f>AND(F105&lt;&gt;"",F105&gt;H137,F105&lt;=H138)</f>
        <v>0</v>
      </c>
      <c r="AJ138" s="144" t="b">
        <f>AND(F106&lt;&gt;"",F106&gt;H137,F106&lt;=H138)</f>
        <v>0</v>
      </c>
      <c r="AK138" s="144" t="b">
        <f>AND(F107&lt;&gt;"",F107&gt;H137,F107&lt;=H138)</f>
        <v>0</v>
      </c>
      <c r="AL138" s="144" t="b">
        <f>AND(F108&lt;&gt;"",F108&gt;H137,F108&lt;=H138)</f>
        <v>0</v>
      </c>
      <c r="AM138" s="144" t="b">
        <f>AND(F109&lt;&gt;"",F109&gt;H137,F109&lt;=H138)</f>
        <v>0</v>
      </c>
      <c r="AN138" s="144" t="b">
        <f>AND(F110&lt;&gt;"",F110&gt;H137,F110&lt;=H138)</f>
        <v>0</v>
      </c>
      <c r="AO138" s="144" t="b">
        <f>AND(F111&lt;&gt;"",F111&gt;H137,F111&lt;=H138)</f>
        <v>0</v>
      </c>
      <c r="AP138" s="144" t="b">
        <f>AND(F112&lt;&gt;"",F112&gt;H137,F112&lt;=H138)</f>
        <v>0</v>
      </c>
      <c r="AQ138" s="144" t="b">
        <f>AND(F113&lt;&gt;"",F113&gt;H137,F113&lt;=H138)</f>
        <v>0</v>
      </c>
      <c r="AR138" s="144" t="b">
        <f>AND(F114&lt;&gt;"",F114&gt;H137,F114&lt;=H138)</f>
        <v>0</v>
      </c>
      <c r="AS138" s="144" t="b">
        <f>AND(F115&lt;&gt;"",F115&gt;H137,F115&lt;=H138)</f>
        <v>0</v>
      </c>
      <c r="AT138" s="144" t="b">
        <f>AND(F116&lt;&gt;"",F116&gt;H137,F116&lt;=H138)</f>
        <v>0</v>
      </c>
      <c r="AU138" s="144" t="b">
        <f>AND(F117&lt;&gt;"",F117&gt;H137,F117&lt;=H138)</f>
        <v>0</v>
      </c>
      <c r="AV138" s="144" t="b">
        <f>AND(F118&lt;&gt;"",F118&gt;H137,F118&lt;=H138)</f>
        <v>0</v>
      </c>
      <c r="AW138" s="144" t="b">
        <f>AND(F119&lt;&gt;"",F119&gt;H137,F119&lt;=H138)</f>
        <v>0</v>
      </c>
      <c r="AX138" s="144" t="b">
        <f>AND(F120&lt;&gt;"",F120&gt;H137,F120&lt;=H138)</f>
        <v>0</v>
      </c>
      <c r="AY138" s="144" t="b">
        <f>AND(F121&lt;&gt;"",F121&gt;H137,F121&lt;=H138)</f>
        <v>0</v>
      </c>
      <c r="AZ138" s="144" t="b">
        <f>AND(F122&lt;&gt;"",F122&gt;H137,F122&lt;=H138)</f>
        <v>0</v>
      </c>
      <c r="BA138" s="144" t="b">
        <f>AND(F123&lt;&gt;"",F123&gt;H137,F123&lt;=H138)</f>
        <v>0</v>
      </c>
      <c r="BB138" s="144" t="b">
        <f>AND(F124&lt;&gt;"",F124&gt;H137,F124&lt;=H138)</f>
        <v>0</v>
      </c>
      <c r="BC138" s="144" t="b">
        <f>AND(F125&lt;&gt;"",F125&gt;H137,F125&lt;=H138)</f>
        <v>0</v>
      </c>
      <c r="BD138" s="144" t="b">
        <f>AND(F126&lt;&gt;"",F126&gt;H137,F126&lt;=H138)</f>
        <v>0</v>
      </c>
      <c r="BE138" s="144" t="b">
        <f>AND(F127&lt;&gt;"",F127&lt;&gt;" ",F127&gt;H137,F127&lt;=H138)</f>
        <v>0</v>
      </c>
      <c r="BF138" s="144">
        <f t="shared" si="6"/>
        <v>0</v>
      </c>
    </row>
    <row r="139" spans="1:58" s="125" customFormat="1" ht="12.95" customHeight="1">
      <c r="A139" s="144">
        <f>IF(F114="",0,IF(F114&gt;H102,1,0))</f>
        <v>0</v>
      </c>
      <c r="B139" s="144">
        <f>IF(F114="",0,IF(F114&lt;H104,1,0))</f>
        <v>0</v>
      </c>
      <c r="C139" s="144"/>
      <c r="D139" s="144"/>
      <c r="G139" s="223">
        <f>H103</f>
        <v>0</v>
      </c>
      <c r="H139" s="199">
        <f>G139</f>
        <v>0</v>
      </c>
      <c r="I139" s="144" t="b">
        <f>AND(E103&lt;&gt;"",E103&lt;&gt;" ",E103&gt;H138,E103&lt;=H139)</f>
        <v>0</v>
      </c>
      <c r="J139" s="144" t="b">
        <f>AND(E104&lt;&gt;"",E104&gt;H138,E104&lt;=H139)</f>
        <v>0</v>
      </c>
      <c r="K139" s="144" t="b">
        <f>AND(E105&lt;&gt;"",E105&gt;H138,E105&lt;=H139)</f>
        <v>0</v>
      </c>
      <c r="L139" s="144" t="b">
        <f>AND(E106&lt;&gt;"",E106&gt;H138,E106&lt;=H139)</f>
        <v>0</v>
      </c>
      <c r="M139" s="144" t="b">
        <f>AND(E107&lt;&gt;"",E107&gt;H138,E107&lt;=H139)</f>
        <v>0</v>
      </c>
      <c r="N139" s="144" t="b">
        <f>AND(E108&lt;&gt;"",E108&gt;H138,E108&lt;=H139)</f>
        <v>0</v>
      </c>
      <c r="O139" s="144" t="b">
        <f>AND(E109&lt;&gt;"",E109&gt;H138,E109&lt;=H139)</f>
        <v>0</v>
      </c>
      <c r="P139" s="144" t="b">
        <f>AND(E110&lt;&gt;"",E110&gt;H138,E110&lt;=H139)</f>
        <v>0</v>
      </c>
      <c r="Q139" s="144" t="b">
        <f>AND(E111&lt;&gt;"",E111&gt;H138,E111&lt;=H139)</f>
        <v>0</v>
      </c>
      <c r="R139" s="144" t="b">
        <f>AND(E112&lt;&gt;"",E112&gt;H138,E112&lt;=H139)</f>
        <v>0</v>
      </c>
      <c r="S139" s="144" t="b">
        <f>AND(E113&lt;&gt;"",E113&gt;H138,E113&lt;=H139)</f>
        <v>0</v>
      </c>
      <c r="T139" s="144" t="b">
        <f>AND(E114&lt;&gt;"",E114&gt;H138,E114&lt;=H139)</f>
        <v>0</v>
      </c>
      <c r="U139" s="144" t="b">
        <f>AND(E115&lt;&gt;"",E115&gt;H138,E115&lt;=H139)</f>
        <v>0</v>
      </c>
      <c r="V139" s="144" t="b">
        <f>AND(E116&lt;&gt;"",E116&gt;H138,E116&lt;=H139)</f>
        <v>0</v>
      </c>
      <c r="W139" s="144" t="b">
        <f>AND(E117&lt;&gt;"",E117&gt;H138,E117&lt;=H139)</f>
        <v>0</v>
      </c>
      <c r="X139" s="144" t="b">
        <f>AND(E119&lt;&gt;"",E119&gt;H138,E119&lt;=H139)</f>
        <v>0</v>
      </c>
      <c r="Y139" s="144" t="b">
        <f>AND(E120&lt;&gt;"",E120&gt;H138,E120&lt;=H139)</f>
        <v>0</v>
      </c>
      <c r="Z139" s="144" t="b">
        <f>AND(E121&lt;&gt;"",E121&gt;H138,E121&lt;=H139)</f>
        <v>0</v>
      </c>
      <c r="AA139" s="144" t="b">
        <f>AND(E122&lt;&gt;"",E122&gt;H138,E122&lt;=H139)</f>
        <v>0</v>
      </c>
      <c r="AB139" s="144" t="b">
        <f>AND(E123&lt;&gt;"",E123&gt;H138,E123&lt;=H139)</f>
        <v>0</v>
      </c>
      <c r="AC139" s="144" t="b">
        <f>AND(E124&lt;&gt;"",E124&gt;H138,E124&lt;=H139)</f>
        <v>0</v>
      </c>
      <c r="AD139" s="144" t="b">
        <f>AND(E125&lt;&gt;"",E125&gt;H138,E125&lt;=H139)</f>
        <v>0</v>
      </c>
      <c r="AE139" s="144" t="b">
        <f>AND(E126&lt;&gt;"",E126&gt;H138,E126&lt;=H139)</f>
        <v>0</v>
      </c>
      <c r="AF139" s="144" t="b">
        <f>AND(E127&lt;&gt;"",E127&gt;H138,E127&lt;=H139)</f>
        <v>0</v>
      </c>
      <c r="AG139" s="144" t="b">
        <f>AND(F103&lt;&gt;"",F103&gt;H138,F103&lt;=H139)</f>
        <v>0</v>
      </c>
      <c r="AH139" s="144" t="b">
        <f>AND(F104&lt;&gt;"",F104&gt;H138,F104&lt;=H139)</f>
        <v>0</v>
      </c>
      <c r="AI139" s="144" t="b">
        <f>AND(F105&lt;&gt;"",F105&gt;H138,F105&lt;=H139)</f>
        <v>0</v>
      </c>
      <c r="AJ139" s="144" t="b">
        <f>AND(F106&lt;&gt;"",F106&gt;H138,F106&lt;=H139)</f>
        <v>0</v>
      </c>
      <c r="AK139" s="144" t="b">
        <f>AND(F107&lt;&gt;"",F107&gt;H138,F107&lt;=H139)</f>
        <v>0</v>
      </c>
      <c r="AL139" s="144" t="b">
        <f>AND(F108&lt;&gt;"",F108&gt;H138,F108&lt;=H139)</f>
        <v>0</v>
      </c>
      <c r="AM139" s="144" t="b">
        <f>AND(F109&lt;&gt;"",F109&gt;H138,F109&lt;=H139)</f>
        <v>0</v>
      </c>
      <c r="AN139" s="144" t="b">
        <f>AND(F110&lt;&gt;"",F110&gt;H138,F110&lt;=H139)</f>
        <v>0</v>
      </c>
      <c r="AO139" s="144" t="b">
        <f>AND(F111&lt;&gt;"",F111&gt;H138,F111&lt;=H139)</f>
        <v>0</v>
      </c>
      <c r="AP139" s="144" t="b">
        <f>AND(F112&lt;&gt;"",F112&gt;H138,F112&lt;=H139)</f>
        <v>0</v>
      </c>
      <c r="AQ139" s="144" t="b">
        <f>AND(F113&lt;&gt;"",F113&gt;H138,F113&lt;=H139)</f>
        <v>0</v>
      </c>
      <c r="AR139" s="144" t="b">
        <f>AND(F114&lt;&gt;"",F114&gt;H138,F114&lt;=H139)</f>
        <v>0</v>
      </c>
      <c r="AS139" s="144" t="b">
        <f>AND(F115&lt;&gt;"",F115&gt;H138,F115&lt;=H139)</f>
        <v>0</v>
      </c>
      <c r="AT139" s="144" t="b">
        <f>AND(F116&lt;&gt;"",F116&gt;H138,F116&lt;=H139)</f>
        <v>0</v>
      </c>
      <c r="AU139" s="144" t="b">
        <f>AND(F117&lt;&gt;"",F117&gt;H138,F117&lt;=H139)</f>
        <v>0</v>
      </c>
      <c r="AV139" s="144" t="b">
        <f>AND(F118&lt;&gt;"",F118&gt;H138,F118&lt;=H139)</f>
        <v>0</v>
      </c>
      <c r="AW139" s="144" t="b">
        <f>AND(F119&lt;&gt;"",F119&gt;H138,F119&lt;=H139)</f>
        <v>0</v>
      </c>
      <c r="AX139" s="144" t="b">
        <f>AND(F120&lt;&gt;"",F120&gt;H138,F120&lt;=H139)</f>
        <v>0</v>
      </c>
      <c r="AY139" s="144" t="b">
        <f>AND(F121&lt;&gt;"",F121&gt;H138,F121&lt;=H139)</f>
        <v>0</v>
      </c>
      <c r="AZ139" s="144" t="b">
        <f>AND(F122&lt;&gt;"",F122&gt;H138,F122&lt;=H139)</f>
        <v>0</v>
      </c>
      <c r="BA139" s="144" t="b">
        <f>AND(F123&lt;&gt;"",F123&gt;H138,F123&lt;=H139)</f>
        <v>0</v>
      </c>
      <c r="BB139" s="144" t="b">
        <f>AND(F124&lt;&gt;"",F124&gt;H138,F124&lt;=H139)</f>
        <v>0</v>
      </c>
      <c r="BC139" s="144" t="b">
        <f>AND(F125&lt;&gt;"",F125&gt;H138,F125&lt;=H139)</f>
        <v>0</v>
      </c>
      <c r="BD139" s="144" t="b">
        <f>AND(F126&lt;&gt;"",F126&gt;H138,F126&lt;=H139)</f>
        <v>0</v>
      </c>
      <c r="BE139" s="144" t="b">
        <f>AND(F127&lt;&gt;"",F127&lt;&gt;" ",F127&gt;H138,F127&lt;=H139)</f>
        <v>0</v>
      </c>
      <c r="BF139" s="144">
        <f t="shared" si="6"/>
        <v>0</v>
      </c>
    </row>
    <row r="140" spans="1:58" s="125" customFormat="1" ht="12.95" customHeight="1">
      <c r="A140" s="144">
        <f>IF(F115="",0,IF(F115&gt;H102,1,0))</f>
        <v>0</v>
      </c>
      <c r="B140" s="144">
        <f>IF(F115="",0,IF(F115&lt;H104,1,0))</f>
        <v>0</v>
      </c>
      <c r="C140" s="144"/>
      <c r="D140" s="144"/>
      <c r="F140" s="125" t="e">
        <f>AND((H103+(3*H112))&gt;H103,(H103+(3*H112))&lt;(H103+(ABS(E132)/10)))</f>
        <v>#DIV/0!</v>
      </c>
      <c r="G140" s="217" t="e">
        <f>IF(F140=FALSE,H103+((ABS(E131))/10),"3 Sigmas")</f>
        <v>#DIV/0!</v>
      </c>
      <c r="H140" s="199">
        <f>(H103+(ABS(E131)/10))</f>
        <v>0</v>
      </c>
      <c r="I140" s="144" t="b">
        <f>AND(E103&lt;&gt;"",E103&lt;&gt;" ",E103&gt;H139,E103&lt;=H140)</f>
        <v>0</v>
      </c>
      <c r="J140" s="144" t="b">
        <f>AND(E104&lt;&gt;"",E104&gt;H139,E104&lt;=H140)</f>
        <v>0</v>
      </c>
      <c r="K140" s="144" t="b">
        <f>AND(E105&lt;&gt;"",E105&gt;H139,E105&lt;=H140)</f>
        <v>0</v>
      </c>
      <c r="L140" s="144" t="b">
        <f>AND(E106&lt;&gt;"",E106&gt;H139,E106&lt;=H140)</f>
        <v>0</v>
      </c>
      <c r="M140" s="144" t="b">
        <f>AND(E107&lt;&gt;"",E107&gt;H139,E107&lt;=H140)</f>
        <v>0</v>
      </c>
      <c r="N140" s="144" t="b">
        <f>AND(E108&lt;&gt;"",E108&gt;H139,E108&lt;=H140)</f>
        <v>0</v>
      </c>
      <c r="O140" s="144" t="b">
        <f>AND(E109&lt;&gt;"",E109&gt;H139,E109&lt;=H140)</f>
        <v>0</v>
      </c>
      <c r="P140" s="144" t="b">
        <f>AND(E110&lt;&gt;"",E110&gt;H139,E110&lt;=H140)</f>
        <v>0</v>
      </c>
      <c r="Q140" s="144" t="b">
        <f>AND(E111&lt;&gt;"",E111&gt;H139,E111&lt;=H140)</f>
        <v>0</v>
      </c>
      <c r="R140" s="144" t="b">
        <f>AND(E112&lt;&gt;"",E112&gt;H139,E112&lt;=H140)</f>
        <v>0</v>
      </c>
      <c r="S140" s="144" t="b">
        <f>AND(E113&lt;&gt;"",E113&gt;H139,E113&lt;=H140)</f>
        <v>0</v>
      </c>
      <c r="T140" s="144" t="b">
        <f>AND(E114&lt;&gt;"",E114&gt;H139,E114&lt;=H140)</f>
        <v>0</v>
      </c>
      <c r="U140" s="144" t="b">
        <f>AND(E115&lt;&gt;"",E115&gt;H139,E115&lt;=H140)</f>
        <v>0</v>
      </c>
      <c r="V140" s="144" t="b">
        <f>AND(E116&lt;&gt;"",E116&gt;H139,E116&lt;=H140)</f>
        <v>0</v>
      </c>
      <c r="W140" s="144" t="b">
        <f>AND(E117&lt;&gt;"",E117&gt;H139,E117&lt;=H140)</f>
        <v>0</v>
      </c>
      <c r="X140" s="144" t="b">
        <f>AND(E119&lt;&gt;"",E119&gt;H139,E119&lt;=H140)</f>
        <v>0</v>
      </c>
      <c r="Y140" s="144" t="b">
        <f>AND(E120&lt;&gt;"",E120&gt;H139,E120&lt;=H140)</f>
        <v>0</v>
      </c>
      <c r="Z140" s="144" t="b">
        <f>AND(E121&lt;&gt;"",E121&gt;H139,E121&lt;=H140)</f>
        <v>0</v>
      </c>
      <c r="AA140" s="144" t="b">
        <f>AND(E122&lt;&gt;"",E122&gt;H139,E122&lt;=H140)</f>
        <v>0</v>
      </c>
      <c r="AB140" s="144" t="b">
        <f>AND(E123&lt;&gt;"",E123&gt;H139,E123&lt;=H140)</f>
        <v>0</v>
      </c>
      <c r="AC140" s="144" t="b">
        <f>AND(E124&lt;&gt;"",E124&gt;H139,E124&lt;=H140)</f>
        <v>0</v>
      </c>
      <c r="AD140" s="144" t="b">
        <f>AND(E125&lt;&gt;"",E125&gt;H139,E125&lt;=H140)</f>
        <v>0</v>
      </c>
      <c r="AE140" s="144" t="b">
        <f>AND(E126&lt;&gt;"",E126&gt;H139,E126&lt;=H140)</f>
        <v>0</v>
      </c>
      <c r="AF140" s="144" t="b">
        <f>AND(E127&lt;&gt;"",E127&gt;H139,E127&lt;=H140)</f>
        <v>0</v>
      </c>
      <c r="AG140" s="144" t="b">
        <f>AND(F103&lt;&gt;"",F103&gt;H139,F103&lt;=H140)</f>
        <v>0</v>
      </c>
      <c r="AH140" s="144" t="b">
        <f>AND(F104&lt;&gt;"",F104&gt;H139,F104&lt;=H140)</f>
        <v>0</v>
      </c>
      <c r="AI140" s="144" t="b">
        <f>AND(F105&lt;&gt;"",F105&gt;H139,F105&lt;=H140)</f>
        <v>0</v>
      </c>
      <c r="AJ140" s="144" t="b">
        <f>AND(F106&lt;&gt;"",F106&gt;H139,F106&lt;=H140)</f>
        <v>0</v>
      </c>
      <c r="AK140" s="144" t="b">
        <f>AND(F107&lt;&gt;"",F107&gt;H139,F107&lt;=H140)</f>
        <v>0</v>
      </c>
      <c r="AL140" s="144" t="b">
        <f>AND(F108&lt;&gt;"",F108&gt;H139,F108&lt;=H140)</f>
        <v>0</v>
      </c>
      <c r="AM140" s="144" t="b">
        <f>AND(F109&lt;&gt;"",F109&gt;H139,F109&lt;=H140)</f>
        <v>0</v>
      </c>
      <c r="AN140" s="144" t="b">
        <f>AND(F110&lt;&gt;"",F110&gt;H139,F110&lt;=H140)</f>
        <v>0</v>
      </c>
      <c r="AO140" s="144" t="b">
        <f>AND(F111&lt;&gt;"",F111&gt;H139,F111&lt;=H140)</f>
        <v>0</v>
      </c>
      <c r="AP140" s="144" t="b">
        <f>AND(F112&lt;&gt;"",F112&gt;H139,F112&lt;=H140)</f>
        <v>0</v>
      </c>
      <c r="AQ140" s="144" t="b">
        <f>AND(F113&lt;&gt;"",F113&gt;H139,F113&lt;=H140)</f>
        <v>0</v>
      </c>
      <c r="AR140" s="144" t="b">
        <f>AND(F114&lt;&gt;"",F114&gt;H139,F114&lt;=H140)</f>
        <v>0</v>
      </c>
      <c r="AS140" s="144" t="b">
        <f>AND(F115&lt;&gt;"",F115&gt;H139,F115&lt;=H140)</f>
        <v>0</v>
      </c>
      <c r="AT140" s="144" t="b">
        <f>AND(F116&lt;&gt;"",F116&gt;H139,F116&lt;=H140)</f>
        <v>0</v>
      </c>
      <c r="AU140" s="144" t="b">
        <f>AND(F117&lt;&gt;"",F117&gt;H139,F117&lt;=H140)</f>
        <v>0</v>
      </c>
      <c r="AV140" s="144" t="b">
        <f>AND(F118&lt;&gt;"",F118&gt;H139,F118&lt;=H140)</f>
        <v>0</v>
      </c>
      <c r="AW140" s="144" t="b">
        <f>AND(F119&lt;&gt;"",F119&gt;H139,F119&lt;=H140)</f>
        <v>0</v>
      </c>
      <c r="AX140" s="144" t="b">
        <f>AND(F120&lt;&gt;"",F120&gt;H139,F120&lt;=H140)</f>
        <v>0</v>
      </c>
      <c r="AY140" s="144" t="b">
        <f>AND(F121&lt;&gt;"",F121&gt;H139,F121&lt;=H140)</f>
        <v>0</v>
      </c>
      <c r="AZ140" s="144" t="b">
        <f>AND(F122&lt;&gt;"",F122&gt;H139,F122&lt;=H140)</f>
        <v>0</v>
      </c>
      <c r="BA140" s="144" t="b">
        <f>AND(F123&lt;&gt;"",F123&gt;H139,F123&lt;=H140)</f>
        <v>0</v>
      </c>
      <c r="BB140" s="144" t="b">
        <f>AND(F124&lt;&gt;"",F124&gt;H139,F124&lt;=H140)</f>
        <v>0</v>
      </c>
      <c r="BC140" s="144" t="b">
        <f>AND(F125&lt;&gt;"",F125&gt;H139,F125&lt;=H140)</f>
        <v>0</v>
      </c>
      <c r="BD140" s="144" t="b">
        <f>AND(F126&lt;&gt;"",F126&gt;H139,F126&lt;=H140)</f>
        <v>0</v>
      </c>
      <c r="BE140" s="144" t="b">
        <f>AND(F127&lt;&gt;"",F127&lt;&gt;" ",F127&gt;H139,F127&lt;=H140)</f>
        <v>0</v>
      </c>
      <c r="BF140" s="144">
        <f t="shared" si="6"/>
        <v>0</v>
      </c>
    </row>
    <row r="141" spans="1:58" s="125" customFormat="1" ht="12.95" customHeight="1">
      <c r="A141" s="144">
        <f>IF(F116="",0,IF(F116&gt;H102,1,0))</f>
        <v>0</v>
      </c>
      <c r="B141" s="144">
        <f>IF(F116="",0,IF(F116&lt;H104,1,0))</f>
        <v>0</v>
      </c>
      <c r="C141" s="144"/>
      <c r="D141" s="144"/>
      <c r="F141" s="125" t="e">
        <f>AND((H103+(3*H112))&gt;(H103+(ABS(E132)/10)),(H103+(3*H112))&lt;(H103+(ABS(E132)/9)))</f>
        <v>#DIV/0!</v>
      </c>
      <c r="G141" s="217" t="e">
        <f>IF(F141=FALSE,H103+((ABS(E131))/9),"3 Sigmas")</f>
        <v>#DIV/0!</v>
      </c>
      <c r="H141" s="199">
        <f>(H103+(ABS(E131)/9))</f>
        <v>0</v>
      </c>
      <c r="I141" s="144" t="b">
        <f>AND(E103&lt;&gt;"",E103&lt;&gt;" ",E103&gt;H140,E103&lt;=H141)</f>
        <v>0</v>
      </c>
      <c r="J141" s="144" t="b">
        <f>AND(E104&lt;&gt;"",E104&gt;H140,E104&lt;=H141)</f>
        <v>0</v>
      </c>
      <c r="K141" s="144" t="b">
        <f>AND(E105&lt;&gt;"",E105&gt;H140,E105&lt;=H141)</f>
        <v>0</v>
      </c>
      <c r="L141" s="144" t="b">
        <f>AND(E106&lt;&gt;"",E106&gt;H140,E106&lt;=H141)</f>
        <v>0</v>
      </c>
      <c r="M141" s="144" t="b">
        <f>AND(E107&lt;&gt;"",E107&gt;H140,E107&lt;=H141)</f>
        <v>0</v>
      </c>
      <c r="N141" s="144" t="b">
        <f>AND(E108&lt;&gt;"",E108&gt;H140,E108&lt;=H141)</f>
        <v>0</v>
      </c>
      <c r="O141" s="144" t="b">
        <f>AND(E109&lt;&gt;"",E109&gt;H140,E109&lt;=H141)</f>
        <v>0</v>
      </c>
      <c r="P141" s="144" t="b">
        <f>AND(E110&lt;&gt;"",E110&gt;H140,E110&lt;=H141)</f>
        <v>0</v>
      </c>
      <c r="Q141" s="144" t="b">
        <f>AND(E111&lt;&gt;"",E111&gt;H140,E111&lt;=H141)</f>
        <v>0</v>
      </c>
      <c r="R141" s="144" t="b">
        <f>AND(E112&lt;&gt;"",E112&gt;H140,E112&lt;=H141)</f>
        <v>0</v>
      </c>
      <c r="S141" s="144" t="b">
        <f>AND(E113&lt;&gt;"",E113&gt;H140,E113&lt;=H141)</f>
        <v>0</v>
      </c>
      <c r="T141" s="144" t="b">
        <f>AND(E114&lt;&gt;"",E114&gt;H140,E114&lt;=H141)</f>
        <v>0</v>
      </c>
      <c r="U141" s="144" t="b">
        <f>AND(E115&lt;&gt;"",E115&gt;H140,E115&lt;=H141)</f>
        <v>0</v>
      </c>
      <c r="V141" s="144" t="b">
        <f>AND(E116&lt;&gt;"",E116&gt;H140,E116&lt;=H141)</f>
        <v>0</v>
      </c>
      <c r="W141" s="144" t="b">
        <f>AND(E117&lt;&gt;"",E117&gt;H140,E117&lt;=H141)</f>
        <v>0</v>
      </c>
      <c r="X141" s="144" t="b">
        <f>AND(E119&lt;&gt;"",E119&gt;H140,E119&lt;=H141)</f>
        <v>0</v>
      </c>
      <c r="Y141" s="144" t="b">
        <f>AND(E120&lt;&gt;"",E120&gt;H140,E120&lt;=H141)</f>
        <v>0</v>
      </c>
      <c r="Z141" s="144" t="b">
        <f>AND(E121&lt;&gt;"",E121&gt;H140,E121&lt;=H141)</f>
        <v>0</v>
      </c>
      <c r="AA141" s="144" t="b">
        <f>AND(E122&lt;&gt;"",E122&gt;H140,E122&lt;=H141)</f>
        <v>0</v>
      </c>
      <c r="AB141" s="144" t="b">
        <f>AND(E123&lt;&gt;"",E123&gt;H140,E123&lt;=H141)</f>
        <v>0</v>
      </c>
      <c r="AC141" s="144" t="b">
        <f>AND(E124&lt;&gt;"",E124&gt;H140,E124&lt;=H141)</f>
        <v>0</v>
      </c>
      <c r="AD141" s="144" t="b">
        <f>AND(E125&lt;&gt;"",E125&gt;H140,E125&lt;=H141)</f>
        <v>0</v>
      </c>
      <c r="AE141" s="144" t="b">
        <f>AND(E126&lt;&gt;"",E126&gt;H140,E126&lt;=H141)</f>
        <v>0</v>
      </c>
      <c r="AF141" s="144" t="b">
        <f>AND(E127&lt;&gt;"",E127&gt;H140,E127&lt;=H141)</f>
        <v>0</v>
      </c>
      <c r="AG141" s="144" t="b">
        <f>AND(F103&lt;&gt;"",F103&gt;H140,F103&lt;=H141)</f>
        <v>0</v>
      </c>
      <c r="AH141" s="144" t="b">
        <f>AND(F104&lt;&gt;"",F104&gt;H140,F104&lt;=H141)</f>
        <v>0</v>
      </c>
      <c r="AI141" s="144" t="b">
        <f>AND(F105&lt;&gt;"",F105&gt;H140,F105&lt;=H141)</f>
        <v>0</v>
      </c>
      <c r="AJ141" s="144" t="b">
        <f>AND(F106&lt;&gt;"",F106&gt;H140,F106&lt;=H141)</f>
        <v>0</v>
      </c>
      <c r="AK141" s="144" t="b">
        <f>AND(F107&lt;&gt;"",F107&gt;H140,F107&lt;=H141)</f>
        <v>0</v>
      </c>
      <c r="AL141" s="144" t="b">
        <f>AND(F108&lt;&gt;"",F108&gt;H140,F108&lt;=H141)</f>
        <v>0</v>
      </c>
      <c r="AM141" s="144" t="b">
        <f>AND(F109&lt;&gt;"",F109&gt;H140,F109&lt;=H141)</f>
        <v>0</v>
      </c>
      <c r="AN141" s="144" t="b">
        <f>AND(F110&lt;&gt;"",F110&gt;H140,F110&lt;=H141)</f>
        <v>0</v>
      </c>
      <c r="AO141" s="144" t="b">
        <f>AND(F111&lt;&gt;"",F111&gt;H140,F111&lt;=H141)</f>
        <v>0</v>
      </c>
      <c r="AP141" s="144" t="b">
        <f>AND(F112&lt;&gt;"",F112&gt;H140,F112&lt;=H141)</f>
        <v>0</v>
      </c>
      <c r="AQ141" s="144" t="b">
        <f>AND(F113&lt;&gt;"",F113&gt;H140,F113&lt;=H141)</f>
        <v>0</v>
      </c>
      <c r="AR141" s="144" t="b">
        <f>AND(F114&lt;&gt;"",F114&gt;H140,F114&lt;=H141)</f>
        <v>0</v>
      </c>
      <c r="AS141" s="144" t="b">
        <f>AND(F115&lt;&gt;"",F115&gt;H140,F115&lt;=H141)</f>
        <v>0</v>
      </c>
      <c r="AT141" s="144" t="b">
        <f>AND(F116&lt;&gt;"",F116&gt;H140,F116&lt;=H141)</f>
        <v>0</v>
      </c>
      <c r="AU141" s="144" t="b">
        <f>AND(F117&lt;&gt;"",F117&gt;H140,F117&lt;=H141)</f>
        <v>0</v>
      </c>
      <c r="AV141" s="144" t="b">
        <f>AND(F118&lt;&gt;"",F118&gt;H140,F118&lt;=H141)</f>
        <v>0</v>
      </c>
      <c r="AW141" s="144" t="b">
        <f>AND(F119&lt;&gt;"",F119&gt;H140,F119&lt;=H141)</f>
        <v>0</v>
      </c>
      <c r="AX141" s="144" t="b">
        <f>AND(F120&lt;&gt;"",F120&gt;H140,F120&lt;=H141)</f>
        <v>0</v>
      </c>
      <c r="AY141" s="144" t="b">
        <f>AND(F121&lt;&gt;"",F121&gt;H140,F121&lt;=H141)</f>
        <v>0</v>
      </c>
      <c r="AZ141" s="144" t="b">
        <f>AND(F122&lt;&gt;"",F122&gt;H140,F122&lt;=H141)</f>
        <v>0</v>
      </c>
      <c r="BA141" s="144" t="b">
        <f>AND(F123&lt;&gt;"",F123&gt;H140,F123&lt;=H141)</f>
        <v>0</v>
      </c>
      <c r="BB141" s="144" t="b">
        <f>AND(F124&lt;&gt;"",F124&gt;H140,F124&lt;=H141)</f>
        <v>0</v>
      </c>
      <c r="BC141" s="144" t="b">
        <f>AND(F125&lt;&gt;"",F125&gt;H140,F125&lt;=H141)</f>
        <v>0</v>
      </c>
      <c r="BD141" s="144" t="b">
        <f>AND(F126&lt;&gt;"",F126&gt;H140,F126&lt;=H141)</f>
        <v>0</v>
      </c>
      <c r="BE141" s="144" t="b">
        <f>AND(F127&lt;&gt;"",F127&lt;&gt;" ",F127&gt;H140,F127&lt;=H141)</f>
        <v>0</v>
      </c>
      <c r="BF141" s="144">
        <f t="shared" si="6"/>
        <v>0</v>
      </c>
    </row>
    <row r="142" spans="1:58" s="125" customFormat="1" ht="12.95" customHeight="1">
      <c r="A142" s="144">
        <f>IF(F117="",0,IF(F117&gt;H102,1,0))</f>
        <v>0</v>
      </c>
      <c r="B142" s="144">
        <f>IF(F117="",0,IF(F117&lt;H104,1,0))</f>
        <v>0</v>
      </c>
      <c r="C142" s="144"/>
      <c r="D142" s="144"/>
      <c r="F142" s="125" t="e">
        <f>AND((H103+(3*H112))&gt;(H103+(ABS(E132)/9)),(H103+(3*H112))&lt;(H103+(ABS(E132)/8)))</f>
        <v>#DIV/0!</v>
      </c>
      <c r="G142" s="217" t="e">
        <f>IF(F142=FALSE,H103+((ABS(E131))/8),"3 Sigmas")</f>
        <v>#DIV/0!</v>
      </c>
      <c r="H142" s="199">
        <f>(H103+(ABS(E131)/8))</f>
        <v>0</v>
      </c>
      <c r="I142" s="144" t="b">
        <f>AND(E103&lt;&gt;"",E103&lt;&gt;" ",E103&gt;H141,E103&lt;=H142)</f>
        <v>0</v>
      </c>
      <c r="J142" s="144" t="b">
        <f>AND(E104&lt;&gt;"",E104&gt;H141,E104&lt;=H142)</f>
        <v>0</v>
      </c>
      <c r="K142" s="144" t="b">
        <f>AND(E105&lt;&gt;"",E105&gt;H141,E105&lt;=H142)</f>
        <v>0</v>
      </c>
      <c r="L142" s="144" t="b">
        <f>AND(E106&lt;&gt;"",E106&gt;H141,E106&lt;=H142)</f>
        <v>0</v>
      </c>
      <c r="M142" s="144" t="b">
        <f>AND(E107&lt;&gt;"",E107&gt;H141,E107&lt;=H142)</f>
        <v>0</v>
      </c>
      <c r="N142" s="144" t="b">
        <f>AND(E108&lt;&gt;"",E108&gt;H141,E108&lt;=H142)</f>
        <v>0</v>
      </c>
      <c r="O142" s="144" t="b">
        <f>AND(E109&lt;&gt;"",E109&gt;H141,E109&lt;=H142)</f>
        <v>0</v>
      </c>
      <c r="P142" s="144" t="b">
        <f>AND(E110&lt;&gt;"",E110&gt;H141,E110&lt;=H142)</f>
        <v>0</v>
      </c>
      <c r="Q142" s="144" t="b">
        <f>AND(E111&lt;&gt;"",E111&gt;H141,E111&lt;=H142)</f>
        <v>0</v>
      </c>
      <c r="R142" s="144" t="b">
        <f>AND(E112&lt;&gt;"",E112&gt;H141,E112&lt;=H142)</f>
        <v>0</v>
      </c>
      <c r="S142" s="144" t="b">
        <f>AND(E113&lt;&gt;"",E113&gt;H141,E113&lt;=H142)</f>
        <v>0</v>
      </c>
      <c r="T142" s="144" t="b">
        <f>AND(E114&lt;&gt;"",E114&gt;H141,E114&lt;=H142)</f>
        <v>0</v>
      </c>
      <c r="U142" s="144" t="b">
        <f>AND(E115&lt;&gt;"",E115&gt;H141,E115&lt;=H142)</f>
        <v>0</v>
      </c>
      <c r="V142" s="144" t="b">
        <f>AND(E116&lt;&gt;"",E116&gt;H141,E116&lt;=H142)</f>
        <v>0</v>
      </c>
      <c r="W142" s="144" t="b">
        <f>AND(E117&lt;&gt;"",E117&gt;H141,E117&lt;=H142)</f>
        <v>0</v>
      </c>
      <c r="X142" s="144" t="b">
        <f>AND(E119&lt;&gt;"",E119&gt;H141,E119&lt;=H142)</f>
        <v>0</v>
      </c>
      <c r="Y142" s="144" t="b">
        <f>AND(E120&lt;&gt;"",E120&gt;H141,E120&lt;=H142)</f>
        <v>0</v>
      </c>
      <c r="Z142" s="144" t="b">
        <f>AND(E121&lt;&gt;"",E121&gt;H141,E121&lt;=H142)</f>
        <v>0</v>
      </c>
      <c r="AA142" s="144" t="b">
        <f>AND(E122&lt;&gt;"",E122&gt;H141,E122&lt;=H142)</f>
        <v>0</v>
      </c>
      <c r="AB142" s="144" t="b">
        <f>AND(E123&lt;&gt;"",E123&gt;H141,E123&lt;=H142)</f>
        <v>0</v>
      </c>
      <c r="AC142" s="144" t="b">
        <f>AND(E124&lt;&gt;"",E124&gt;H141,E124&lt;=H142)</f>
        <v>0</v>
      </c>
      <c r="AD142" s="144" t="b">
        <f>AND(E125&lt;&gt;"",E125&gt;H141,E125&lt;=H142)</f>
        <v>0</v>
      </c>
      <c r="AE142" s="144" t="b">
        <f>AND(E126&lt;&gt;"",E126&gt;H141,E126&lt;=H142)</f>
        <v>0</v>
      </c>
      <c r="AF142" s="144" t="b">
        <f>AND(E127&lt;&gt;"",E127&gt;H141,E127&lt;=H142)</f>
        <v>0</v>
      </c>
      <c r="AG142" s="144" t="b">
        <f>AND(F103&lt;&gt;"",F103&gt;H141,F103&lt;=H142)</f>
        <v>0</v>
      </c>
      <c r="AH142" s="144" t="b">
        <f>AND(F104&lt;&gt;"",F104&gt;H141,F104&lt;=H142)</f>
        <v>0</v>
      </c>
      <c r="AI142" s="144" t="b">
        <f>AND(F105&lt;&gt;"",F105&gt;H141,F105&lt;=H142)</f>
        <v>0</v>
      </c>
      <c r="AJ142" s="144" t="b">
        <f>AND(F106&lt;&gt;"",F106&gt;H141,F106&lt;=H142)</f>
        <v>0</v>
      </c>
      <c r="AK142" s="144" t="b">
        <f>AND(F107&lt;&gt;"",F107&gt;H141,F107&lt;=H142)</f>
        <v>0</v>
      </c>
      <c r="AL142" s="144" t="b">
        <f>AND(F108&lt;&gt;"",F108&gt;H141,F108&lt;=H142)</f>
        <v>0</v>
      </c>
      <c r="AM142" s="144" t="b">
        <f>AND(F109&lt;&gt;"",F109&gt;H141,F109&lt;=H142)</f>
        <v>0</v>
      </c>
      <c r="AN142" s="144" t="b">
        <f>AND(F110&lt;&gt;"",F110&gt;H141,F110&lt;=H142)</f>
        <v>0</v>
      </c>
      <c r="AO142" s="144" t="b">
        <f>AND(F111&lt;&gt;"",F111&gt;H141,F111&lt;=H142)</f>
        <v>0</v>
      </c>
      <c r="AP142" s="144" t="b">
        <f>AND(F112&lt;&gt;"",F112&gt;H141,F112&lt;=H142)</f>
        <v>0</v>
      </c>
      <c r="AQ142" s="144" t="b">
        <f>AND(F113&lt;&gt;"",F113&gt;H141,F113&lt;=H142)</f>
        <v>0</v>
      </c>
      <c r="AR142" s="144" t="b">
        <f>AND(F114&lt;&gt;"",F114&gt;H141,F114&lt;=H142)</f>
        <v>0</v>
      </c>
      <c r="AS142" s="144" t="b">
        <f>AND(F115&lt;&gt;"",F115&gt;H141,F115&lt;=H142)</f>
        <v>0</v>
      </c>
      <c r="AT142" s="144" t="b">
        <f>AND(F116&lt;&gt;"",F116&gt;H141,F116&lt;=H142)</f>
        <v>0</v>
      </c>
      <c r="AU142" s="144" t="b">
        <f>AND(F117&lt;&gt;"",F117&gt;H141,F117&lt;=H142)</f>
        <v>0</v>
      </c>
      <c r="AV142" s="144" t="b">
        <f>AND(F118&lt;&gt;"",F118&gt;H141,F118&lt;=H142)</f>
        <v>0</v>
      </c>
      <c r="AW142" s="144" t="b">
        <f>AND(F119&lt;&gt;"",F119&gt;H141,F119&lt;=H142)</f>
        <v>0</v>
      </c>
      <c r="AX142" s="144" t="b">
        <f>AND(F120&lt;&gt;"",F120&gt;H141,F120&lt;=H142)</f>
        <v>0</v>
      </c>
      <c r="AY142" s="144" t="b">
        <f>AND(F121&lt;&gt;"",F121&gt;H141,F121&lt;=H142)</f>
        <v>0</v>
      </c>
      <c r="AZ142" s="144" t="b">
        <f>AND(F122&lt;&gt;"",F122&gt;H141,F122&lt;=H142)</f>
        <v>0</v>
      </c>
      <c r="BA142" s="144" t="b">
        <f>AND(F123&lt;&gt;"",F123&gt;H141,F123&lt;=H142)</f>
        <v>0</v>
      </c>
      <c r="BB142" s="144" t="b">
        <f>AND(F124&lt;&gt;"",F124&gt;H141,F124&lt;=H142)</f>
        <v>0</v>
      </c>
      <c r="BC142" s="144" t="b">
        <f>AND(F125&lt;&gt;"",F125&gt;H141,F125&lt;=H142)</f>
        <v>0</v>
      </c>
      <c r="BD142" s="144" t="b">
        <f>AND(F126&lt;&gt;"",F126&gt;H141,F126&lt;=H142)</f>
        <v>0</v>
      </c>
      <c r="BE142" s="144" t="b">
        <f>AND(F127&lt;&gt;"",F127&lt;&gt;" ",F127&gt;H141,F127&lt;=H142)</f>
        <v>0</v>
      </c>
      <c r="BF142" s="144">
        <f t="shared" si="6"/>
        <v>0</v>
      </c>
    </row>
    <row r="143" spans="1:58" s="125" customFormat="1" ht="12.95" customHeight="1">
      <c r="A143" s="144">
        <f>IF(F118="",0,IF(F118&gt;H102,1,0))</f>
        <v>0</v>
      </c>
      <c r="B143" s="144">
        <f>IF(F118="",0,IF(F118&lt;H104,1,0))</f>
        <v>0</v>
      </c>
      <c r="C143" s="144"/>
      <c r="D143" s="144"/>
      <c r="F143" s="125" t="e">
        <f>AND((H103+(3*H112))&gt;(H103+(ABS(E132)/8)),(H103+(3*H112))&lt;(H103+(ABS(E132)/7)))</f>
        <v>#DIV/0!</v>
      </c>
      <c r="G143" s="217" t="e">
        <f>IF(F143=FALSE,H103+((ABS(E131))/7),"3 Sigmas")</f>
        <v>#DIV/0!</v>
      </c>
      <c r="H143" s="199">
        <f>(H103+(ABS(E131)/7))</f>
        <v>0</v>
      </c>
      <c r="I143" s="144" t="b">
        <f>AND(E103&lt;&gt;"",E103&lt;&gt;" ",E103&gt;H142,E103&lt;=H143)</f>
        <v>0</v>
      </c>
      <c r="J143" s="144" t="b">
        <f>AND(E104&lt;&gt;"",E104&gt;H142,E104&lt;=H143)</f>
        <v>0</v>
      </c>
      <c r="K143" s="144" t="b">
        <f>AND(E105&lt;&gt;"",E105&gt;H142,E105&lt;=H143)</f>
        <v>0</v>
      </c>
      <c r="L143" s="144" t="b">
        <f>AND(E106&lt;&gt;"",E106&gt;H142,E106&lt;=H143)</f>
        <v>0</v>
      </c>
      <c r="M143" s="144" t="b">
        <f>AND(E107&lt;&gt;"",E107&gt;H142,E107&lt;=H143)</f>
        <v>0</v>
      </c>
      <c r="N143" s="144" t="b">
        <f>AND(E108&lt;&gt;"",E108&gt;H142,E108&lt;=H143)</f>
        <v>0</v>
      </c>
      <c r="O143" s="144" t="b">
        <f>AND(E109&lt;&gt;"",E109&gt;H142,E109&lt;=H143)</f>
        <v>0</v>
      </c>
      <c r="P143" s="144" t="b">
        <f>AND(E110&lt;&gt;"",E110&gt;H142,E110&lt;=H143)</f>
        <v>0</v>
      </c>
      <c r="Q143" s="144" t="b">
        <f>AND(E111&lt;&gt;"",E111&gt;H142,E111&lt;=H143)</f>
        <v>0</v>
      </c>
      <c r="R143" s="144" t="b">
        <f>AND(E112&lt;&gt;"",E112&gt;H142,E112&lt;=H143)</f>
        <v>0</v>
      </c>
      <c r="S143" s="144" t="b">
        <f>AND(E113&lt;&gt;"",E113&gt;H142,E113&lt;=H143)</f>
        <v>0</v>
      </c>
      <c r="T143" s="144" t="b">
        <f>AND(E114&lt;&gt;"",E114&gt;H142,E114&lt;=H143)</f>
        <v>0</v>
      </c>
      <c r="U143" s="144" t="b">
        <f>AND(E115&lt;&gt;"",E115&gt;H142,E115&lt;=H143)</f>
        <v>0</v>
      </c>
      <c r="V143" s="144" t="b">
        <f>AND(E116&lt;&gt;"",E116&gt;H142,E116&lt;=H143)</f>
        <v>0</v>
      </c>
      <c r="W143" s="144" t="b">
        <f>AND(E117&lt;&gt;"",E117&gt;H142,E117&lt;=H143)</f>
        <v>0</v>
      </c>
      <c r="X143" s="144" t="b">
        <f>AND(E119&lt;&gt;"",E119&gt;H142,E119&lt;=H143)</f>
        <v>0</v>
      </c>
      <c r="Y143" s="144" t="b">
        <f>AND(E120&lt;&gt;"",E120&gt;H142,E120&lt;=H143)</f>
        <v>0</v>
      </c>
      <c r="Z143" s="144" t="b">
        <f>AND(E121&lt;&gt;"",E121&gt;H142,E121&lt;=H143)</f>
        <v>0</v>
      </c>
      <c r="AA143" s="144" t="b">
        <f>AND(E122&lt;&gt;"",E122&gt;H142,E122&lt;=H143)</f>
        <v>0</v>
      </c>
      <c r="AB143" s="144" t="b">
        <f>AND(E123&lt;&gt;"",E123&gt;H142,E123&lt;=H143)</f>
        <v>0</v>
      </c>
      <c r="AC143" s="144" t="b">
        <f>AND(E124&lt;&gt;"",E124&gt;H142,E124&lt;=H143)</f>
        <v>0</v>
      </c>
      <c r="AD143" s="144" t="b">
        <f>AND(E125&lt;&gt;"",E125&gt;H142,E125&lt;=H143)</f>
        <v>0</v>
      </c>
      <c r="AE143" s="144" t="b">
        <f>AND(E126&lt;&gt;"",E126&gt;H142,E126&lt;=H143)</f>
        <v>0</v>
      </c>
      <c r="AF143" s="144" t="b">
        <f>AND(E127&lt;&gt;"",E127&gt;H142,E127&lt;=H143)</f>
        <v>0</v>
      </c>
      <c r="AG143" s="144" t="b">
        <f>AND(F103&lt;&gt;"",F103&gt;H142,F103&lt;=H143)</f>
        <v>0</v>
      </c>
      <c r="AH143" s="144" t="b">
        <f>AND(F104&lt;&gt;"",F104&gt;H142,F104&lt;=H143)</f>
        <v>0</v>
      </c>
      <c r="AI143" s="144" t="b">
        <f>AND(F105&lt;&gt;"",F105&gt;H142,F105&lt;=H143)</f>
        <v>0</v>
      </c>
      <c r="AJ143" s="144" t="b">
        <f>AND(F106&lt;&gt;"",F106&gt;H142,F106&lt;=H143)</f>
        <v>0</v>
      </c>
      <c r="AK143" s="144" t="b">
        <f>AND(F107&lt;&gt;"",F107&gt;H142,F107&lt;=H143)</f>
        <v>0</v>
      </c>
      <c r="AL143" s="144" t="b">
        <f>AND(F108&lt;&gt;"",F108&gt;H142,F108&lt;=H143)</f>
        <v>0</v>
      </c>
      <c r="AM143" s="144" t="b">
        <f>AND(F109&lt;&gt;"",F109&gt;H142,F109&lt;=H143)</f>
        <v>0</v>
      </c>
      <c r="AN143" s="144" t="b">
        <f>AND(F110&lt;&gt;"",F110&gt;H142,F110&lt;=H143)</f>
        <v>0</v>
      </c>
      <c r="AO143" s="144" t="b">
        <f>AND(F111&lt;&gt;"",F111&gt;H142,F111&lt;=H143)</f>
        <v>0</v>
      </c>
      <c r="AP143" s="144" t="b">
        <f>AND(F112&lt;&gt;"",F112&gt;H142,F112&lt;=H143)</f>
        <v>0</v>
      </c>
      <c r="AQ143" s="144" t="b">
        <f>AND(F113&lt;&gt;"",F113&gt;H142,F113&lt;=H143)</f>
        <v>0</v>
      </c>
      <c r="AR143" s="144" t="b">
        <f>AND(F114&lt;&gt;"",F114&gt;H142,F114&lt;=H143)</f>
        <v>0</v>
      </c>
      <c r="AS143" s="144" t="b">
        <f>AND(F115&lt;&gt;"",F115&gt;H142,F115&lt;=H143)</f>
        <v>0</v>
      </c>
      <c r="AT143" s="144" t="b">
        <f>AND(F116&lt;&gt;"",F116&gt;H142,F116&lt;=H143)</f>
        <v>0</v>
      </c>
      <c r="AU143" s="144" t="b">
        <f>AND(F117&lt;&gt;"",F117&gt;H142,F117&lt;=H143)</f>
        <v>0</v>
      </c>
      <c r="AV143" s="144" t="b">
        <f>AND(F118&lt;&gt;"",F118&gt;H142,F118&lt;=H143)</f>
        <v>0</v>
      </c>
      <c r="AW143" s="144" t="b">
        <f>AND(F119&lt;&gt;"",F119&gt;H142,F119&lt;=H143)</f>
        <v>0</v>
      </c>
      <c r="AX143" s="144" t="b">
        <f>AND(F120&lt;&gt;"",F120&gt;H142,F120&lt;=H143)</f>
        <v>0</v>
      </c>
      <c r="AY143" s="144" t="b">
        <f>AND(F121&lt;&gt;"",F121&gt;H142,F121&lt;=H143)</f>
        <v>0</v>
      </c>
      <c r="AZ143" s="144" t="b">
        <f>AND(F122&lt;&gt;"",F122&gt;H142,F122&lt;=H143)</f>
        <v>0</v>
      </c>
      <c r="BA143" s="144" t="b">
        <f>AND(F123&lt;&gt;"",F123&gt;H142,F123&lt;=H143)</f>
        <v>0</v>
      </c>
      <c r="BB143" s="144" t="b">
        <f>AND(F124&lt;&gt;"",F124&gt;H142,F124&lt;=H143)</f>
        <v>0</v>
      </c>
      <c r="BC143" s="144" t="b">
        <f>AND(F125&lt;&gt;"",F125&gt;H142,F125&lt;=H143)</f>
        <v>0</v>
      </c>
      <c r="BD143" s="144" t="b">
        <f>AND(F126&lt;&gt;"",F126&gt;H142,F126&lt;=H143)</f>
        <v>0</v>
      </c>
      <c r="BE143" s="144" t="b">
        <f>AND(F127&lt;&gt;"",F127&lt;&gt;" ",F127&gt;H142,F127&lt;=H143)</f>
        <v>0</v>
      </c>
      <c r="BF143" s="144">
        <f t="shared" si="6"/>
        <v>0</v>
      </c>
    </row>
    <row r="144" spans="1:58" s="125" customFormat="1" ht="12.95" customHeight="1">
      <c r="A144" s="144">
        <f>IF(F119="",0,IF(F119&gt;H102,1,0))</f>
        <v>0</v>
      </c>
      <c r="B144" s="144">
        <f>IF(F119="",0,IF(F119&lt;H104,1,0))</f>
        <v>0</v>
      </c>
      <c r="C144" s="144"/>
      <c r="D144" s="144"/>
      <c r="F144" s="125" t="e">
        <f>AND((H103+(3*H112))&gt;(H103+(ABS(E132)/7)),(H103+(3*H112))&lt;(H103+(ABS(E132)/6)))</f>
        <v>#DIV/0!</v>
      </c>
      <c r="G144" s="217" t="e">
        <f>IF(F144=FALSE,H103+((ABS(E131))/6),"3 Sigmas")</f>
        <v>#DIV/0!</v>
      </c>
      <c r="H144" s="199">
        <f>(H103+(ABS(E131)/6))</f>
        <v>0</v>
      </c>
      <c r="I144" s="144" t="b">
        <f>AND(E103&lt;&gt;"",E103&lt;&gt;" ",E103&gt;H143,E103&lt;=H144)</f>
        <v>0</v>
      </c>
      <c r="J144" s="144" t="b">
        <f>AND(E104&lt;&gt;"",E104&gt;H143,E104&lt;=H144)</f>
        <v>0</v>
      </c>
      <c r="K144" s="144" t="b">
        <f>AND(E105&lt;&gt;"",E105&gt;H143,E105&lt;=H144)</f>
        <v>0</v>
      </c>
      <c r="L144" s="144" t="b">
        <f>AND(E106&lt;&gt;"",E106&gt;H143,E106&lt;=H144)</f>
        <v>0</v>
      </c>
      <c r="M144" s="144" t="b">
        <f>AND(E107&lt;&gt;"",E107&gt;H143,E107&lt;=H144)</f>
        <v>0</v>
      </c>
      <c r="N144" s="144" t="b">
        <f>AND(E108&lt;&gt;"",E108&gt;H143,E108&lt;=H144)</f>
        <v>0</v>
      </c>
      <c r="O144" s="144" t="b">
        <f>AND(E109&lt;&gt;"",E109&gt;H143,E109&lt;=H144)</f>
        <v>0</v>
      </c>
      <c r="P144" s="144" t="b">
        <f>AND(E110&lt;&gt;"",E110&gt;H143,E110&lt;=H144)</f>
        <v>0</v>
      </c>
      <c r="Q144" s="144" t="b">
        <f>AND(E111&lt;&gt;"",E111&gt;H143,E111&lt;=H144)</f>
        <v>0</v>
      </c>
      <c r="R144" s="144" t="b">
        <f>AND(E112&lt;&gt;"",E112&gt;H143,E112&lt;=H144)</f>
        <v>0</v>
      </c>
      <c r="S144" s="144" t="b">
        <f>AND(E113&lt;&gt;"",E113&gt;H143,E113&lt;=H144)</f>
        <v>0</v>
      </c>
      <c r="T144" s="144" t="b">
        <f>AND(E114&lt;&gt;"",E114&gt;H143,E114&lt;=H144)</f>
        <v>0</v>
      </c>
      <c r="U144" s="144" t="b">
        <f>AND(E115&lt;&gt;"",E115&gt;H143,E115&lt;=H144)</f>
        <v>0</v>
      </c>
      <c r="V144" s="144" t="b">
        <f>AND(E116&lt;&gt;"",E116&gt;H143,E116&lt;=H144)</f>
        <v>0</v>
      </c>
      <c r="W144" s="144" t="b">
        <f>AND(E117&lt;&gt;"",E117&gt;H143,E117&lt;=H144)</f>
        <v>0</v>
      </c>
      <c r="X144" s="144" t="b">
        <f>AND(E119&lt;&gt;"",E119&gt;H143,E119&lt;=H144)</f>
        <v>0</v>
      </c>
      <c r="Y144" s="144" t="b">
        <f>AND(E120&lt;&gt;"",E120&gt;H143,E120&lt;=H144)</f>
        <v>0</v>
      </c>
      <c r="Z144" s="144" t="b">
        <f>AND(E121&lt;&gt;"",E121&gt;H143,E121&lt;=H144)</f>
        <v>0</v>
      </c>
      <c r="AA144" s="144" t="b">
        <f>AND(E122&lt;&gt;"",E122&gt;H143,E122&lt;=H144)</f>
        <v>0</v>
      </c>
      <c r="AB144" s="144" t="b">
        <f>AND(E123&lt;&gt;"",E123&gt;H143,E123&lt;=H144)</f>
        <v>0</v>
      </c>
      <c r="AC144" s="144" t="b">
        <f>AND(E124&lt;&gt;"",E124&gt;H143,E124&lt;=H144)</f>
        <v>0</v>
      </c>
      <c r="AD144" s="144" t="b">
        <f>AND(E125&lt;&gt;"",E125&gt;H143,E125&lt;=H144)</f>
        <v>0</v>
      </c>
      <c r="AE144" s="144" t="b">
        <f>AND(E126&lt;&gt;"",E126&gt;H143,E126&lt;=H144)</f>
        <v>0</v>
      </c>
      <c r="AF144" s="144" t="b">
        <f>AND(E127&lt;&gt;"",E127&gt;H143,E127&lt;=H144)</f>
        <v>0</v>
      </c>
      <c r="AG144" s="144" t="b">
        <f>AND(F103&lt;&gt;"",F103&gt;H143,F103&lt;=H144)</f>
        <v>0</v>
      </c>
      <c r="AH144" s="144" t="b">
        <f>AND(F104&lt;&gt;"",F104&gt;H143,F104&lt;=H144)</f>
        <v>0</v>
      </c>
      <c r="AI144" s="144" t="b">
        <f>AND(F105&lt;&gt;"",F105&gt;H143,F105&lt;=H144)</f>
        <v>0</v>
      </c>
      <c r="AJ144" s="144" t="b">
        <f>AND(F106&lt;&gt;"",F106&gt;H143,F106&lt;=H144)</f>
        <v>0</v>
      </c>
      <c r="AK144" s="144" t="b">
        <f>AND(F107&lt;&gt;"",F107&gt;H143,F107&lt;=H144)</f>
        <v>0</v>
      </c>
      <c r="AL144" s="144" t="b">
        <f>AND(F108&lt;&gt;"",F108&gt;H143,F108&lt;=H144)</f>
        <v>0</v>
      </c>
      <c r="AM144" s="144" t="b">
        <f>AND(F109&lt;&gt;"",F109&gt;H143,F109&lt;=H144)</f>
        <v>0</v>
      </c>
      <c r="AN144" s="144" t="b">
        <f>AND(F110&lt;&gt;"",F110&gt;H143,F110&lt;=H144)</f>
        <v>0</v>
      </c>
      <c r="AO144" s="144" t="b">
        <f>AND(F111&lt;&gt;"",F111&gt;H143,F111&lt;=H144)</f>
        <v>0</v>
      </c>
      <c r="AP144" s="144" t="b">
        <f>AND(F112&lt;&gt;"",F112&gt;H143,F112&lt;=H144)</f>
        <v>0</v>
      </c>
      <c r="AQ144" s="144" t="b">
        <f>AND(F113&lt;&gt;"",F113&gt;H143,F113&lt;=H144)</f>
        <v>0</v>
      </c>
      <c r="AR144" s="144" t="b">
        <f>AND(F114&lt;&gt;"",F114&gt;H143,F114&lt;=H144)</f>
        <v>0</v>
      </c>
      <c r="AS144" s="144" t="b">
        <f>AND(F115&lt;&gt;"",F115&gt;H143,F115&lt;=H144)</f>
        <v>0</v>
      </c>
      <c r="AT144" s="144" t="b">
        <f>AND(F116&lt;&gt;"",F116&gt;H143,F116&lt;=H144)</f>
        <v>0</v>
      </c>
      <c r="AU144" s="144" t="b">
        <f>AND(F117&lt;&gt;"",F117&gt;H143,F117&lt;=H144)</f>
        <v>0</v>
      </c>
      <c r="AV144" s="144" t="b">
        <f>AND(F118&lt;&gt;"",F118&gt;H143,F118&lt;=H144)</f>
        <v>0</v>
      </c>
      <c r="AW144" s="144" t="b">
        <f>AND(F119&lt;&gt;"",F119&gt;H143,F119&lt;=H144)</f>
        <v>0</v>
      </c>
      <c r="AX144" s="144" t="b">
        <f>AND(F120&lt;&gt;"",F120&gt;H143,F120&lt;=H144)</f>
        <v>0</v>
      </c>
      <c r="AY144" s="144" t="b">
        <f>AND(F121&lt;&gt;"",F121&gt;H143,F121&lt;=H144)</f>
        <v>0</v>
      </c>
      <c r="AZ144" s="144" t="b">
        <f>AND(F122&lt;&gt;"",F122&gt;H143,F122&lt;=H144)</f>
        <v>0</v>
      </c>
      <c r="BA144" s="144" t="b">
        <f>AND(F123&lt;&gt;"",F123&gt;H143,F123&lt;=H144)</f>
        <v>0</v>
      </c>
      <c r="BB144" s="144" t="b">
        <f>AND(F124&lt;&gt;"",F124&gt;H143,F124&lt;=H144)</f>
        <v>0</v>
      </c>
      <c r="BC144" s="144" t="b">
        <f>AND(F125&lt;&gt;"",F125&gt;H143,F125&lt;=H144)</f>
        <v>0</v>
      </c>
      <c r="BD144" s="144" t="b">
        <f>AND(F126&lt;&gt;"",F126&gt;H143,F126&lt;=H144)</f>
        <v>0</v>
      </c>
      <c r="BE144" s="144" t="b">
        <f>AND(F127&lt;&gt;"",F127&lt;&gt;" ",F127&gt;H143,F127&lt;=H144)</f>
        <v>0</v>
      </c>
      <c r="BF144" s="144">
        <f t="shared" si="6"/>
        <v>0</v>
      </c>
    </row>
    <row r="145" spans="1:106" s="125" customFormat="1" ht="12.95" customHeight="1">
      <c r="A145" s="144">
        <f>IF(F120="",0,IF(F120&gt;H102,1,0))</f>
        <v>0</v>
      </c>
      <c r="B145" s="144">
        <f>IF(F120="",0,IF(F120&lt;H104,1,0))</f>
        <v>0</v>
      </c>
      <c r="C145" s="144"/>
      <c r="D145" s="144"/>
      <c r="F145" s="125" t="e">
        <f>AND((H103+(3*H112))&gt;(H103+(ABS(E132)/6)),(H103+(3*H112))&lt;(H103+(ABS(E132)/5)))</f>
        <v>#DIV/0!</v>
      </c>
      <c r="G145" s="217" t="e">
        <f>IF(F145=FALSE,"Cote Maxi","3 Sigmas")</f>
        <v>#DIV/0!</v>
      </c>
      <c r="H145" s="199">
        <f>(H103+(ABS(E131)/5))</f>
        <v>0</v>
      </c>
      <c r="I145" s="144" t="b">
        <f>AND(E103&lt;&gt;"",E103&lt;&gt;" ",E103&gt;H144,E103&lt;=H145)</f>
        <v>0</v>
      </c>
      <c r="J145" s="144" t="b">
        <f>AND(E104&lt;&gt;"",E104&gt;H144,E104&lt;=H145)</f>
        <v>0</v>
      </c>
      <c r="K145" s="144" t="b">
        <f>AND(E105&lt;&gt;"",E105&gt;H144,E105&lt;=H145)</f>
        <v>0</v>
      </c>
      <c r="L145" s="144" t="b">
        <f>AND(E106&lt;&gt;"",E106&gt;H144,E106&lt;=H145)</f>
        <v>0</v>
      </c>
      <c r="M145" s="144" t="b">
        <f>AND(E107&lt;&gt;"",E107&gt;H144,E107&lt;=H145)</f>
        <v>0</v>
      </c>
      <c r="N145" s="144" t="b">
        <f>AND(E108&lt;&gt;"",E108&gt;H144,E108&lt;=H145)</f>
        <v>0</v>
      </c>
      <c r="O145" s="144" t="b">
        <f>AND(E109&lt;&gt;"",E109&gt;H144,E109&lt;=H145)</f>
        <v>0</v>
      </c>
      <c r="P145" s="144" t="b">
        <f>AND(E110&lt;&gt;"",E110&gt;H144,E110&lt;=H145)</f>
        <v>0</v>
      </c>
      <c r="Q145" s="144" t="b">
        <f>AND(E111&lt;&gt;"",E111&gt;H144,E111&lt;=H145)</f>
        <v>0</v>
      </c>
      <c r="R145" s="144" t="b">
        <f>AND(E112&lt;&gt;"",E112&gt;H144,E112&lt;=H145)</f>
        <v>0</v>
      </c>
      <c r="S145" s="144" t="b">
        <f>AND(E113&lt;&gt;"",E113&gt;H144,E113&lt;=H145)</f>
        <v>0</v>
      </c>
      <c r="T145" s="144" t="b">
        <f>AND(E114&lt;&gt;"",E114&gt;H144,E114&lt;=H145)</f>
        <v>0</v>
      </c>
      <c r="U145" s="144" t="b">
        <f>AND(E115&lt;&gt;"",E115&gt;H144,E115&lt;=H145)</f>
        <v>0</v>
      </c>
      <c r="V145" s="144" t="b">
        <f>AND(E116&lt;&gt;"",E116&gt;H144,E116&lt;=H145)</f>
        <v>0</v>
      </c>
      <c r="W145" s="144" t="b">
        <f>AND(E117&lt;&gt;"",E117&gt;H144,E117&lt;=H145)</f>
        <v>0</v>
      </c>
      <c r="X145" s="144" t="b">
        <f>AND(E119&lt;&gt;"",E119&gt;H144,E119&lt;=H145)</f>
        <v>0</v>
      </c>
      <c r="Y145" s="144" t="b">
        <f>AND(E120&lt;&gt;"",E120&gt;H144,E120&lt;=H145)</f>
        <v>0</v>
      </c>
      <c r="Z145" s="144" t="b">
        <f>AND(E121&lt;&gt;"",E121&gt;H144,E121&lt;=H145)</f>
        <v>0</v>
      </c>
      <c r="AA145" s="144" t="b">
        <f>AND(E122&lt;&gt;"",E122&gt;H144,E122&lt;=H145)</f>
        <v>0</v>
      </c>
      <c r="AB145" s="144" t="b">
        <f>AND(E123&lt;&gt;"",E123&gt;H144,E123&lt;=H145)</f>
        <v>0</v>
      </c>
      <c r="AC145" s="144" t="b">
        <f>AND(E124&lt;&gt;"",E124&gt;H144,E124&lt;=H145)</f>
        <v>0</v>
      </c>
      <c r="AD145" s="144" t="b">
        <f>AND(E125&lt;&gt;"",E125&gt;H144,E125&lt;=H145)</f>
        <v>0</v>
      </c>
      <c r="AE145" s="144" t="b">
        <f>AND(E126&lt;&gt;"",E126&gt;H144,E126&lt;=H145)</f>
        <v>0</v>
      </c>
      <c r="AF145" s="144" t="b">
        <f>AND(E127&lt;&gt;"",E127&gt;H144,E127&lt;=H145)</f>
        <v>0</v>
      </c>
      <c r="AG145" s="144" t="b">
        <f>AND(F103&lt;&gt;"",F103&gt;H144,F103&lt;=H145)</f>
        <v>0</v>
      </c>
      <c r="AH145" s="144" t="b">
        <f>AND(F104&lt;&gt;"",F104&gt;H144,F104&lt;=H145)</f>
        <v>0</v>
      </c>
      <c r="AI145" s="144" t="b">
        <f>AND(F105&lt;&gt;"",F105&gt;H144,F105&lt;=H145)</f>
        <v>0</v>
      </c>
      <c r="AJ145" s="144" t="b">
        <f>AND(F106&lt;&gt;"",F106&gt;H144,F106&lt;=H145)</f>
        <v>0</v>
      </c>
      <c r="AK145" s="144" t="b">
        <f>AND(F107&lt;&gt;"",F107&gt;H144,F107&lt;=H145)</f>
        <v>0</v>
      </c>
      <c r="AL145" s="144" t="b">
        <f>AND(F108&lt;&gt;"",F108&gt;H144,F108&lt;=H145)</f>
        <v>0</v>
      </c>
      <c r="AM145" s="144" t="b">
        <f>AND(F109&lt;&gt;"",F109&gt;H144,F109&lt;=H145)</f>
        <v>0</v>
      </c>
      <c r="AN145" s="144" t="b">
        <f>AND(F110&lt;&gt;"",F110&gt;H144,F110&lt;=H145)</f>
        <v>0</v>
      </c>
      <c r="AO145" s="144" t="b">
        <f>AND(F111&lt;&gt;"",F111&gt;H144,F111&lt;=H145)</f>
        <v>0</v>
      </c>
      <c r="AP145" s="144" t="b">
        <f>AND(F112&lt;&gt;"",F112&gt;H144,F112&lt;=H145)</f>
        <v>0</v>
      </c>
      <c r="AQ145" s="144" t="b">
        <f>AND(F113&lt;&gt;"",F113&gt;H144,F113&lt;=H145)</f>
        <v>0</v>
      </c>
      <c r="AR145" s="144" t="b">
        <f>AND(F114&lt;&gt;"",F114&gt;H144,F114&lt;=H145)</f>
        <v>0</v>
      </c>
      <c r="AS145" s="144" t="b">
        <f>AND(F115&lt;&gt;"",F115&gt;H144,F115&lt;=H145)</f>
        <v>0</v>
      </c>
      <c r="AT145" s="144" t="b">
        <f>AND(F116&lt;&gt;"",F116&gt;H144,F116&lt;=H145)</f>
        <v>0</v>
      </c>
      <c r="AU145" s="144" t="b">
        <f>AND(F117&lt;&gt;"",F117&gt;H144,F117&lt;=H145)</f>
        <v>0</v>
      </c>
      <c r="AV145" s="144" t="b">
        <f>AND(F118&lt;&gt;"",F118&gt;H144,F118&lt;=H145)</f>
        <v>0</v>
      </c>
      <c r="AW145" s="144" t="b">
        <f>AND(F119&lt;&gt;"",F119&gt;H144,F119&lt;=H145)</f>
        <v>0</v>
      </c>
      <c r="AX145" s="144" t="b">
        <f>AND(F120&lt;&gt;"",F120&gt;H144,F120&lt;=H145)</f>
        <v>0</v>
      </c>
      <c r="AY145" s="144" t="b">
        <f>AND(F121&lt;&gt;"",F121&gt;H144,F121&lt;=H145)</f>
        <v>0</v>
      </c>
      <c r="AZ145" s="144" t="b">
        <f>AND(F122&lt;&gt;"",F122&gt;H144,F122&lt;=H145)</f>
        <v>0</v>
      </c>
      <c r="BA145" s="144" t="b">
        <f>AND(F123&lt;&gt;"",F123&gt;H144,F123&lt;=H145)</f>
        <v>0</v>
      </c>
      <c r="BB145" s="144" t="b">
        <f>AND(F124&lt;&gt;"",F124&gt;H144,F124&lt;=H145)</f>
        <v>0</v>
      </c>
      <c r="BC145" s="144" t="b">
        <f>AND(F125&lt;&gt;"",F125&gt;H144,F125&lt;=H145)</f>
        <v>0</v>
      </c>
      <c r="BD145" s="144" t="b">
        <f>AND(F126&lt;&gt;"",F126&gt;H144,F126&lt;=H145)</f>
        <v>0</v>
      </c>
      <c r="BE145" s="144" t="b">
        <f>AND(F127&lt;&gt;"",F127&lt;&gt;" ",F127&gt;H144,F127&lt;=H145)</f>
        <v>0</v>
      </c>
      <c r="BF145" s="144">
        <f t="shared" si="6"/>
        <v>0</v>
      </c>
    </row>
    <row r="146" spans="1:106" s="125" customFormat="1" ht="12.95" customHeight="1">
      <c r="A146" s="144">
        <f>IF(F121="",0,IF(F121&gt;H102,1,0))</f>
        <v>0</v>
      </c>
      <c r="B146" s="144">
        <f>IF(F121="",0,IF(F121&lt;H104,1,0))</f>
        <v>0</v>
      </c>
      <c r="C146" s="144"/>
      <c r="D146" s="144"/>
      <c r="F146" s="125" t="e">
        <f>AND((H103+(3*H112))&gt;(H103+(ABS(E132)/5)),(H103+(3*H112))&lt;(H103+(ABS(E132)/4)))</f>
        <v>#DIV/0!</v>
      </c>
      <c r="G146" s="217" t="e">
        <f>IF(F146=FALSE,H103+((ABS(E131))/4),"3 Sigmas")</f>
        <v>#DIV/0!</v>
      </c>
      <c r="H146" s="199">
        <f>(H103+(ABS(E131)/4))</f>
        <v>0</v>
      </c>
      <c r="I146" s="144" t="b">
        <f>AND(E103&lt;&gt;"",E103&lt;&gt;" ",E103&gt;H145,E103&lt;=H146)</f>
        <v>0</v>
      </c>
      <c r="J146" s="144" t="b">
        <f>AND(E104&lt;&gt;"",E104&gt;H145,E104&lt;=H146)</f>
        <v>0</v>
      </c>
      <c r="K146" s="144" t="b">
        <f>AND(E105&lt;&gt;"",E105&gt;H145,E105&lt;=H146)</f>
        <v>0</v>
      </c>
      <c r="L146" s="144" t="b">
        <f>AND(E106&lt;&gt;"",E106&gt;H145,E106&lt;=H146)</f>
        <v>0</v>
      </c>
      <c r="M146" s="144" t="b">
        <f>AND(E107&lt;&gt;"",E107&gt;H145,E107&lt;=H146)</f>
        <v>0</v>
      </c>
      <c r="N146" s="144" t="b">
        <f>AND(E108&lt;&gt;"",E108&gt;H145,E108&lt;=H146)</f>
        <v>0</v>
      </c>
      <c r="O146" s="144" t="b">
        <f>AND(E109&lt;&gt;"",E109&gt;H145,E109&lt;=H146)</f>
        <v>0</v>
      </c>
      <c r="P146" s="144" t="b">
        <f>AND(E110&lt;&gt;"",E110&gt;H145,E110&lt;=H146)</f>
        <v>0</v>
      </c>
      <c r="Q146" s="144" t="b">
        <f>AND(E111&lt;&gt;"",E111&gt;H145,E111&lt;=H146)</f>
        <v>0</v>
      </c>
      <c r="R146" s="144" t="b">
        <f>AND(E112&lt;&gt;"",E112&gt;H145,E112&lt;=H146)</f>
        <v>0</v>
      </c>
      <c r="S146" s="144" t="b">
        <f>AND(E113&lt;&gt;"",E113&gt;H145,E113&lt;=H146)</f>
        <v>0</v>
      </c>
      <c r="T146" s="144" t="b">
        <f>AND(E114&lt;&gt;"",E114&gt;H145,E114&lt;=H146)</f>
        <v>0</v>
      </c>
      <c r="U146" s="144" t="b">
        <f>AND(E115&lt;&gt;"",E115&gt;H145,E115&lt;=H146)</f>
        <v>0</v>
      </c>
      <c r="V146" s="144" t="b">
        <f>AND(E116&lt;&gt;"",E116&gt;H145,E116&lt;=H146)</f>
        <v>0</v>
      </c>
      <c r="W146" s="144" t="b">
        <f>AND(E117&lt;&gt;"",E117&gt;H145,E117&lt;=H146)</f>
        <v>0</v>
      </c>
      <c r="X146" s="144" t="b">
        <f>AND(E119&lt;&gt;"",E119&gt;H145,E119&lt;=H146)</f>
        <v>0</v>
      </c>
      <c r="Y146" s="144" t="b">
        <f>AND(E120&lt;&gt;"",E120&gt;H145,E120&lt;=H146)</f>
        <v>0</v>
      </c>
      <c r="Z146" s="144" t="b">
        <f>AND(E121&lt;&gt;"",E121&gt;H145,E121&lt;=H146)</f>
        <v>0</v>
      </c>
      <c r="AA146" s="144" t="b">
        <f>AND(E122&lt;&gt;"",E122&gt;H145,E122&lt;=H146)</f>
        <v>0</v>
      </c>
      <c r="AB146" s="144" t="b">
        <f>AND(E123&lt;&gt;"",E123&gt;H145,E123&lt;=H146)</f>
        <v>0</v>
      </c>
      <c r="AC146" s="144" t="b">
        <f>AND(E124&lt;&gt;"",E124&gt;H145,E124&lt;=H146)</f>
        <v>0</v>
      </c>
      <c r="AD146" s="144" t="b">
        <f>AND(E125&lt;&gt;"",E125&gt;H145,E125&lt;=H146)</f>
        <v>0</v>
      </c>
      <c r="AE146" s="144" t="b">
        <f>AND(E126&lt;&gt;"",E126&gt;H145,E126&lt;=H146)</f>
        <v>0</v>
      </c>
      <c r="AF146" s="144" t="b">
        <f>AND(E127&lt;&gt;"",E127&gt;H145,E127&lt;=H146)</f>
        <v>0</v>
      </c>
      <c r="AG146" s="144" t="b">
        <f>AND(F103&lt;&gt;"",F103&gt;H145,F103&lt;=H146)</f>
        <v>0</v>
      </c>
      <c r="AH146" s="144" t="b">
        <f>AND(F104&lt;&gt;"",F104&gt;H145,F104&lt;=H146)</f>
        <v>0</v>
      </c>
      <c r="AI146" s="144" t="b">
        <f>AND(F105&lt;&gt;"",F105&gt;H145,F105&lt;=H146)</f>
        <v>0</v>
      </c>
      <c r="AJ146" s="144" t="b">
        <f>AND(F106&lt;&gt;"",F106&gt;H145,F106&lt;=H146)</f>
        <v>0</v>
      </c>
      <c r="AK146" s="144" t="b">
        <f>AND(F107&lt;&gt;"",F107&gt;H145,F107&lt;=H146)</f>
        <v>0</v>
      </c>
      <c r="AL146" s="144" t="b">
        <f>AND(F108&lt;&gt;"",F108&gt;H145,F108&lt;=H146)</f>
        <v>0</v>
      </c>
      <c r="AM146" s="144" t="b">
        <f>AND(F109&lt;&gt;"",F109&gt;H145,F109&lt;=H146)</f>
        <v>0</v>
      </c>
      <c r="AN146" s="144" t="b">
        <f>AND(F110&lt;&gt;"",F110&gt;H145,F110&lt;=H146)</f>
        <v>0</v>
      </c>
      <c r="AO146" s="144" t="b">
        <f>AND(F111&lt;&gt;"",F111&gt;H145,F111&lt;=H146)</f>
        <v>0</v>
      </c>
      <c r="AP146" s="144" t="b">
        <f>AND(F112&lt;&gt;"",F112&gt;H145,F112&lt;=H146)</f>
        <v>0</v>
      </c>
      <c r="AQ146" s="144" t="b">
        <f>AND(F113&lt;&gt;"",F113&gt;H145,F113&lt;=H146)</f>
        <v>0</v>
      </c>
      <c r="AR146" s="144" t="b">
        <f>AND(F114&lt;&gt;"",F114&gt;H145,F114&lt;=H146)</f>
        <v>0</v>
      </c>
      <c r="AS146" s="144" t="b">
        <f>AND(F115&lt;&gt;"",F115&gt;H145,F115&lt;=H146)</f>
        <v>0</v>
      </c>
      <c r="AT146" s="144" t="b">
        <f>AND(F116&lt;&gt;"",F116&gt;H145,F116&lt;=H146)</f>
        <v>0</v>
      </c>
      <c r="AU146" s="144" t="b">
        <f>AND(F117&lt;&gt;"",F117&gt;H145,F117&lt;=H146)</f>
        <v>0</v>
      </c>
      <c r="AV146" s="144" t="b">
        <f>AND(F118&lt;&gt;"",F118&gt;H145,F118&lt;=H146)</f>
        <v>0</v>
      </c>
      <c r="AW146" s="144" t="b">
        <f>AND(F119&lt;&gt;"",F119&gt;H145,F119&lt;=H146)</f>
        <v>0</v>
      </c>
      <c r="AX146" s="144" t="b">
        <f>AND(F120&lt;&gt;"",F120&gt;H145,F120&lt;=H146)</f>
        <v>0</v>
      </c>
      <c r="AY146" s="144" t="b">
        <f>AND(F121&lt;&gt;"",F121&gt;H145,F121&lt;=H146)</f>
        <v>0</v>
      </c>
      <c r="AZ146" s="144" t="b">
        <f>AND(F122&lt;&gt;"",F122&gt;H145,F122&lt;=H146)</f>
        <v>0</v>
      </c>
      <c r="BA146" s="144" t="b">
        <f>AND(F123&lt;&gt;"",F123&gt;H145,F123&lt;=H146)</f>
        <v>0</v>
      </c>
      <c r="BB146" s="144" t="b">
        <f>AND(F124&lt;&gt;"",F124&gt;H145,F124&lt;=H146)</f>
        <v>0</v>
      </c>
      <c r="BC146" s="144" t="b">
        <f>AND(F125&lt;&gt;"",F125&gt;H145,F125&lt;=H146)</f>
        <v>0</v>
      </c>
      <c r="BD146" s="144" t="b">
        <f>AND(F126&lt;&gt;"",F126&gt;H145,F126&lt;=H146)</f>
        <v>0</v>
      </c>
      <c r="BE146" s="144" t="b">
        <f>AND(F127&lt;&gt;"",F127&lt;&gt;" ",F127&gt;H145,F127&lt;=H146)</f>
        <v>0</v>
      </c>
      <c r="BF146" s="144">
        <f t="shared" si="6"/>
        <v>0</v>
      </c>
    </row>
    <row r="147" spans="1:106" s="125" customFormat="1" ht="12.95" customHeight="1">
      <c r="A147" s="144">
        <f>IF(F122="",0,IF(F122&gt;H102,1,0))</f>
        <v>0</v>
      </c>
      <c r="B147" s="144">
        <f>IF(F122="",0,IF(F122&lt;H104,1,0))</f>
        <v>0</v>
      </c>
      <c r="C147" s="144"/>
      <c r="D147" s="144"/>
      <c r="F147" s="125" t="e">
        <f>AND((H103+(3*H112))&gt;(H103+(ABS(E132)/4)),(H103+(3*H112))&lt;(H103+(ABS(E132)/3)))</f>
        <v>#DIV/0!</v>
      </c>
      <c r="G147" s="217" t="e">
        <f>IF(F147=FALSE,H103+((ABS(E131))/3),"3 Sigmas")</f>
        <v>#DIV/0!</v>
      </c>
      <c r="H147" s="199">
        <f>(H103+(ABS(E131)/3))</f>
        <v>0</v>
      </c>
      <c r="I147" s="144" t="b">
        <f>AND(E103&lt;&gt;"",E103&lt;&gt;" ",E103&gt;H146,E103&lt;=H147)</f>
        <v>0</v>
      </c>
      <c r="J147" s="144" t="b">
        <f>AND(E104&lt;&gt;"",E104&gt;H146,E104&lt;=H147)</f>
        <v>0</v>
      </c>
      <c r="K147" s="144" t="b">
        <f>AND(E105&lt;&gt;"",E105&gt;H146,E105&lt;=H147)</f>
        <v>0</v>
      </c>
      <c r="L147" s="144" t="b">
        <f>AND(E106&lt;&gt;"",E106&gt;H146,E106&lt;=H147)</f>
        <v>0</v>
      </c>
      <c r="M147" s="144" t="b">
        <f>AND(E107&lt;&gt;"",E107&gt;H146,E107&lt;=H147)</f>
        <v>0</v>
      </c>
      <c r="N147" s="144" t="b">
        <f>AND(E108&lt;&gt;"",E108&gt;H146,E108&lt;=H147)</f>
        <v>0</v>
      </c>
      <c r="O147" s="144" t="b">
        <f>AND(E109&lt;&gt;"",E109&gt;H146,E109&lt;=H147)</f>
        <v>0</v>
      </c>
      <c r="P147" s="144" t="b">
        <f>AND(E110&lt;&gt;"",E110&gt;H146,E110&lt;=H147)</f>
        <v>0</v>
      </c>
      <c r="Q147" s="144" t="b">
        <f>AND(E111&lt;&gt;"",E111&gt;H146,E111&lt;=H147)</f>
        <v>0</v>
      </c>
      <c r="R147" s="144" t="b">
        <f>AND(E112&lt;&gt;"",E112&gt;H146,E112&lt;=H147)</f>
        <v>0</v>
      </c>
      <c r="S147" s="144" t="b">
        <f>AND(E113&lt;&gt;"",E113&gt;H146,E113&lt;=H147)</f>
        <v>0</v>
      </c>
      <c r="T147" s="144" t="b">
        <f>AND(E114&lt;&gt;"",E114&gt;H146,E114&lt;=H147)</f>
        <v>0</v>
      </c>
      <c r="U147" s="144" t="b">
        <f>AND(E115&lt;&gt;"",E115&gt;H146,E115&lt;=H147)</f>
        <v>0</v>
      </c>
      <c r="V147" s="144" t="b">
        <f>AND(E116&lt;&gt;"",E116&gt;H146,E116&lt;=H147)</f>
        <v>0</v>
      </c>
      <c r="W147" s="144" t="b">
        <f>AND(E117&lt;&gt;"",E117&gt;H146,E117&lt;=H147)</f>
        <v>0</v>
      </c>
      <c r="X147" s="144" t="b">
        <f>AND(E119&lt;&gt;"",E119&gt;H146,E119&lt;=H147)</f>
        <v>0</v>
      </c>
      <c r="Y147" s="144" t="b">
        <f>AND(E120&lt;&gt;"",E120&gt;H146,E120&lt;=H147)</f>
        <v>0</v>
      </c>
      <c r="Z147" s="144" t="b">
        <f>AND(E121&lt;&gt;"",E121&gt;H146,E121&lt;=H147)</f>
        <v>0</v>
      </c>
      <c r="AA147" s="144" t="b">
        <f>AND(E122&lt;&gt;"",E122&gt;H146,E122&lt;=H147)</f>
        <v>0</v>
      </c>
      <c r="AB147" s="144" t="b">
        <f>AND(E123&lt;&gt;"",E123&gt;H146,E123&lt;=H147)</f>
        <v>0</v>
      </c>
      <c r="AC147" s="144" t="b">
        <f>AND(E124&lt;&gt;"",E124&gt;H146,E124&lt;=H147)</f>
        <v>0</v>
      </c>
      <c r="AD147" s="144" t="b">
        <f>AND(E125&lt;&gt;"",E125&gt;H146,E125&lt;=H147)</f>
        <v>0</v>
      </c>
      <c r="AE147" s="144" t="b">
        <f>AND(E126&lt;&gt;"",E126&gt;H146,E126&lt;=H147)</f>
        <v>0</v>
      </c>
      <c r="AF147" s="144" t="b">
        <f>AND(E127&lt;&gt;"",E127&gt;H146,E127&lt;=H147)</f>
        <v>0</v>
      </c>
      <c r="AG147" s="144" t="b">
        <f>AND(F103&lt;&gt;"",F103&gt;H146,F103&lt;=H147)</f>
        <v>0</v>
      </c>
      <c r="AH147" s="144" t="b">
        <f>AND(F104&lt;&gt;"",F104&gt;H146,F104&lt;=H147)</f>
        <v>0</v>
      </c>
      <c r="AI147" s="144" t="b">
        <f>AND(F105&lt;&gt;"",F105&gt;H146,F105&lt;=H147)</f>
        <v>0</v>
      </c>
      <c r="AJ147" s="144" t="b">
        <f>AND(F106&lt;&gt;"",F106&gt;H146,F106&lt;=H147)</f>
        <v>0</v>
      </c>
      <c r="AK147" s="144" t="b">
        <f>AND(F107&lt;&gt;"",F107&gt;H146,F107&lt;=H147)</f>
        <v>0</v>
      </c>
      <c r="AL147" s="144" t="b">
        <f>AND(F108&lt;&gt;"",F108&gt;H146,F108&lt;=H147)</f>
        <v>0</v>
      </c>
      <c r="AM147" s="144" t="b">
        <f>AND(F109&lt;&gt;"",F109&gt;H146,F109&lt;=H147)</f>
        <v>0</v>
      </c>
      <c r="AN147" s="144" t="b">
        <f>AND(F110&lt;&gt;"",F110&gt;H146,F110&lt;=H147)</f>
        <v>0</v>
      </c>
      <c r="AO147" s="144" t="b">
        <f>AND(F111&lt;&gt;"",F111&gt;H146,F111&lt;=H147)</f>
        <v>0</v>
      </c>
      <c r="AP147" s="144" t="b">
        <f>AND(F112&lt;&gt;"",F112&gt;H146,F112&lt;=H147)</f>
        <v>0</v>
      </c>
      <c r="AQ147" s="144" t="b">
        <f>AND(F113&lt;&gt;"",F113&gt;H146,F113&lt;=H147)</f>
        <v>0</v>
      </c>
      <c r="AR147" s="144" t="b">
        <f>AND(F114&lt;&gt;"",F114&gt;H146,F114&lt;=H147)</f>
        <v>0</v>
      </c>
      <c r="AS147" s="144" t="b">
        <f>AND(F115&lt;&gt;"",F115&gt;H146,F115&lt;=H147)</f>
        <v>0</v>
      </c>
      <c r="AT147" s="144" t="b">
        <f>AND(F116&lt;&gt;"",F116&gt;H146,F116&lt;=H147)</f>
        <v>0</v>
      </c>
      <c r="AU147" s="144" t="b">
        <f>AND(F117&lt;&gt;"",F117&gt;H146,F117&lt;=H147)</f>
        <v>0</v>
      </c>
      <c r="AV147" s="144" t="b">
        <f>AND(F118&lt;&gt;"",F118&gt;H146,F118&lt;=H147)</f>
        <v>0</v>
      </c>
      <c r="AW147" s="144" t="b">
        <f>AND(F119&lt;&gt;"",F119&gt;H146,F119&lt;=H147)</f>
        <v>0</v>
      </c>
      <c r="AX147" s="144" t="b">
        <f>AND(F120&lt;&gt;"",F120&gt;H146,F120&lt;=H147)</f>
        <v>0</v>
      </c>
      <c r="AY147" s="144" t="b">
        <f>AND(F121&lt;&gt;"",F121&gt;H146,F121&lt;=H147)</f>
        <v>0</v>
      </c>
      <c r="AZ147" s="144" t="b">
        <f>AND(F122&lt;&gt;"",F122&gt;H146,F122&lt;=H147)</f>
        <v>0</v>
      </c>
      <c r="BA147" s="144" t="b">
        <f>AND(F123&lt;&gt;"",F123&gt;H146,F123&lt;=H147)</f>
        <v>0</v>
      </c>
      <c r="BB147" s="144" t="b">
        <f>AND(F124&lt;&gt;"",F124&gt;H146,F124&lt;=H147)</f>
        <v>0</v>
      </c>
      <c r="BC147" s="144" t="b">
        <f>AND(F125&lt;&gt;"",F125&gt;H146,F125&lt;=H147)</f>
        <v>0</v>
      </c>
      <c r="BD147" s="144" t="b">
        <f>AND(F126&lt;&gt;"",F126&gt;H146,F126&lt;=H147)</f>
        <v>0</v>
      </c>
      <c r="BE147" s="144" t="b">
        <f>AND(F127&lt;&gt;"",F127&lt;&gt;" ",F127&gt;H146,F127&lt;=H147)</f>
        <v>0</v>
      </c>
      <c r="BF147" s="144">
        <f t="shared" si="6"/>
        <v>0</v>
      </c>
    </row>
    <row r="148" spans="1:106" s="125" customFormat="1" ht="12.95" customHeight="1">
      <c r="A148" s="144">
        <f>IF(F123="",0,IF(F123&gt;H102,1,0))</f>
        <v>0</v>
      </c>
      <c r="B148" s="144">
        <f>IF(F123="",0,IF(F123&lt;H104,1,0))</f>
        <v>0</v>
      </c>
      <c r="C148" s="144"/>
      <c r="D148" s="144"/>
      <c r="F148" s="125" t="e">
        <f>AND((H103+(3*H112))&gt;(H103+(ABS(E132)/3)),(H103+(3*H112))&lt;(H103+(ABS(E132)/2)))</f>
        <v>#DIV/0!</v>
      </c>
      <c r="G148" s="217" t="e">
        <f>IF(F148=FALSE,H103+((ABS(E131))/2),"3 Sigmas")</f>
        <v>#DIV/0!</v>
      </c>
      <c r="H148" s="199">
        <f>(H103+(ABS(E131)/2))</f>
        <v>0</v>
      </c>
      <c r="I148" s="144" t="b">
        <f>AND(E103&lt;&gt;"",E103&lt;&gt;" ",E103&gt;H147,E103&lt;=H148)</f>
        <v>0</v>
      </c>
      <c r="J148" s="144" t="b">
        <f>AND(E104&lt;&gt;"",E104&gt;H147,E104&lt;=H148)</f>
        <v>0</v>
      </c>
      <c r="K148" s="144" t="b">
        <f>AND(E105&lt;&gt;"",E105&gt;H147,E105&lt;=H148)</f>
        <v>0</v>
      </c>
      <c r="L148" s="144" t="b">
        <f>AND(E106&lt;&gt;"",E106&gt;H147,E106&lt;=H148)</f>
        <v>0</v>
      </c>
      <c r="M148" s="144" t="b">
        <f>AND(E107&lt;&gt;"",E107&gt;H147,E107&lt;=H148)</f>
        <v>0</v>
      </c>
      <c r="N148" s="144" t="b">
        <f>AND(E108&lt;&gt;"",E108&gt;H147,E108&lt;=H148)</f>
        <v>0</v>
      </c>
      <c r="O148" s="144" t="b">
        <f>AND(E109&lt;&gt;"",E109&gt;H147,E109&lt;=H148)</f>
        <v>0</v>
      </c>
      <c r="P148" s="144" t="b">
        <f>AND(E110&lt;&gt;"",E110&gt;H147,E110&lt;=H148)</f>
        <v>0</v>
      </c>
      <c r="Q148" s="144" t="b">
        <f>AND(E111&lt;&gt;"",E111&gt;H147,E111&lt;=H148)</f>
        <v>0</v>
      </c>
      <c r="R148" s="144" t="b">
        <f>AND(E112&lt;&gt;"",E112&gt;H147,E112&lt;=H148)</f>
        <v>0</v>
      </c>
      <c r="S148" s="144" t="b">
        <f>AND(E113&lt;&gt;"",E113&gt;H147,E113&lt;=H148)</f>
        <v>0</v>
      </c>
      <c r="T148" s="144" t="b">
        <f>AND(E114&lt;&gt;"",E114&gt;H147,E114&lt;=H148)</f>
        <v>0</v>
      </c>
      <c r="U148" s="144" t="b">
        <f>AND(E115&lt;&gt;"",E115&gt;H147,E115&lt;=H148)</f>
        <v>0</v>
      </c>
      <c r="V148" s="144" t="b">
        <f>AND(E116&lt;&gt;"",E116&gt;H147,E116&lt;=H148)</f>
        <v>0</v>
      </c>
      <c r="W148" s="144" t="b">
        <f>AND(E117&lt;&gt;"",E117&gt;H147,E117&lt;=H148)</f>
        <v>0</v>
      </c>
      <c r="X148" s="144" t="b">
        <f>AND(E119&lt;&gt;"",E119&gt;H147,E119&lt;=H148)</f>
        <v>0</v>
      </c>
      <c r="Y148" s="144" t="b">
        <f>AND(E120&lt;&gt;"",E120&gt;H147,E120&lt;=H148)</f>
        <v>0</v>
      </c>
      <c r="Z148" s="144" t="b">
        <f>AND(E121&lt;&gt;"",E121&gt;H147,E121&lt;=H148)</f>
        <v>0</v>
      </c>
      <c r="AA148" s="144" t="b">
        <f>AND(E122&lt;&gt;"",E122&gt;H147,E122&lt;=H148)</f>
        <v>0</v>
      </c>
      <c r="AB148" s="144" t="b">
        <f>AND(E123&lt;&gt;"",E123&gt;H147,E123&lt;=H148)</f>
        <v>0</v>
      </c>
      <c r="AC148" s="144" t="b">
        <f>AND(E124&lt;&gt;"",E124&gt;H147,E124&lt;=H148)</f>
        <v>0</v>
      </c>
      <c r="AD148" s="144" t="b">
        <f>AND(E125&lt;&gt;"",E125&gt;H147,E125&lt;=H148)</f>
        <v>0</v>
      </c>
      <c r="AE148" s="144" t="b">
        <f>AND(E126&lt;&gt;"",E126&gt;H147,E126&lt;=H148)</f>
        <v>0</v>
      </c>
      <c r="AF148" s="144" t="b">
        <f>AND(E127&lt;&gt;"",E127&gt;H147,E127&lt;=H148)</f>
        <v>0</v>
      </c>
      <c r="AG148" s="144" t="b">
        <f>AND(F103&lt;&gt;"",F103&gt;H147,F103&lt;=H148)</f>
        <v>0</v>
      </c>
      <c r="AH148" s="144" t="b">
        <f>AND(F104&lt;&gt;"",F104&gt;H147,F104&lt;=H148)</f>
        <v>0</v>
      </c>
      <c r="AI148" s="144" t="b">
        <f>AND(F105&lt;&gt;"",F105&gt;H147,F105&lt;=H148)</f>
        <v>0</v>
      </c>
      <c r="AJ148" s="144" t="b">
        <f>AND(F106&lt;&gt;"",F106&gt;H147,F106&lt;=H148)</f>
        <v>0</v>
      </c>
      <c r="AK148" s="144" t="b">
        <f>AND(F107&lt;&gt;"",F107&gt;H147,F107&lt;=H148)</f>
        <v>0</v>
      </c>
      <c r="AL148" s="144" t="b">
        <f>AND(F108&lt;&gt;"",F108&gt;H147,F108&lt;=H148)</f>
        <v>0</v>
      </c>
      <c r="AM148" s="144" t="b">
        <f>AND(F109&lt;&gt;"",F109&gt;H147,F109&lt;=H148)</f>
        <v>0</v>
      </c>
      <c r="AN148" s="144" t="b">
        <f>AND(F110&lt;&gt;"",F110&gt;H147,F110&lt;=H148)</f>
        <v>0</v>
      </c>
      <c r="AO148" s="144" t="b">
        <f>AND(F111&lt;&gt;"",F111&gt;H147,F111&lt;=H148)</f>
        <v>0</v>
      </c>
      <c r="AP148" s="144" t="b">
        <f>AND(F112&lt;&gt;"",F112&gt;H147,F112&lt;=H148)</f>
        <v>0</v>
      </c>
      <c r="AQ148" s="144" t="b">
        <f>AND(F113&lt;&gt;"",F113&gt;H147,F113&lt;=H148)</f>
        <v>0</v>
      </c>
      <c r="AR148" s="144" t="b">
        <f>AND(F114&lt;&gt;"",F114&gt;H147,F114&lt;=H148)</f>
        <v>0</v>
      </c>
      <c r="AS148" s="144" t="b">
        <f>AND(F115&lt;&gt;"",F115&gt;H147,F115&lt;=H148)</f>
        <v>0</v>
      </c>
      <c r="AT148" s="144" t="b">
        <f>AND(F116&lt;&gt;"",F116&gt;H147,F116&lt;=H148)</f>
        <v>0</v>
      </c>
      <c r="AU148" s="144" t="b">
        <f>AND(F117&lt;&gt;"",F117&gt;H147,F117&lt;=H148)</f>
        <v>0</v>
      </c>
      <c r="AV148" s="144" t="b">
        <f>AND(F118&lt;&gt;"",F118&gt;H147,F118&lt;=H148)</f>
        <v>0</v>
      </c>
      <c r="AW148" s="144" t="b">
        <f>AND(F119&lt;&gt;"",F119&gt;H147,F119&lt;=H148)</f>
        <v>0</v>
      </c>
      <c r="AX148" s="144" t="b">
        <f>AND(F120&lt;&gt;"",F120&gt;H147,F120&lt;=H148)</f>
        <v>0</v>
      </c>
      <c r="AY148" s="144" t="b">
        <f>AND(F121&lt;&gt;"",F121&gt;H147,F121&lt;=H148)</f>
        <v>0</v>
      </c>
      <c r="AZ148" s="144" t="b">
        <f>AND(F122&lt;&gt;"",F122&gt;H147,F122&lt;=H148)</f>
        <v>0</v>
      </c>
      <c r="BA148" s="144" t="b">
        <f>AND(F123&lt;&gt;"",F123&gt;H147,F123&lt;=H148)</f>
        <v>0</v>
      </c>
      <c r="BB148" s="144" t="b">
        <f>AND(F124&lt;&gt;"",F124&gt;H147,F124&lt;=H148)</f>
        <v>0</v>
      </c>
      <c r="BC148" s="144" t="b">
        <f>AND(F125&lt;&gt;"",F125&gt;H147,F125&lt;=H148)</f>
        <v>0</v>
      </c>
      <c r="BD148" s="144" t="b">
        <f>AND(F126&lt;&gt;"",F126&gt;H147,F126&lt;=H148)</f>
        <v>0</v>
      </c>
      <c r="BE148" s="144" t="b">
        <f>AND(F127&lt;&gt;"",F127&lt;&gt;" ",F127&gt;H147,F127&lt;=H148)</f>
        <v>0</v>
      </c>
      <c r="BF148" s="144">
        <f t="shared" si="6"/>
        <v>0</v>
      </c>
    </row>
    <row r="149" spans="1:106" s="125" customFormat="1" ht="12.95" customHeight="1">
      <c r="A149" s="144">
        <f>IF(F124="",0,IF(F124&gt;H102,1,0))</f>
        <v>0</v>
      </c>
      <c r="B149" s="144">
        <f>IF(F124="",0,IF(F124&lt;H104,1,0))</f>
        <v>0</v>
      </c>
      <c r="C149" s="144"/>
      <c r="D149" s="144"/>
      <c r="F149" s="125" t="e">
        <f>AND((H103+(3*H112))&gt;(H103+(ABS(E132)/2)),(H103+(3*H112))&lt;(H103+(ABS(E132)/1)))</f>
        <v>#DIV/0!</v>
      </c>
      <c r="G149" s="217" t="e">
        <f>IF(F149=FALSE,H103+(ABS(E131)),"3 Sigmas")</f>
        <v>#DIV/0!</v>
      </c>
      <c r="H149" s="199">
        <f>(H103+(ABS(E131)/1))</f>
        <v>0</v>
      </c>
      <c r="I149" s="144" t="b">
        <f>AND(E103&lt;&gt;"",E103&lt;&gt;" ",E103&gt;H148,E103&lt;=H149)</f>
        <v>0</v>
      </c>
      <c r="J149" s="144" t="b">
        <f>AND(E104&lt;&gt;"",E104&gt;H148,E104&lt;=H149)</f>
        <v>0</v>
      </c>
      <c r="K149" s="144" t="b">
        <f>AND(E105&lt;&gt;"",E105&gt;H148,E105&lt;=H149)</f>
        <v>0</v>
      </c>
      <c r="L149" s="144" t="b">
        <f>AND(E106&lt;&gt;"",E106&gt;H148,E106&lt;=H149)</f>
        <v>0</v>
      </c>
      <c r="M149" s="144" t="b">
        <f>AND(E107&lt;&gt;"",E107&gt;H148,E107&lt;=H149)</f>
        <v>0</v>
      </c>
      <c r="N149" s="144" t="b">
        <f>AND(E108&lt;&gt;"",E108&gt;H148,E108&lt;=H149)</f>
        <v>0</v>
      </c>
      <c r="O149" s="144" t="b">
        <f>AND(E109&lt;&gt;"",E109&gt;H148,E109&lt;=H149)</f>
        <v>0</v>
      </c>
      <c r="P149" s="144" t="b">
        <f>AND(E110&lt;&gt;"",E110&gt;H148,E110&lt;=H149)</f>
        <v>0</v>
      </c>
      <c r="Q149" s="144" t="b">
        <f>AND(E111&lt;&gt;"",E111&gt;H148,E111&lt;=H149)</f>
        <v>0</v>
      </c>
      <c r="R149" s="144" t="b">
        <f>AND(E112&lt;&gt;"",E112&gt;H148,E112&lt;=H149)</f>
        <v>0</v>
      </c>
      <c r="S149" s="144" t="b">
        <f>AND(E113&lt;&gt;"",E113&gt;H148,E113&lt;=H149)</f>
        <v>0</v>
      </c>
      <c r="T149" s="144" t="b">
        <f>AND(E114&lt;&gt;"",E114&gt;H148,E114&lt;=H149)</f>
        <v>0</v>
      </c>
      <c r="U149" s="144" t="b">
        <f>AND(E115&lt;&gt;"",E115&gt;H148,E115&lt;=H149)</f>
        <v>0</v>
      </c>
      <c r="V149" s="144" t="b">
        <f>AND(E116&lt;&gt;"",E116&gt;H148,E116&lt;=H149)</f>
        <v>0</v>
      </c>
      <c r="W149" s="144" t="b">
        <f>AND(E117&lt;&gt;"",E117&gt;H148,E117&lt;=H149)</f>
        <v>0</v>
      </c>
      <c r="X149" s="144" t="b">
        <f>AND(E119&lt;&gt;"",E119&gt;H148,E119&lt;=H149)</f>
        <v>0</v>
      </c>
      <c r="Y149" s="144" t="b">
        <f>AND(E120&lt;&gt;"",E120&gt;H148,E120&lt;=H149)</f>
        <v>0</v>
      </c>
      <c r="Z149" s="144" t="b">
        <f>AND(E121&lt;&gt;"",E121&gt;H148,E121&lt;=H149)</f>
        <v>0</v>
      </c>
      <c r="AA149" s="144" t="b">
        <f>AND(E122&lt;&gt;"",E122&gt;H148,E122&lt;=H149)</f>
        <v>0</v>
      </c>
      <c r="AB149" s="144" t="b">
        <f>AND(E123&lt;&gt;"",E123&gt;H148,E123&lt;=H149)</f>
        <v>0</v>
      </c>
      <c r="AC149" s="144" t="b">
        <f>AND(E124&lt;&gt;"",E124&gt;H148,E124&lt;=H149)</f>
        <v>0</v>
      </c>
      <c r="AD149" s="144" t="b">
        <f>AND(E125&lt;&gt;"",E125&gt;H148,E125&lt;=H149)</f>
        <v>0</v>
      </c>
      <c r="AE149" s="144" t="b">
        <f>AND(E126&lt;&gt;"",E126&gt;H148,E126&lt;=H149)</f>
        <v>0</v>
      </c>
      <c r="AF149" s="144" t="b">
        <f>AND(E127&lt;&gt;"",E127&gt;H148,E127&lt;=H149)</f>
        <v>0</v>
      </c>
      <c r="AG149" s="144" t="b">
        <f>AND(F103&lt;&gt;"",F103&gt;H148,F103&lt;=H149)</f>
        <v>0</v>
      </c>
      <c r="AH149" s="144" t="b">
        <f>AND(F104&lt;&gt;"",F104&gt;H148,F104&lt;=H149)</f>
        <v>0</v>
      </c>
      <c r="AI149" s="144" t="b">
        <f>AND(F105&lt;&gt;"",F105&gt;H148,F105&lt;=H149)</f>
        <v>0</v>
      </c>
      <c r="AJ149" s="144" t="b">
        <f>AND(F106&lt;&gt;"",F106&gt;H148,F106&lt;=H149)</f>
        <v>0</v>
      </c>
      <c r="AK149" s="144" t="b">
        <f>AND(F107&lt;&gt;"",F107&gt;H148,F107&lt;=H149)</f>
        <v>0</v>
      </c>
      <c r="AL149" s="144" t="b">
        <f>AND(F108&lt;&gt;"",F108&gt;H148,F108&lt;=H149)</f>
        <v>0</v>
      </c>
      <c r="AM149" s="144" t="b">
        <f>AND(F109&lt;&gt;"",F109&gt;H148,F109&lt;=H149)</f>
        <v>0</v>
      </c>
      <c r="AN149" s="144" t="b">
        <f>AND(F110&lt;&gt;"",F110&gt;H148,F110&lt;=H149)</f>
        <v>0</v>
      </c>
      <c r="AO149" s="144" t="b">
        <f>AND(F111&lt;&gt;"",F111&gt;H148,F111&lt;=H149)</f>
        <v>0</v>
      </c>
      <c r="AP149" s="144" t="b">
        <f>AND(F112&lt;&gt;"",F112&gt;H148,F112&lt;=H149)</f>
        <v>0</v>
      </c>
      <c r="AQ149" s="144" t="b">
        <f>AND(F113&lt;&gt;"",F113&gt;H148,F113&lt;=H149)</f>
        <v>0</v>
      </c>
      <c r="AR149" s="144" t="b">
        <f>AND(F114&lt;&gt;"",F114&gt;H148,F114&lt;=H149)</f>
        <v>0</v>
      </c>
      <c r="AS149" s="144" t="b">
        <f>AND(F115&lt;&gt;"",F115&gt;H148,F115&lt;=H149)</f>
        <v>0</v>
      </c>
      <c r="AT149" s="144" t="b">
        <f>AND(F116&lt;&gt;"",F116&gt;H148,F116&lt;=H149)</f>
        <v>0</v>
      </c>
      <c r="AU149" s="144" t="b">
        <f>AND(F117&lt;&gt;"",F117&gt;H148,F117&lt;=H149)</f>
        <v>0</v>
      </c>
      <c r="AV149" s="144" t="b">
        <f>AND(F118&lt;&gt;"",F118&gt;H148,F118&lt;=H149)</f>
        <v>0</v>
      </c>
      <c r="AW149" s="144" t="b">
        <f>AND(F119&lt;&gt;"",F119&gt;H148,F119&lt;=H149)</f>
        <v>0</v>
      </c>
      <c r="AX149" s="144" t="b">
        <f>AND(F120&lt;&gt;"",F120&gt;H148,F120&lt;=H149)</f>
        <v>0</v>
      </c>
      <c r="AY149" s="144" t="b">
        <f>AND(F121&lt;&gt;"",F121&gt;H148,F121&lt;=H149)</f>
        <v>0</v>
      </c>
      <c r="AZ149" s="144" t="b">
        <f>AND(F122&lt;&gt;"",F122&gt;H148,F122&lt;=H149)</f>
        <v>0</v>
      </c>
      <c r="BA149" s="144" t="b">
        <f>AND(F123&lt;&gt;"",F123&gt;H148,F123&lt;=H149)</f>
        <v>0</v>
      </c>
      <c r="BB149" s="144" t="b">
        <f>AND(F124&lt;&gt;"",F124&gt;H148,F124&lt;=H149)</f>
        <v>0</v>
      </c>
      <c r="BC149" s="144" t="b">
        <f>AND(F125&lt;&gt;"",F125&gt;H148,F125&lt;=H149)</f>
        <v>0</v>
      </c>
      <c r="BD149" s="144" t="b">
        <f>AND(F126&lt;&gt;"",F126&gt;H148,F126&lt;=H149)</f>
        <v>0</v>
      </c>
      <c r="BE149" s="144" t="b">
        <f>AND(F127&lt;&gt;"",F127&lt;&gt;" ",F127&gt;H148,F127&lt;=H149)</f>
        <v>0</v>
      </c>
      <c r="BF149" s="144">
        <f t="shared" si="6"/>
        <v>0</v>
      </c>
    </row>
    <row r="150" spans="1:106" s="125" customFormat="1" ht="12.95" customHeight="1">
      <c r="A150" s="144">
        <f>IF(F125="",0,IF(F125&gt;H102,1,0))</f>
        <v>0</v>
      </c>
      <c r="B150" s="144">
        <f>IF(F125="",0,IF(F125&lt;H104,1,0))</f>
        <v>0</v>
      </c>
      <c r="C150" s="144"/>
      <c r="D150" s="144"/>
      <c r="G150" s="217"/>
      <c r="H150" s="199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44"/>
      <c r="V150" s="144"/>
      <c r="W150" s="144"/>
      <c r="X150" s="144"/>
      <c r="Y150" s="144"/>
      <c r="Z150" s="144"/>
      <c r="AA150" s="144"/>
      <c r="AB150" s="144"/>
      <c r="AC150" s="144"/>
      <c r="AD150" s="144"/>
      <c r="AE150" s="144"/>
      <c r="AF150" s="144"/>
      <c r="AG150" s="144"/>
      <c r="AH150" s="144"/>
      <c r="AI150" s="144"/>
      <c r="AJ150" s="144"/>
      <c r="AK150" s="144"/>
      <c r="AL150" s="144"/>
      <c r="AM150" s="144"/>
      <c r="AN150" s="144"/>
      <c r="AO150" s="144"/>
      <c r="AP150" s="144"/>
      <c r="AQ150" s="144"/>
      <c r="AR150" s="144"/>
      <c r="AS150" s="144"/>
      <c r="AT150" s="144"/>
      <c r="AU150" s="144"/>
      <c r="AV150" s="144"/>
      <c r="AW150" s="144"/>
      <c r="AX150" s="144"/>
      <c r="AY150" s="144"/>
      <c r="AZ150" s="144"/>
      <c r="BA150" s="144"/>
      <c r="BB150" s="144"/>
      <c r="BC150" s="144"/>
      <c r="BD150" s="144"/>
      <c r="BE150" s="144"/>
      <c r="BF150" s="144"/>
      <c r="BG150" s="144"/>
      <c r="BH150" s="144"/>
      <c r="BI150" s="144"/>
      <c r="BJ150" s="144"/>
      <c r="BK150" s="144"/>
      <c r="BL150" s="144"/>
      <c r="BM150" s="144"/>
      <c r="BN150" s="144"/>
      <c r="BO150" s="144"/>
      <c r="BP150" s="144"/>
      <c r="BQ150" s="144"/>
      <c r="BR150" s="144"/>
      <c r="BS150" s="144"/>
      <c r="BT150" s="144"/>
      <c r="BU150" s="144"/>
      <c r="BV150" s="144"/>
      <c r="BW150" s="144"/>
      <c r="BX150" s="144"/>
      <c r="BY150" s="144"/>
      <c r="BZ150" s="144"/>
      <c r="CA150" s="144"/>
      <c r="CB150" s="144"/>
      <c r="CC150" s="144"/>
      <c r="CD150" s="144"/>
      <c r="CE150" s="144"/>
      <c r="CF150" s="144"/>
      <c r="CG150" s="144"/>
      <c r="CH150" s="144"/>
      <c r="CI150" s="144"/>
      <c r="CJ150" s="144"/>
      <c r="CK150" s="144"/>
      <c r="CL150" s="144"/>
      <c r="CM150" s="144"/>
      <c r="CN150" s="144"/>
      <c r="CO150" s="144"/>
      <c r="CP150" s="144"/>
      <c r="CQ150" s="144"/>
      <c r="CR150" s="144"/>
      <c r="CS150" s="144"/>
      <c r="CT150" s="144"/>
      <c r="CU150" s="224"/>
      <c r="CV150" s="224"/>
      <c r="CW150" s="224"/>
      <c r="CX150" s="224"/>
      <c r="CY150" s="224"/>
      <c r="CZ150" s="224"/>
      <c r="DA150" s="224"/>
      <c r="DB150" s="225"/>
    </row>
    <row r="151" spans="1:106" s="125" customFormat="1" ht="12.95" customHeight="1">
      <c r="A151" s="144">
        <f>IF(F126="",0,IF(F126&gt;H102,1,0))</f>
        <v>0</v>
      </c>
      <c r="B151" s="144">
        <f>IF(F126="",0,IF(F126&lt;H104,1,0))</f>
        <v>0</v>
      </c>
      <c r="C151" s="144"/>
      <c r="D151" s="144"/>
      <c r="G151" s="217"/>
      <c r="H151" s="226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44"/>
      <c r="V151" s="144"/>
      <c r="W151" s="144"/>
      <c r="X151" s="144"/>
      <c r="Y151" s="144"/>
      <c r="Z151" s="144"/>
      <c r="AA151" s="144"/>
      <c r="AB151" s="144"/>
      <c r="AC151" s="144"/>
      <c r="AD151" s="144"/>
      <c r="AE151" s="144"/>
      <c r="AF151" s="144"/>
      <c r="AG151" s="144"/>
      <c r="AH151" s="144"/>
      <c r="AI151" s="144"/>
      <c r="AJ151" s="144"/>
      <c r="AK151" s="144"/>
      <c r="AL151" s="144"/>
      <c r="AM151" s="144"/>
      <c r="AN151" s="144"/>
      <c r="AO151" s="144"/>
      <c r="AP151" s="144"/>
      <c r="AQ151" s="144"/>
      <c r="AR151" s="144"/>
      <c r="AS151" s="144"/>
      <c r="AT151" s="144"/>
      <c r="AU151" s="144"/>
      <c r="AV151" s="144"/>
      <c r="AW151" s="144"/>
      <c r="AX151" s="144"/>
      <c r="AY151" s="144"/>
      <c r="AZ151" s="144"/>
      <c r="BA151" s="144"/>
      <c r="BB151" s="144"/>
      <c r="BC151" s="144"/>
      <c r="BD151" s="144"/>
      <c r="BE151" s="144"/>
      <c r="BF151" s="144"/>
      <c r="BG151" s="144"/>
      <c r="BH151" s="144"/>
      <c r="BI151" s="144"/>
      <c r="BJ151" s="144"/>
      <c r="BK151" s="144"/>
      <c r="BL151" s="144"/>
      <c r="BM151" s="144"/>
      <c r="BN151" s="144"/>
      <c r="BO151" s="144"/>
      <c r="BP151" s="144"/>
      <c r="BQ151" s="144"/>
      <c r="BR151" s="144"/>
      <c r="BS151" s="144"/>
      <c r="BT151" s="144"/>
      <c r="BU151" s="144"/>
      <c r="BV151" s="144"/>
      <c r="BW151" s="144"/>
      <c r="BX151" s="144"/>
      <c r="BY151" s="144"/>
      <c r="BZ151" s="144"/>
      <c r="CA151" s="144"/>
      <c r="CB151" s="144"/>
      <c r="CC151" s="144"/>
      <c r="CD151" s="144"/>
      <c r="CE151" s="144"/>
      <c r="CF151" s="144"/>
      <c r="CG151" s="144"/>
      <c r="CH151" s="144"/>
      <c r="CI151" s="144"/>
      <c r="CJ151" s="144"/>
      <c r="CK151" s="144"/>
      <c r="CL151" s="144"/>
      <c r="CM151" s="144"/>
      <c r="CN151" s="144"/>
      <c r="CO151" s="144"/>
      <c r="CP151" s="144"/>
      <c r="CQ151" s="144"/>
      <c r="CR151" s="144"/>
      <c r="CS151" s="144"/>
      <c r="CT151" s="144"/>
      <c r="CU151" s="144"/>
      <c r="CV151" s="144"/>
      <c r="CW151" s="144"/>
      <c r="CX151" s="144"/>
      <c r="CY151" s="144"/>
      <c r="CZ151" s="144"/>
      <c r="DA151" s="144"/>
      <c r="DB151" s="144"/>
    </row>
    <row r="152" spans="1:106" s="125" customFormat="1" ht="12.95" customHeight="1">
      <c r="A152" s="144">
        <f>IF(F127="",0,IF(F127&gt;H102,1,0))</f>
        <v>0</v>
      </c>
      <c r="B152" s="144">
        <f>IF(F127="",0,IF(F127&lt;H104,1,0))</f>
        <v>0</v>
      </c>
      <c r="C152" s="144"/>
      <c r="D152" s="144"/>
      <c r="G152" s="217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44"/>
      <c r="V152" s="144"/>
      <c r="W152" s="144"/>
      <c r="X152" s="144"/>
      <c r="Y152" s="144"/>
      <c r="Z152" s="144"/>
      <c r="AA152" s="144"/>
      <c r="AB152" s="144"/>
      <c r="AC152" s="144"/>
      <c r="AD152" s="144"/>
      <c r="AE152" s="144"/>
      <c r="AF152" s="144"/>
      <c r="AG152" s="144"/>
      <c r="AH152" s="144"/>
      <c r="AI152" s="144"/>
      <c r="AJ152" s="144"/>
      <c r="AK152" s="144"/>
      <c r="AL152" s="144"/>
      <c r="AM152" s="144"/>
      <c r="AN152" s="144"/>
      <c r="AO152" s="144"/>
      <c r="AP152" s="144"/>
      <c r="AQ152" s="144"/>
      <c r="AR152" s="144"/>
      <c r="AS152" s="144"/>
      <c r="AT152" s="144"/>
      <c r="AU152" s="144"/>
      <c r="AV152" s="144"/>
      <c r="AW152" s="144"/>
      <c r="AX152" s="144"/>
      <c r="AY152" s="144"/>
      <c r="AZ152" s="144"/>
      <c r="BA152" s="144"/>
      <c r="BB152" s="144"/>
      <c r="BC152" s="144"/>
      <c r="BD152" s="144"/>
      <c r="BE152" s="144"/>
      <c r="BF152" s="144"/>
      <c r="BG152" s="144"/>
      <c r="BH152" s="144"/>
      <c r="BI152" s="144"/>
      <c r="BJ152" s="144"/>
      <c r="BK152" s="144"/>
      <c r="BL152" s="144"/>
      <c r="BM152" s="144"/>
      <c r="BN152" s="144"/>
      <c r="BO152" s="144"/>
      <c r="BP152" s="144"/>
      <c r="BQ152" s="144"/>
      <c r="BR152" s="144"/>
      <c r="BS152" s="144"/>
      <c r="BT152" s="144"/>
      <c r="BU152" s="144"/>
      <c r="BV152" s="144"/>
      <c r="BW152" s="144"/>
      <c r="BX152" s="144"/>
      <c r="BY152" s="144"/>
      <c r="BZ152" s="144"/>
      <c r="CA152" s="144"/>
      <c r="CB152" s="144"/>
      <c r="CC152" s="144"/>
      <c r="CD152" s="144"/>
      <c r="CE152" s="144"/>
      <c r="CF152" s="144"/>
      <c r="CG152" s="144"/>
      <c r="CH152" s="144"/>
      <c r="CI152" s="144"/>
      <c r="CJ152" s="144"/>
      <c r="CK152" s="144"/>
      <c r="CL152" s="144"/>
      <c r="CM152" s="144"/>
      <c r="CN152" s="144"/>
      <c r="CO152" s="144"/>
      <c r="CP152" s="144"/>
      <c r="CQ152" s="144"/>
      <c r="CR152" s="144"/>
      <c r="CS152" s="144"/>
      <c r="CT152" s="144"/>
      <c r="CU152" s="144"/>
      <c r="CV152" s="144"/>
      <c r="CX152" s="144"/>
      <c r="CY152" s="144"/>
      <c r="CZ152" s="144"/>
      <c r="DA152" s="144"/>
      <c r="DB152" s="144"/>
    </row>
    <row r="153" spans="1:106" s="125" customFormat="1" ht="12.95" customHeight="1">
      <c r="A153" s="144">
        <f>SUM(A103:A152)</f>
        <v>0</v>
      </c>
      <c r="B153" s="144">
        <f>SUM(B103:B152)</f>
        <v>0</v>
      </c>
      <c r="C153" s="144"/>
      <c r="D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44"/>
      <c r="V153" s="144"/>
      <c r="W153" s="144"/>
      <c r="X153" s="144"/>
      <c r="Y153" s="144"/>
      <c r="Z153" s="144"/>
      <c r="AA153" s="144"/>
      <c r="AB153" s="144"/>
      <c r="AC153" s="144"/>
      <c r="AD153" s="144"/>
      <c r="AE153" s="144"/>
      <c r="AF153" s="144"/>
      <c r="AG153" s="144"/>
      <c r="AH153" s="144"/>
      <c r="AI153" s="144"/>
      <c r="AJ153" s="144"/>
      <c r="AK153" s="144"/>
      <c r="AL153" s="144"/>
      <c r="AM153" s="144"/>
      <c r="AN153" s="144"/>
      <c r="AO153" s="144"/>
      <c r="AP153" s="144"/>
      <c r="AQ153" s="144"/>
      <c r="AR153" s="144"/>
      <c r="AS153" s="144"/>
      <c r="AT153" s="144"/>
      <c r="AU153" s="144"/>
      <c r="AV153" s="144"/>
      <c r="AW153" s="144"/>
      <c r="AX153" s="144"/>
      <c r="AY153" s="144"/>
      <c r="AZ153" s="144"/>
      <c r="BA153" s="144"/>
      <c r="BB153" s="144"/>
      <c r="BC153" s="144"/>
      <c r="BD153" s="144"/>
      <c r="BE153" s="144"/>
      <c r="BF153" s="144"/>
      <c r="BG153" s="144"/>
      <c r="BH153" s="144"/>
      <c r="BI153" s="144"/>
      <c r="BJ153" s="144"/>
      <c r="BK153" s="144"/>
      <c r="BL153" s="144"/>
      <c r="BM153" s="144"/>
      <c r="BN153" s="144"/>
      <c r="BO153" s="144"/>
      <c r="BP153" s="144"/>
      <c r="BQ153" s="144"/>
      <c r="BR153" s="144"/>
      <c r="BS153" s="144"/>
      <c r="BT153" s="144"/>
      <c r="BU153" s="144"/>
      <c r="BV153" s="144"/>
      <c r="BW153" s="144"/>
      <c r="BX153" s="144"/>
      <c r="BY153" s="144"/>
      <c r="BZ153" s="144"/>
      <c r="CA153" s="144"/>
      <c r="CB153" s="144"/>
      <c r="CC153" s="144"/>
      <c r="CD153" s="144"/>
      <c r="CE153" s="144"/>
      <c r="CF153" s="144"/>
      <c r="CG153" s="144"/>
      <c r="CH153" s="144"/>
      <c r="CI153" s="144"/>
      <c r="CJ153" s="144"/>
      <c r="CK153" s="144"/>
      <c r="CL153" s="144"/>
      <c r="CM153" s="144"/>
      <c r="CN153" s="144"/>
      <c r="CO153" s="144"/>
      <c r="CP153" s="144"/>
      <c r="CQ153" s="144"/>
      <c r="CR153" s="144"/>
      <c r="CS153" s="144"/>
      <c r="CT153" s="144"/>
      <c r="CU153" s="144"/>
      <c r="CV153" s="144"/>
      <c r="CW153" s="144"/>
      <c r="CX153" s="144"/>
      <c r="CY153" s="144"/>
      <c r="CZ153" s="144"/>
      <c r="DA153" s="144"/>
      <c r="DB153" s="144"/>
    </row>
  </sheetData>
  <mergeCells count="65">
    <mergeCell ref="B59:R59"/>
    <mergeCell ref="A62:B62"/>
    <mergeCell ref="A63:B63"/>
    <mergeCell ref="A64:B64"/>
    <mergeCell ref="A66:B66"/>
    <mergeCell ref="E96:G96"/>
    <mergeCell ref="J96:K96"/>
    <mergeCell ref="M96:O96"/>
    <mergeCell ref="Q30:R30"/>
    <mergeCell ref="Q31:R31"/>
    <mergeCell ref="Q32:R32"/>
    <mergeCell ref="Q33:R33"/>
    <mergeCell ref="Q34:R34"/>
    <mergeCell ref="E52:F52"/>
    <mergeCell ref="N26:P26"/>
    <mergeCell ref="Q26:R26"/>
    <mergeCell ref="N27:P27"/>
    <mergeCell ref="Q27:R27"/>
    <mergeCell ref="Q28:R28"/>
    <mergeCell ref="Q29:R29"/>
    <mergeCell ref="N23:P23"/>
    <mergeCell ref="Q23:R23"/>
    <mergeCell ref="N24:P24"/>
    <mergeCell ref="Q24:R24"/>
    <mergeCell ref="N25:P25"/>
    <mergeCell ref="Q25:R25"/>
    <mergeCell ref="N20:P20"/>
    <mergeCell ref="Q20:R20"/>
    <mergeCell ref="N21:P21"/>
    <mergeCell ref="Q21:R21"/>
    <mergeCell ref="N22:P22"/>
    <mergeCell ref="Q22:R22"/>
    <mergeCell ref="I12:L12"/>
    <mergeCell ref="M12:R12"/>
    <mergeCell ref="B13:D13"/>
    <mergeCell ref="B15:R15"/>
    <mergeCell ref="N18:P18"/>
    <mergeCell ref="N19:P19"/>
    <mergeCell ref="Q19:R19"/>
    <mergeCell ref="B10:F10"/>
    <mergeCell ref="G10:H10"/>
    <mergeCell ref="I10:J10"/>
    <mergeCell ref="K10:L10"/>
    <mergeCell ref="M10:R10"/>
    <mergeCell ref="K11:L11"/>
    <mergeCell ref="M11:N11"/>
    <mergeCell ref="O11:P11"/>
    <mergeCell ref="Q11:R11"/>
    <mergeCell ref="B8:F8"/>
    <mergeCell ref="G8:H8"/>
    <mergeCell ref="I8:J8"/>
    <mergeCell ref="K8:L8"/>
    <mergeCell ref="M8:R8"/>
    <mergeCell ref="B9:F9"/>
    <mergeCell ref="G9:H9"/>
    <mergeCell ref="I9:J9"/>
    <mergeCell ref="K9:L9"/>
    <mergeCell ref="M9:R9"/>
    <mergeCell ref="A2:S2"/>
    <mergeCell ref="A3:S3"/>
    <mergeCell ref="G5:M5"/>
    <mergeCell ref="Q5:R5"/>
    <mergeCell ref="G6:M6"/>
    <mergeCell ref="O6:P6"/>
    <mergeCell ref="Q6:R6"/>
  </mergeCells>
  <pageMargins left="0.31496062992125984" right="0.27559055118110237" top="0.43307086614173229" bottom="0.82677165354330717" header="0.31496062992125984" footer="0.51181102362204722"/>
  <pageSetup paperSize="9" scale="61" orientation="portrait" horizontalDpi="300" verticalDpi="300" r:id="rId1"/>
  <headerFooter alignWithMargins="0">
    <oddFooter>Page &amp;P de &amp;N</oddFooter>
  </headerFooter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CE159DA1F3154EA66D0E243DF3BAA6" ma:contentTypeVersion="10" ma:contentTypeDescription="Crée un document." ma:contentTypeScope="" ma:versionID="438104f49e01fba44cf8b3fd65beffa3">
  <xsd:schema xmlns:xsd="http://www.w3.org/2001/XMLSchema" xmlns:xs="http://www.w3.org/2001/XMLSchema" xmlns:p="http://schemas.microsoft.com/office/2006/metadata/properties" xmlns:ns2="c3017dfb-aab7-47ef-946e-d0b6069f8b09" targetNamespace="http://schemas.microsoft.com/office/2006/metadata/properties" ma:root="true" ma:fieldsID="ef9b391dc0ded3987a22bfffeb30e30a" ns2:_="">
    <xsd:import namespace="c3017dfb-aab7-47ef-946e-d0b6069f8b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017dfb-aab7-47ef-946e-d0b6069f8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00C335C-7C0E-4DA0-975A-1F658E468D74}">
  <ds:schemaRefs>
    <ds:schemaRef ds:uri="http://schemas.microsoft.com/office/2006/documentManagement/types"/>
    <ds:schemaRef ds:uri="http://purl.org/dc/terms/"/>
    <ds:schemaRef ds:uri="c3017dfb-aab7-47ef-946e-d0b6069f8b09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2B4B030-4071-4060-8B91-0703DE5D8F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017dfb-aab7-47ef-946e-d0b6069f8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60B481A-4AE7-4565-BBE0-32E3A5D992F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92</vt:i4>
      </vt:variant>
    </vt:vector>
  </HeadingPairs>
  <TitlesOfParts>
    <vt:vector size="104" baseType="lpstr">
      <vt:lpstr>Rapport d'essai dimensionnel</vt:lpstr>
      <vt:lpstr>Plan de contrôle horizontal</vt:lpstr>
      <vt:lpstr>Capa</vt:lpstr>
      <vt:lpstr>Capa (2)</vt:lpstr>
      <vt:lpstr>Capa (3)</vt:lpstr>
      <vt:lpstr>Capa (4)</vt:lpstr>
      <vt:lpstr>Capa (5)</vt:lpstr>
      <vt:lpstr>Capa (6)</vt:lpstr>
      <vt:lpstr>Capa (7)</vt:lpstr>
      <vt:lpstr>Capa (8)</vt:lpstr>
      <vt:lpstr>Capa (9)</vt:lpstr>
      <vt:lpstr>Capa (10)</vt:lpstr>
      <vt:lpstr>Capa!DATA</vt:lpstr>
      <vt:lpstr>'Capa (10)'!DATA</vt:lpstr>
      <vt:lpstr>'Capa (2)'!DATA</vt:lpstr>
      <vt:lpstr>'Capa (3)'!DATA</vt:lpstr>
      <vt:lpstr>'Capa (4)'!DATA</vt:lpstr>
      <vt:lpstr>'Capa (5)'!DATA</vt:lpstr>
      <vt:lpstr>'Capa (6)'!DATA</vt:lpstr>
      <vt:lpstr>'Capa (7)'!DATA</vt:lpstr>
      <vt:lpstr>'Capa (8)'!DATA</vt:lpstr>
      <vt:lpstr>'Capa (9)'!DATA</vt:lpstr>
      <vt:lpstr>Capa!MAX_DATA</vt:lpstr>
      <vt:lpstr>'Capa (10)'!MAX_DATA</vt:lpstr>
      <vt:lpstr>'Capa (2)'!MAX_DATA</vt:lpstr>
      <vt:lpstr>'Capa (3)'!MAX_DATA</vt:lpstr>
      <vt:lpstr>'Capa (4)'!MAX_DATA</vt:lpstr>
      <vt:lpstr>'Capa (5)'!MAX_DATA</vt:lpstr>
      <vt:lpstr>'Capa (6)'!MAX_DATA</vt:lpstr>
      <vt:lpstr>'Capa (7)'!MAX_DATA</vt:lpstr>
      <vt:lpstr>'Capa (8)'!MAX_DATA</vt:lpstr>
      <vt:lpstr>'Capa (9)'!MAX_DATA</vt:lpstr>
      <vt:lpstr>Capa!MAX_SPEC</vt:lpstr>
      <vt:lpstr>'Capa (10)'!MAX_SPEC</vt:lpstr>
      <vt:lpstr>'Capa (2)'!MAX_SPEC</vt:lpstr>
      <vt:lpstr>'Capa (3)'!MAX_SPEC</vt:lpstr>
      <vt:lpstr>'Capa (4)'!MAX_SPEC</vt:lpstr>
      <vt:lpstr>'Capa (5)'!MAX_SPEC</vt:lpstr>
      <vt:lpstr>'Capa (6)'!MAX_SPEC</vt:lpstr>
      <vt:lpstr>'Capa (7)'!MAX_SPEC</vt:lpstr>
      <vt:lpstr>'Capa (8)'!MAX_SPEC</vt:lpstr>
      <vt:lpstr>'Capa (9)'!MAX_SPEC</vt:lpstr>
      <vt:lpstr>Capa!MIN_DATA</vt:lpstr>
      <vt:lpstr>'Capa (10)'!MIN_DATA</vt:lpstr>
      <vt:lpstr>'Capa (2)'!MIN_DATA</vt:lpstr>
      <vt:lpstr>'Capa (3)'!MIN_DATA</vt:lpstr>
      <vt:lpstr>'Capa (4)'!MIN_DATA</vt:lpstr>
      <vt:lpstr>'Capa (5)'!MIN_DATA</vt:lpstr>
      <vt:lpstr>'Capa (6)'!MIN_DATA</vt:lpstr>
      <vt:lpstr>'Capa (7)'!MIN_DATA</vt:lpstr>
      <vt:lpstr>'Capa (8)'!MIN_DATA</vt:lpstr>
      <vt:lpstr>'Capa (9)'!MIN_DATA</vt:lpstr>
      <vt:lpstr>Capa!MIN_SPEC</vt:lpstr>
      <vt:lpstr>'Capa (10)'!MIN_SPEC</vt:lpstr>
      <vt:lpstr>'Capa (2)'!MIN_SPEC</vt:lpstr>
      <vt:lpstr>'Capa (3)'!MIN_SPEC</vt:lpstr>
      <vt:lpstr>'Capa (4)'!MIN_SPEC</vt:lpstr>
      <vt:lpstr>'Capa (5)'!MIN_SPEC</vt:lpstr>
      <vt:lpstr>'Capa (6)'!MIN_SPEC</vt:lpstr>
      <vt:lpstr>'Capa (7)'!MIN_SPEC</vt:lpstr>
      <vt:lpstr>'Capa (8)'!MIN_SPEC</vt:lpstr>
      <vt:lpstr>'Capa (9)'!MIN_SPEC</vt:lpstr>
      <vt:lpstr>Capa!MOY</vt:lpstr>
      <vt:lpstr>'Capa (10)'!MOY</vt:lpstr>
      <vt:lpstr>'Capa (2)'!MOY</vt:lpstr>
      <vt:lpstr>'Capa (3)'!MOY</vt:lpstr>
      <vt:lpstr>'Capa (4)'!MOY</vt:lpstr>
      <vt:lpstr>'Capa (5)'!MOY</vt:lpstr>
      <vt:lpstr>'Capa (6)'!MOY</vt:lpstr>
      <vt:lpstr>'Capa (7)'!MOY</vt:lpstr>
      <vt:lpstr>'Capa (8)'!MOY</vt:lpstr>
      <vt:lpstr>'Capa (9)'!MOY</vt:lpstr>
      <vt:lpstr>Capa!NB_DATA</vt:lpstr>
      <vt:lpstr>'Capa (10)'!NB_DATA</vt:lpstr>
      <vt:lpstr>'Capa (2)'!NB_DATA</vt:lpstr>
      <vt:lpstr>'Capa (3)'!NB_DATA</vt:lpstr>
      <vt:lpstr>'Capa (4)'!NB_DATA</vt:lpstr>
      <vt:lpstr>'Capa (5)'!NB_DATA</vt:lpstr>
      <vt:lpstr>'Capa (6)'!NB_DATA</vt:lpstr>
      <vt:lpstr>'Capa (7)'!NB_DATA</vt:lpstr>
      <vt:lpstr>'Capa (8)'!NB_DATA</vt:lpstr>
      <vt:lpstr>'Capa (9)'!NB_DATA</vt:lpstr>
      <vt:lpstr>Capa!S</vt:lpstr>
      <vt:lpstr>'Capa (10)'!S</vt:lpstr>
      <vt:lpstr>'Capa (2)'!S</vt:lpstr>
      <vt:lpstr>'Capa (3)'!S</vt:lpstr>
      <vt:lpstr>'Capa (4)'!S</vt:lpstr>
      <vt:lpstr>'Capa (5)'!S</vt:lpstr>
      <vt:lpstr>'Capa (6)'!S</vt:lpstr>
      <vt:lpstr>'Capa (7)'!S</vt:lpstr>
      <vt:lpstr>'Capa (8)'!S</vt:lpstr>
      <vt:lpstr>'Capa (9)'!S</vt:lpstr>
      <vt:lpstr>Capa!Zone_d_impression</vt:lpstr>
      <vt:lpstr>'Capa (10)'!Zone_d_impression</vt:lpstr>
      <vt:lpstr>'Capa (2)'!Zone_d_impression</vt:lpstr>
      <vt:lpstr>'Capa (3)'!Zone_d_impression</vt:lpstr>
      <vt:lpstr>'Capa (4)'!Zone_d_impression</vt:lpstr>
      <vt:lpstr>'Capa (5)'!Zone_d_impression</vt:lpstr>
      <vt:lpstr>'Capa (6)'!Zone_d_impression</vt:lpstr>
      <vt:lpstr>'Capa (7)'!Zone_d_impression</vt:lpstr>
      <vt:lpstr>'Capa (8)'!Zone_d_impression</vt:lpstr>
      <vt:lpstr>'Capa (9)'!Zone_d_impression</vt:lpstr>
      <vt:lpstr>'Plan de contrôle horizontal'!Zone_d_impression</vt:lpstr>
      <vt:lpstr>'Rapport d''essai dimensionnel'!Zone_d_impression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Julie LANOUX</cp:lastModifiedBy>
  <cp:lastPrinted>2024-01-10T10:54:19Z</cp:lastPrinted>
  <dcterms:created xsi:type="dcterms:W3CDTF">1996-10-21T11:03:58Z</dcterms:created>
  <dcterms:modified xsi:type="dcterms:W3CDTF">2024-04-04T15:00:48Z</dcterms:modified>
</cp:coreProperties>
</file>