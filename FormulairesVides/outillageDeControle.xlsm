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boTri-PC2\Desktop\dev\form\"/>
    </mc:Choice>
  </mc:AlternateContent>
  <xr:revisionPtr revIDLastSave="0" documentId="13_ncr:1_{BAC01FD1-CB5E-431A-87C2-83BC36FDABC3}" xr6:coauthVersionLast="47" xr6:coauthVersionMax="47" xr10:uidLastSave="{00000000-0000-0000-0000-000000000000}"/>
  <bookViews>
    <workbookView xWindow="-120" yWindow="-120" windowWidth="29040" windowHeight="15720" tabRatio="947" activeTab="3" xr2:uid="{00000000-000D-0000-FFFF-FFFF00000000}"/>
  </bookViews>
  <sheets>
    <sheet name="Rapport d'essai dimensionnel" sheetId="21" r:id="rId1"/>
    <sheet name="Plan de contrôle horizontal" sheetId="22" r:id="rId2"/>
    <sheet name="Plan de contrôle vertical" sheetId="29" r:id="rId3"/>
    <sheet name="Mesures" sheetId="24" r:id="rId4"/>
  </sheets>
  <externalReferences>
    <externalReference r:id="rId5"/>
    <externalReference r:id="rId6"/>
    <externalReference r:id="rId7"/>
  </externalReferences>
  <definedNames>
    <definedName name="_xlnm.Print_Area" localSheetId="3">Mesures!$A$1:$M$47</definedName>
    <definedName name="_xlnm.Print_Area" localSheetId="1">'Plan de contrôle horizontal'!$A$1:$W$39</definedName>
    <definedName name="_xlnm.Print_Area" localSheetId="2">'Plan de contrôle vertical'!$A$1:$O$50</definedName>
    <definedName name="_xlnm.Print_Area" localSheetId="0">'Rapport d''essai dimensionnel'!$A$1:$O$103</definedName>
  </definedNames>
  <calcPr calcId="19102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4" i="21" l="1"/>
  <c r="E20" i="21"/>
  <c r="D20" i="21"/>
  <c r="D19" i="21"/>
  <c r="D18" i="21"/>
  <c r="D17" i="21"/>
  <c r="A3" i="29"/>
  <c r="I28" i="24" l="1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27" i="24"/>
  <c r="N33" i="24"/>
  <c r="O33" i="24"/>
  <c r="N34" i="24"/>
  <c r="O34" i="24"/>
  <c r="H37" i="24"/>
  <c r="N28" i="24" l="1"/>
  <c r="O28" i="24"/>
  <c r="P28" i="24"/>
  <c r="Q28" i="24"/>
  <c r="N29" i="24"/>
  <c r="P29" i="24" s="1"/>
  <c r="R29" i="24" s="1"/>
  <c r="O29" i="24"/>
  <c r="Q29" i="24"/>
  <c r="N30" i="24"/>
  <c r="O30" i="24"/>
  <c r="P30" i="24"/>
  <c r="Q30" i="24"/>
  <c r="R30" i="24" s="1"/>
  <c r="N31" i="24"/>
  <c r="O31" i="24"/>
  <c r="Q31" i="24" s="1"/>
  <c r="R31" i="24" s="1"/>
  <c r="P31" i="24"/>
  <c r="N32" i="24"/>
  <c r="O32" i="24"/>
  <c r="P32" i="24"/>
  <c r="Q32" i="24"/>
  <c r="P33" i="24"/>
  <c r="Q33" i="24"/>
  <c r="P34" i="24"/>
  <c r="Q34" i="24"/>
  <c r="N35" i="24"/>
  <c r="O35" i="24"/>
  <c r="P35" i="24"/>
  <c r="Q35" i="24"/>
  <c r="N36" i="24"/>
  <c r="O36" i="24"/>
  <c r="Q36" i="24" s="1"/>
  <c r="P36" i="24"/>
  <c r="N37" i="24"/>
  <c r="P37" i="24" s="1"/>
  <c r="O37" i="24"/>
  <c r="Q37" i="24" s="1"/>
  <c r="N38" i="24"/>
  <c r="O38" i="24"/>
  <c r="P38" i="24"/>
  <c r="Q38" i="24"/>
  <c r="R38" i="24" s="1"/>
  <c r="N39" i="24"/>
  <c r="O39" i="24"/>
  <c r="P39" i="24"/>
  <c r="Q39" i="24"/>
  <c r="R39" i="24" s="1"/>
  <c r="N40" i="24"/>
  <c r="O40" i="24"/>
  <c r="P40" i="24"/>
  <c r="Q40" i="24"/>
  <c r="N41" i="24"/>
  <c r="O41" i="24"/>
  <c r="P41" i="24"/>
  <c r="Q41" i="24"/>
  <c r="R41" i="24" s="1"/>
  <c r="N42" i="24"/>
  <c r="O42" i="24"/>
  <c r="P42" i="24"/>
  <c r="Q42" i="24"/>
  <c r="N43" i="24"/>
  <c r="O43" i="24"/>
  <c r="P43" i="24"/>
  <c r="Q43" i="24"/>
  <c r="N44" i="24"/>
  <c r="O44" i="24"/>
  <c r="P44" i="24"/>
  <c r="Q44" i="24"/>
  <c r="N45" i="24"/>
  <c r="O45" i="24"/>
  <c r="P45" i="24"/>
  <c r="Q45" i="24"/>
  <c r="R45" i="24"/>
  <c r="N46" i="24"/>
  <c r="O46" i="24"/>
  <c r="Q46" i="24" s="1"/>
  <c r="R46" i="24" s="1"/>
  <c r="P46" i="24"/>
  <c r="N47" i="24"/>
  <c r="O47" i="24"/>
  <c r="P47" i="24"/>
  <c r="Q47" i="24"/>
  <c r="R47" i="24" s="1"/>
  <c r="O27" i="24"/>
  <c r="Q27" i="24" s="1"/>
  <c r="N27" i="24"/>
  <c r="P27" i="24" s="1"/>
  <c r="H35" i="24"/>
  <c r="H36" i="24"/>
  <c r="H38" i="24"/>
  <c r="H39" i="24"/>
  <c r="H40" i="24"/>
  <c r="H41" i="24"/>
  <c r="H42" i="24"/>
  <c r="H43" i="24"/>
  <c r="H44" i="24"/>
  <c r="H45" i="24"/>
  <c r="H46" i="24"/>
  <c r="H47" i="24"/>
  <c r="X47" i="24"/>
  <c r="Y47" i="24"/>
  <c r="AA47" i="24"/>
  <c r="AC47" i="24"/>
  <c r="AG47" i="24"/>
  <c r="Z47" i="24"/>
  <c r="AB47" i="24"/>
  <c r="AF47" i="24"/>
  <c r="X46" i="24"/>
  <c r="Y46" i="24"/>
  <c r="AA46" i="24"/>
  <c r="AC46" i="24"/>
  <c r="AG46" i="24"/>
  <c r="Z46" i="24"/>
  <c r="AB46" i="24"/>
  <c r="AF46" i="24"/>
  <c r="X45" i="24"/>
  <c r="Y45" i="24"/>
  <c r="AA45" i="24"/>
  <c r="AC45" i="24"/>
  <c r="AG45" i="24"/>
  <c r="Z45" i="24"/>
  <c r="AB45" i="24"/>
  <c r="AF45" i="24"/>
  <c r="X44" i="24"/>
  <c r="Y44" i="24"/>
  <c r="AA44" i="24"/>
  <c r="AC44" i="24"/>
  <c r="AG44" i="24"/>
  <c r="Z44" i="24"/>
  <c r="AB44" i="24"/>
  <c r="AF44" i="24"/>
  <c r="X43" i="24"/>
  <c r="Y43" i="24"/>
  <c r="AA43" i="24"/>
  <c r="AC43" i="24"/>
  <c r="AG43" i="24"/>
  <c r="Z43" i="24"/>
  <c r="AB43" i="24"/>
  <c r="AF43" i="24"/>
  <c r="X42" i="24"/>
  <c r="Y42" i="24"/>
  <c r="AA42" i="24"/>
  <c r="AC42" i="24"/>
  <c r="AG42" i="24"/>
  <c r="Z42" i="24"/>
  <c r="AB42" i="24"/>
  <c r="AF42" i="24"/>
  <c r="X41" i="24"/>
  <c r="Y41" i="24"/>
  <c r="AA41" i="24"/>
  <c r="AC41" i="24"/>
  <c r="AG41" i="24"/>
  <c r="Z41" i="24"/>
  <c r="AB41" i="24"/>
  <c r="AF41" i="24"/>
  <c r="X40" i="24"/>
  <c r="Y40" i="24"/>
  <c r="AA40" i="24"/>
  <c r="AC40" i="24"/>
  <c r="AG40" i="24"/>
  <c r="Z40" i="24"/>
  <c r="AB40" i="24"/>
  <c r="AF40" i="24"/>
  <c r="I22" i="24"/>
  <c r="D22" i="24"/>
  <c r="M20" i="24"/>
  <c r="H32" i="24"/>
  <c r="H33" i="24"/>
  <c r="H34" i="24"/>
  <c r="H27" i="24"/>
  <c r="H28" i="24"/>
  <c r="H29" i="24"/>
  <c r="H30" i="24"/>
  <c r="H20" i="24"/>
  <c r="C20" i="24"/>
  <c r="H31" i="24"/>
  <c r="O26" i="24"/>
  <c r="Q26" i="24" s="1"/>
  <c r="N26" i="24"/>
  <c r="P26" i="24" s="1"/>
  <c r="F20" i="24"/>
  <c r="A20" i="24"/>
  <c r="R33" i="24" l="1"/>
  <c r="R37" i="24"/>
  <c r="R43" i="24"/>
  <c r="R42" i="24"/>
  <c r="R35" i="24"/>
  <c r="R34" i="24"/>
  <c r="R44" i="24"/>
  <c r="R40" i="24"/>
  <c r="R36" i="24"/>
  <c r="R32" i="24"/>
  <c r="R28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R26" i="24"/>
  <c r="R27" i="24"/>
  <c r="N50" i="21"/>
  <c r="N62" i="21"/>
  <c r="D46" i="21"/>
  <c r="A3" i="24" l="1"/>
  <c r="A3" i="22"/>
  <c r="A82" i="21" l="1"/>
  <c r="A81" i="21"/>
  <c r="A80" i="21"/>
  <c r="AG39" i="24"/>
  <c r="AF39" i="24"/>
  <c r="AE39" i="24"/>
  <c r="AD39" i="24"/>
  <c r="AC39" i="24"/>
  <c r="AB39" i="24"/>
  <c r="AA39" i="24"/>
  <c r="Z39" i="24"/>
  <c r="Y39" i="24"/>
  <c r="X39" i="24"/>
  <c r="AG38" i="24"/>
  <c r="AF38" i="24"/>
  <c r="AE38" i="24"/>
  <c r="AD38" i="24"/>
  <c r="AC38" i="24"/>
  <c r="AB38" i="24"/>
  <c r="AA38" i="24"/>
  <c r="Z38" i="24"/>
  <c r="Y38" i="24"/>
  <c r="X38" i="24"/>
  <c r="AG37" i="24"/>
  <c r="AF37" i="24"/>
  <c r="AE37" i="24"/>
  <c r="AD37" i="24"/>
  <c r="AC37" i="24"/>
  <c r="AB37" i="24"/>
  <c r="AA37" i="24"/>
  <c r="Z37" i="24"/>
  <c r="Y37" i="24"/>
  <c r="X37" i="24"/>
  <c r="AG36" i="24"/>
  <c r="AF36" i="24"/>
  <c r="AE36" i="24"/>
  <c r="AD36" i="24"/>
  <c r="AC36" i="24"/>
  <c r="AB36" i="24"/>
  <c r="AA36" i="24"/>
  <c r="Z36" i="24"/>
  <c r="Y36" i="24"/>
  <c r="X36" i="24"/>
  <c r="AG35" i="24"/>
  <c r="AF35" i="24"/>
  <c r="AE35" i="24"/>
  <c r="AD35" i="24"/>
  <c r="AC35" i="24"/>
  <c r="AB35" i="24"/>
  <c r="AA35" i="24"/>
  <c r="Z35" i="24"/>
  <c r="Y35" i="24"/>
  <c r="X35" i="24"/>
  <c r="AG34" i="24"/>
  <c r="AF34" i="24"/>
  <c r="AE34" i="24"/>
  <c r="AD34" i="24"/>
  <c r="AC34" i="24"/>
  <c r="AB34" i="24"/>
  <c r="AA34" i="24"/>
  <c r="Z34" i="24"/>
  <c r="Y34" i="24"/>
  <c r="X34" i="24"/>
  <c r="AG33" i="24"/>
  <c r="AF33" i="24"/>
  <c r="AE33" i="24"/>
  <c r="AD33" i="24"/>
  <c r="AC33" i="24"/>
  <c r="AB33" i="24"/>
  <c r="AA33" i="24"/>
  <c r="Z33" i="24"/>
  <c r="Y33" i="24"/>
  <c r="X33" i="24"/>
  <c r="AG32" i="24"/>
  <c r="AF32" i="24"/>
  <c r="AE32" i="24"/>
  <c r="AD32" i="24"/>
  <c r="AC32" i="24"/>
  <c r="AB32" i="24"/>
  <c r="AA32" i="24"/>
  <c r="Z32" i="24"/>
  <c r="Y32" i="24"/>
  <c r="X32" i="24"/>
  <c r="AG31" i="24"/>
  <c r="AF31" i="24"/>
  <c r="AE31" i="24"/>
  <c r="AD31" i="24"/>
  <c r="AC31" i="24"/>
  <c r="AB31" i="24"/>
  <c r="AA31" i="24"/>
  <c r="Z31" i="24"/>
  <c r="Y31" i="24"/>
  <c r="X31" i="24"/>
  <c r="AG30" i="24"/>
  <c r="AF30" i="24"/>
  <c r="AE30" i="24"/>
  <c r="AD30" i="24"/>
  <c r="AC30" i="24"/>
  <c r="AB30" i="24"/>
  <c r="AA30" i="24"/>
  <c r="Z30" i="24"/>
  <c r="Y30" i="24"/>
  <c r="X30" i="24"/>
  <c r="AG29" i="24"/>
  <c r="AF29" i="24"/>
  <c r="AE29" i="24"/>
  <c r="AD29" i="24"/>
  <c r="AC29" i="24"/>
  <c r="AB29" i="24"/>
  <c r="AA29" i="24"/>
  <c r="Z29" i="24"/>
  <c r="Y29" i="24"/>
  <c r="X29" i="24"/>
  <c r="AG28" i="24"/>
  <c r="AF28" i="24"/>
  <c r="AE28" i="24"/>
  <c r="AD28" i="24"/>
  <c r="AC28" i="24"/>
  <c r="AB28" i="24"/>
  <c r="AA28" i="24"/>
  <c r="Z28" i="24"/>
  <c r="Y28" i="24"/>
  <c r="X28" i="24"/>
  <c r="AG27" i="24"/>
  <c r="AF27" i="24"/>
  <c r="AE27" i="24"/>
  <c r="AD27" i="24"/>
  <c r="AC27" i="24"/>
  <c r="AB27" i="24"/>
  <c r="AA27" i="24"/>
  <c r="Z27" i="24"/>
  <c r="Y27" i="24"/>
  <c r="X27" i="24"/>
  <c r="AG26" i="24"/>
  <c r="AF26" i="24"/>
  <c r="AE26" i="24"/>
  <c r="AD26" i="24"/>
  <c r="AC26" i="24"/>
  <c r="AB26" i="24"/>
  <c r="AA26" i="24"/>
  <c r="Z26" i="24"/>
  <c r="Y26" i="24"/>
  <c r="X26" i="24"/>
  <c r="AG25" i="24"/>
  <c r="AF25" i="24"/>
  <c r="AE25" i="24"/>
  <c r="AD25" i="24"/>
  <c r="AC25" i="24"/>
  <c r="AB25" i="24"/>
  <c r="AA25" i="24"/>
  <c r="Z25" i="24"/>
  <c r="Y25" i="24"/>
  <c r="X25" i="24"/>
  <c r="AG24" i="24"/>
  <c r="AF24" i="24"/>
  <c r="AE24" i="24"/>
  <c r="AD24" i="24"/>
  <c r="AC24" i="24"/>
  <c r="AB24" i="24"/>
  <c r="AA24" i="24"/>
  <c r="Z24" i="24"/>
  <c r="Y24" i="24"/>
  <c r="X24" i="24"/>
  <c r="AG23" i="24"/>
  <c r="AF23" i="24"/>
  <c r="AE23" i="24"/>
  <c r="AD23" i="24"/>
  <c r="AC23" i="24"/>
  <c r="AB23" i="24"/>
  <c r="AA23" i="24"/>
  <c r="Z23" i="24"/>
  <c r="Y23" i="24"/>
  <c r="X23" i="24"/>
  <c r="AG22" i="24"/>
  <c r="AF22" i="24"/>
  <c r="AE22" i="24"/>
  <c r="AD22" i="24"/>
  <c r="AC22" i="24"/>
  <c r="AB22" i="24"/>
  <c r="AA22" i="24"/>
  <c r="Z22" i="24"/>
  <c r="Y22" i="24"/>
  <c r="X22" i="24"/>
  <c r="AG21" i="24"/>
  <c r="AF21" i="24"/>
  <c r="AE21" i="24"/>
  <c r="AD21" i="24"/>
  <c r="AC21" i="24"/>
  <c r="AB21" i="24"/>
  <c r="AA21" i="24"/>
  <c r="Z21" i="24"/>
  <c r="Y21" i="24"/>
  <c r="X21" i="24"/>
  <c r="AG20" i="24"/>
  <c r="AF20" i="24"/>
  <c r="AE20" i="24"/>
  <c r="AD20" i="24"/>
  <c r="AC20" i="24"/>
  <c r="AB20" i="24"/>
  <c r="AA20" i="24"/>
  <c r="Z20" i="24"/>
  <c r="Y20" i="24"/>
  <c r="X20" i="24"/>
  <c r="AG19" i="24"/>
  <c r="AF19" i="24"/>
  <c r="AE19" i="24"/>
  <c r="AD19" i="24"/>
  <c r="AC19" i="24"/>
  <c r="AB19" i="24"/>
  <c r="AA19" i="24"/>
  <c r="Z19" i="24"/>
  <c r="Y19" i="24"/>
  <c r="X19" i="24"/>
  <c r="AG18" i="24"/>
  <c r="AF18" i="24"/>
  <c r="AE18" i="24"/>
  <c r="AD18" i="24"/>
  <c r="AC18" i="24"/>
  <c r="AB18" i="24"/>
  <c r="AA18" i="24"/>
  <c r="Z18" i="24"/>
  <c r="Y18" i="24"/>
  <c r="X18" i="24"/>
  <c r="S74" i="21" l="1"/>
  <c r="S76" i="21"/>
  <c r="S75" i="21"/>
  <c r="M100" i="21"/>
  <c r="H100" i="21"/>
  <c r="C100" i="21"/>
  <c r="A78" i="21"/>
  <c r="A77" i="21"/>
  <c r="D83" i="21" s="1"/>
  <c r="A76" i="21"/>
  <c r="E62" i="21"/>
  <c r="A59" i="21"/>
</calcChain>
</file>

<file path=xl/sharedStrings.xml><?xml version="1.0" encoding="utf-8"?>
<sst xmlns="http://schemas.openxmlformats.org/spreadsheetml/2006/main" count="140" uniqueCount="126">
  <si>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</si>
  <si>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</si>
  <si>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</si>
  <si>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</si>
  <si>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</si>
  <si>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</si>
  <si>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</si>
  <si>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</si>
  <si>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</si>
  <si>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</si>
  <si>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</si>
  <si>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</si>
  <si>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</si>
  <si>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</si>
  <si>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</si>
  <si>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</si>
  <si>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</si>
  <si>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</si>
  <si>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</si>
  <si>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</si>
  <si>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</si>
  <si>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</si>
  <si>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</si>
  <si>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</si>
  <si>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</si>
  <si>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</si>
  <si>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</si>
  <si>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</si>
  <si>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</si>
  <si>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</si>
  <si>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</si>
  <si>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</si>
  <si>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</si>
  <si>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</si>
  <si>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</si>
  <si>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</si>
  <si>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</si>
  <si>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</si>
  <si>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</si>
  <si>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</si>
  <si>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</si>
  <si>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</si>
  <si>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</si>
  <si>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</si>
  <si>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</si>
  <si>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</si>
  <si>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</si>
  <si>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</si>
  <si>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</si>
  <si>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</si>
  <si>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</si>
  <si>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</si>
  <si>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</si>
  <si>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</si>
  <si>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</si>
  <si>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</si>
  <si>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</si>
  <si>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</si>
  <si>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</si>
  <si>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</si>
  <si>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R. RAVIER</t>
  </si>
  <si>
    <t>T. BODY</t>
  </si>
  <si>
    <t>T. RUCHETON</t>
  </si>
  <si>
    <t xml:space="preserve">Date de réception du produit présenté pour essai : </t>
  </si>
  <si>
    <t>Code Client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</si>
  <si>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</si>
  <si>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</si>
  <si>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</si>
  <si>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</si>
  <si>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</si>
  <si>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</si>
  <si>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</si>
  <si>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24 heures minimum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</si>
  <si>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</si>
  <si>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</si>
  <si>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</si>
  <si>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</si>
  <si>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</si>
  <si>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22-24 Rue Denis Papin</t>
  </si>
  <si>
    <t>Tél : 02 38 64 81 00</t>
  </si>
  <si>
    <t>Laboratoire</t>
  </si>
  <si>
    <t>AJOUTER LES ETALONS NECESSAIRES</t>
  </si>
  <si>
    <t>Machine de mesure tridimensionnelle MITUTOYO EURO-C APEX 7106 (MMT01)</t>
  </si>
  <si>
    <t>CE N° 23042101-OMA</t>
  </si>
  <si>
    <t>Plan de définition :</t>
  </si>
  <si>
    <t>Indice :</t>
  </si>
  <si>
    <t>Supprimer le plan de contrôle non utilisé</t>
  </si>
  <si>
    <t>PLAN DE CONTRÔLE</t>
  </si>
  <si>
    <t>RESULTATS DES ESSAIS DE MESURE DIMENSIONNELLE</t>
  </si>
  <si>
    <t>Pied à coulisse</t>
  </si>
  <si>
    <t>Machine 2D Optique</t>
  </si>
  <si>
    <t>Rugosimètre</t>
  </si>
  <si>
    <t>Cales étalons</t>
  </si>
  <si>
    <t>slide gauge</t>
  </si>
  <si>
    <t>2D optical machine</t>
  </si>
  <si>
    <t>rugosimeter</t>
  </si>
  <si>
    <t>block gauge</t>
  </si>
  <si>
    <t>N° 1</t>
  </si>
  <si>
    <t>N° 2</t>
  </si>
  <si>
    <t>N° 3</t>
  </si>
  <si>
    <t>N° 4</t>
  </si>
  <si>
    <t>Micromètre</t>
  </si>
  <si>
    <t>Piges étalons</t>
  </si>
  <si>
    <t>Jauge de prof.</t>
  </si>
  <si>
    <t>Tridimensionnelle</t>
  </si>
  <si>
    <t>micrometer</t>
  </si>
  <si>
    <t>rod gauge</t>
  </si>
  <si>
    <t>depth gauge</t>
  </si>
  <si>
    <t>3 D machine</t>
  </si>
  <si>
    <t>N° 5</t>
  </si>
  <si>
    <t>N° 6</t>
  </si>
  <si>
    <t>N° 7</t>
  </si>
  <si>
    <t>N° 8</t>
  </si>
  <si>
    <t>HT</t>
  </si>
  <si>
    <t>N° M.C.</t>
  </si>
  <si>
    <t>N° de la cote</t>
  </si>
  <si>
    <t>Valeurs Théoriques</t>
  </si>
  <si>
    <t>Tol. Sup.</t>
  </si>
  <si>
    <t>Tol. Inf.</t>
  </si>
  <si>
    <t>Mesure</t>
  </si>
  <si>
    <t>OBSERVATIONS</t>
  </si>
  <si>
    <t>N° série :</t>
  </si>
  <si>
    <t>N° identification :</t>
  </si>
  <si>
    <t>Micromètre d'extértieur MITUTOYO 0-25 mm (MIC9)</t>
  </si>
  <si>
    <t>CV N° 2307142980</t>
  </si>
  <si>
    <t xml:space="preserve">N°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</si>
</sst>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[$-40C]d\ mmmm\ yyyy;@"/>
    <numFmt numFmtId="173" formatCode="0.000"/>
  </numFmts>
  <fonts count="4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b/>
      <sz val="10"/>
      <name val="Helv"/>
    </font>
    <font>
      <b/>
      <sz val="14"/>
      <color rgb="FFFF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0"/>
      <name val="Helv"/>
    </font>
    <font>
      <sz val="18"/>
      <name val="Arial"/>
      <family val="2"/>
    </font>
    <font>
      <sz val="11"/>
      <color theme="0"/>
      <name val="Arial"/>
      <family val="2"/>
    </font>
    <font>
      <sz val="10"/>
      <name val="MS Sans Serif"/>
      <family val="2"/>
    </font>
    <font>
      <sz val="9"/>
      <color indexed="9"/>
      <name val="Times New Roman"/>
      <family val="1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0" fontId="11" fillId="0" borderId="0"/>
    <xf numFmtId="0" fontId="9" fillId="0" borderId="0"/>
    <xf numFmtId="0" fontId="24" fillId="0" borderId="0" applyNumberFormat="0" applyFill="0" applyBorder="0" applyAlignment="0" applyProtection="0"/>
    <xf numFmtId="0" fontId="35" fillId="0" borderId="0"/>
    <xf numFmtId="0" fontId="1" fillId="0" borderId="0"/>
    <xf numFmtId="0" fontId="1" fillId="0" borderId="0"/>
    <xf numFmtId="0" fontId="38" fillId="0" borderId="0"/>
  </cellStyleXfs>
  <cellXfs count="265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7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0" fillId="0" borderId="0" xfId="3" applyFont="1" applyAlignment="1">
      <alignment vertical="center"/>
    </xf>
    <xf numFmtId="0" fontId="12" fillId="0" borderId="0" xfId="2" applyFont="1" applyAlignment="1">
      <alignment horizontal="left" vertical="center"/>
    </xf>
    <xf numFmtId="167" fontId="10" fillId="0" borderId="0" xfId="2" applyNumberFormat="1" applyFont="1" applyAlignment="1">
      <alignment horizontal="center" vertical="center"/>
    </xf>
    <xf numFmtId="168" fontId="8" fillId="0" borderId="0" xfId="2" applyNumberFormat="1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8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171" fontId="7" fillId="0" borderId="0" xfId="0" quotePrefix="1" applyNumberFormat="1" applyFont="1" applyAlignment="1">
      <alignment horizontal="left" vertical="center"/>
    </xf>
    <xf numFmtId="0" fontId="25" fillId="0" borderId="0" xfId="4" applyFont="1" applyBorder="1" applyAlignment="1" applyProtection="1">
      <alignment horizontal="center" vertical="center"/>
    </xf>
    <xf numFmtId="0" fontId="26" fillId="0" borderId="0" xfId="4" applyFont="1" applyBorder="1" applyAlignment="1" applyProtection="1">
      <alignment horizontal="center" vertical="center"/>
    </xf>
    <xf numFmtId="0" fontId="26" fillId="2" borderId="0" xfId="4" applyFont="1" applyFill="1" applyBorder="1" applyAlignment="1" applyProtection="1">
      <alignment horizontal="center" vertical="center"/>
    </xf>
    <xf numFmtId="0" fontId="18" fillId="4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164" fontId="2" fillId="0" borderId="0" xfId="0" applyNumberFormat="1" applyFont="1" applyAlignment="1">
      <alignment horizontal="left" vertical="center"/>
    </xf>
    <xf numFmtId="0" fontId="28" fillId="0" borderId="4" xfId="0" applyFont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168" fontId="8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wrapText="1"/>
    </xf>
    <xf numFmtId="0" fontId="7" fillId="0" borderId="0" xfId="0" applyFont="1" applyAlignment="1">
      <alignment horizontal="center" vertical="center" wrapText="1"/>
    </xf>
    <xf numFmtId="0" fontId="1" fillId="0" borderId="0" xfId="4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3" fillId="0" borderId="0" xfId="3" applyFont="1" applyAlignment="1">
      <alignment vertical="center"/>
    </xf>
    <xf numFmtId="168" fontId="15" fillId="0" borderId="0" xfId="2" applyNumberFormat="1" applyFont="1" applyAlignment="1">
      <alignment vertical="center"/>
    </xf>
    <xf numFmtId="0" fontId="16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0" fillId="0" borderId="0" xfId="3" applyFont="1" applyAlignment="1">
      <alignment horizontal="left" vertical="center"/>
    </xf>
    <xf numFmtId="168" fontId="15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quotePrefix="1" applyFont="1" applyAlignment="1">
      <alignment vertical="center"/>
    </xf>
    <xf numFmtId="171" fontId="7" fillId="0" borderId="0" xfId="0" quotePrefix="1" applyNumberFormat="1" applyFont="1" applyAlignment="1">
      <alignment vertical="center"/>
    </xf>
    <xf numFmtId="17" fontId="7" fillId="0" borderId="0" xfId="0" applyNumberFormat="1" applyFont="1" applyAlignment="1">
      <alignment horizontal="left" vertical="center"/>
    </xf>
    <xf numFmtId="17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4" fontId="12" fillId="0" borderId="0" xfId="0" applyNumberFormat="1" applyFont="1" applyAlignment="1">
      <alignment horizontal="left" vertical="center"/>
    </xf>
    <xf numFmtId="49" fontId="10" fillId="2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left" vertical="center"/>
    </xf>
    <xf numFmtId="171" fontId="10" fillId="0" borderId="0" xfId="0" quotePrefix="1" applyNumberFormat="1" applyFont="1" applyAlignment="1">
      <alignment horizontal="left" vertical="center"/>
    </xf>
    <xf numFmtId="0" fontId="3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168" fontId="32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vertical="center"/>
    </xf>
    <xf numFmtId="0" fontId="10" fillId="0" borderId="0" xfId="2" applyFont="1" applyAlignment="1">
      <alignment vertical="center"/>
    </xf>
    <xf numFmtId="0" fontId="34" fillId="0" borderId="0" xfId="0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35" fillId="0" borderId="0" xfId="5" applyAlignment="1">
      <alignment horizontal="center"/>
    </xf>
    <xf numFmtId="0" fontId="35" fillId="0" borderId="0" xfId="5"/>
    <xf numFmtId="0" fontId="1" fillId="0" borderId="0" xfId="6"/>
    <xf numFmtId="0" fontId="32" fillId="6" borderId="0" xfId="6" applyFont="1" applyFill="1"/>
    <xf numFmtId="0" fontId="1" fillId="6" borderId="0" xfId="6" applyFill="1"/>
    <xf numFmtId="0" fontId="15" fillId="0" borderId="0" xfId="5" applyFont="1" applyAlignment="1">
      <alignment horizontal="center"/>
    </xf>
    <xf numFmtId="0" fontId="7" fillId="0" borderId="0" xfId="5" applyFont="1"/>
    <xf numFmtId="2" fontId="7" fillId="0" borderId="5" xfId="5" applyNumberFormat="1" applyFont="1" applyBorder="1" applyAlignment="1">
      <alignment horizontal="center" vertical="center"/>
    </xf>
    <xf numFmtId="2" fontId="7" fillId="0" borderId="6" xfId="5" applyNumberFormat="1" applyFont="1" applyBorder="1" applyAlignment="1">
      <alignment horizontal="center" vertical="center"/>
    </xf>
    <xf numFmtId="1" fontId="18" fillId="0" borderId="6" xfId="5" applyNumberFormat="1" applyFont="1" applyBorder="1" applyAlignment="1">
      <alignment horizontal="center" vertical="center"/>
    </xf>
    <xf numFmtId="2" fontId="18" fillId="0" borderId="6" xfId="5" applyNumberFormat="1" applyFont="1" applyBorder="1" applyAlignment="1">
      <alignment horizontal="center" vertical="center"/>
    </xf>
    <xf numFmtId="2" fontId="7" fillId="0" borderId="7" xfId="5" applyNumberFormat="1" applyFont="1" applyBorder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7" fillId="0" borderId="0" xfId="5" applyFont="1" applyAlignment="1">
      <alignment vertical="center"/>
    </xf>
    <xf numFmtId="2" fontId="7" fillId="0" borderId="8" xfId="5" applyNumberFormat="1" applyFont="1" applyBorder="1" applyAlignment="1">
      <alignment horizontal="center" vertical="center"/>
    </xf>
    <xf numFmtId="2" fontId="7" fillId="0" borderId="9" xfId="5" applyNumberFormat="1" applyFont="1" applyBorder="1" applyAlignment="1">
      <alignment horizontal="center" vertical="center"/>
    </xf>
    <xf numFmtId="2" fontId="7" fillId="0" borderId="10" xfId="5" applyNumberFormat="1" applyFont="1" applyBorder="1" applyAlignment="1">
      <alignment horizontal="center" vertical="center"/>
    </xf>
    <xf numFmtId="2" fontId="7" fillId="0" borderId="1" xfId="5" applyNumberFormat="1" applyFont="1" applyBorder="1" applyAlignment="1">
      <alignment horizontal="center" vertical="center"/>
    </xf>
    <xf numFmtId="1" fontId="18" fillId="0" borderId="1" xfId="5" applyNumberFormat="1" applyFont="1" applyBorder="1" applyAlignment="1">
      <alignment horizontal="center" vertical="center"/>
    </xf>
    <xf numFmtId="2" fontId="18" fillId="0" borderId="1" xfId="5" applyNumberFormat="1" applyFont="1" applyBorder="1" applyAlignment="1">
      <alignment horizontal="center" vertical="center"/>
    </xf>
    <xf numFmtId="2" fontId="7" fillId="0" borderId="11" xfId="5" applyNumberFormat="1" applyFont="1" applyBorder="1" applyAlignment="1">
      <alignment horizontal="center" vertical="center"/>
    </xf>
    <xf numFmtId="0" fontId="1" fillId="0" borderId="0" xfId="7"/>
    <xf numFmtId="0" fontId="1" fillId="0" borderId="0" xfId="7" applyAlignment="1">
      <alignment horizontal="center"/>
    </xf>
    <xf numFmtId="0" fontId="4" fillId="2" borderId="0" xfId="7" applyFont="1" applyFill="1" applyAlignment="1">
      <alignment vertical="center"/>
    </xf>
    <xf numFmtId="0" fontId="6" fillId="2" borderId="0" xfId="7" applyFont="1" applyFill="1" applyAlignment="1">
      <alignment vertical="center"/>
    </xf>
    <xf numFmtId="0" fontId="15" fillId="0" borderId="0" xfId="7" applyFont="1" applyAlignment="1">
      <alignment horizontal="center"/>
    </xf>
    <xf numFmtId="0" fontId="7" fillId="0" borderId="0" xfId="7" applyFont="1"/>
    <xf numFmtId="0" fontId="13" fillId="0" borderId="0" xfId="7" applyFont="1" applyAlignment="1">
      <alignment horizontal="center"/>
    </xf>
    <xf numFmtId="0" fontId="19" fillId="0" borderId="0" xfId="7" applyFont="1" applyAlignment="1">
      <alignment horizontal="center" vertical="center"/>
    </xf>
    <xf numFmtId="0" fontId="7" fillId="0" borderId="0" xfId="7" applyFont="1" applyAlignment="1">
      <alignment vertical="center"/>
    </xf>
    <xf numFmtId="0" fontId="5" fillId="2" borderId="0" xfId="7" applyFont="1" applyFill="1" applyAlignment="1">
      <alignment vertical="center"/>
    </xf>
    <xf numFmtId="0" fontId="36" fillId="0" borderId="0" xfId="7" applyFont="1" applyAlignment="1">
      <alignment horizontal="center"/>
    </xf>
    <xf numFmtId="0" fontId="36" fillId="0" borderId="0" xfId="7" applyFont="1"/>
    <xf numFmtId="0" fontId="21" fillId="0" borderId="0" xfId="7" applyFont="1" applyAlignment="1">
      <alignment horizontal="center"/>
    </xf>
    <xf numFmtId="0" fontId="21" fillId="0" borderId="0" xfId="7" applyFont="1"/>
    <xf numFmtId="0" fontId="37" fillId="2" borderId="0" xfId="0" applyFont="1" applyFill="1" applyAlignment="1">
      <alignment vertical="center"/>
    </xf>
    <xf numFmtId="0" fontId="37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2" fillId="0" borderId="0" xfId="0" applyFont="1" applyAlignment="1">
      <alignment horizontal="centerContinuous"/>
    </xf>
    <xf numFmtId="169" fontId="14" fillId="0" borderId="2" xfId="0" applyNumberFormat="1" applyFont="1" applyBorder="1" applyAlignment="1">
      <alignment horizontal="left"/>
    </xf>
    <xf numFmtId="169" fontId="1" fillId="0" borderId="12" xfId="0" applyNumberFormat="1" applyFont="1" applyBorder="1" applyAlignment="1">
      <alignment horizontal="centerContinuous"/>
    </xf>
    <xf numFmtId="3" fontId="1" fillId="0" borderId="12" xfId="0" applyNumberFormat="1" applyFont="1" applyBorder="1" applyAlignment="1">
      <alignment horizontal="left"/>
    </xf>
    <xf numFmtId="0" fontId="1" fillId="0" borderId="12" xfId="0" applyFont="1" applyBorder="1"/>
    <xf numFmtId="49" fontId="14" fillId="0" borderId="12" xfId="0" quotePrefix="1" applyNumberFormat="1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170" fontId="1" fillId="0" borderId="3" xfId="0" applyNumberFormat="1" applyFont="1" applyBorder="1" applyAlignment="1">
      <alignment horizontal="center"/>
    </xf>
    <xf numFmtId="0" fontId="21" fillId="3" borderId="0" xfId="0" applyFont="1" applyFill="1" applyAlignment="1">
      <alignment vertical="center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4" fillId="2" borderId="0" xfId="0" applyFont="1" applyFill="1" applyAlignment="1">
      <alignment horizontal="left"/>
    </xf>
    <xf numFmtId="0" fontId="7" fillId="0" borderId="4" xfId="0" quotePrefix="1" applyFont="1" applyBorder="1" applyAlignment="1">
      <alignment horizontal="center" vertical="center"/>
    </xf>
    <xf numFmtId="0" fontId="7" fillId="0" borderId="13" xfId="0" applyFont="1" applyBorder="1" applyAlignment="1">
      <alignment horizontal="centerContinuous" vertical="center"/>
    </xf>
    <xf numFmtId="0" fontId="7" fillId="0" borderId="12" xfId="0" applyFont="1" applyBorder="1" applyAlignment="1">
      <alignment horizontal="center" vertical="center"/>
    </xf>
    <xf numFmtId="0" fontId="7" fillId="0" borderId="14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Continuous" vertical="center"/>
    </xf>
    <xf numFmtId="2" fontId="39" fillId="0" borderId="0" xfId="8" applyNumberFormat="1" applyFont="1"/>
    <xf numFmtId="0" fontId="39" fillId="0" borderId="0" xfId="8" applyFont="1"/>
    <xf numFmtId="2" fontId="1" fillId="0" borderId="2" xfId="0" applyNumberFormat="1" applyFont="1" applyBorder="1" applyAlignment="1">
      <alignment horizontal="left" vertical="center"/>
    </xf>
    <xf numFmtId="173" fontId="1" fillId="0" borderId="2" xfId="0" applyNumberFormat="1" applyFont="1" applyBorder="1" applyAlignment="1">
      <alignment horizontal="left" vertical="center"/>
    </xf>
    <xf numFmtId="0" fontId="1" fillId="2" borderId="0" xfId="7" applyFill="1" applyAlignment="1">
      <alignment horizontal="center"/>
    </xf>
    <xf numFmtId="0" fontId="1" fillId="0" borderId="0" xfId="7" applyAlignment="1">
      <alignment horizontal="right"/>
    </xf>
    <xf numFmtId="0" fontId="1" fillId="2" borderId="0" xfId="7" applyFill="1" applyAlignment="1">
      <alignment horizontal="left"/>
    </xf>
    <xf numFmtId="0" fontId="1" fillId="2" borderId="0" xfId="7" applyFill="1" applyAlignment="1">
      <alignment horizontal="centerContinuous"/>
    </xf>
    <xf numFmtId="0" fontId="6" fillId="0" borderId="0" xfId="6" applyFont="1" applyAlignment="1">
      <alignment horizontal="right"/>
    </xf>
    <xf numFmtId="0" fontId="6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6" fillId="0" borderId="0" xfId="6" applyFont="1" applyAlignment="1">
      <alignment horizontal="left"/>
    </xf>
    <xf numFmtId="0" fontId="12" fillId="0" borderId="0" xfId="7" applyFont="1" applyAlignment="1">
      <alignment vertical="center"/>
    </xf>
    <xf numFmtId="49" fontId="1" fillId="0" borderId="12" xfId="0" applyNumberFormat="1" applyFont="1" applyBorder="1"/>
    <xf numFmtId="0" fontId="7" fillId="0" borderId="12" xfId="7" applyFont="1" applyBorder="1" applyAlignment="1">
      <alignment vertical="center"/>
    </xf>
    <xf numFmtId="2" fontId="1" fillId="0" borderId="12" xfId="0" applyNumberFormat="1" applyFont="1" applyBorder="1"/>
    <xf numFmtId="49" fontId="0" fillId="0" borderId="0" xfId="0" applyNumberFormat="1" applyAlignment="1">
      <alignment horizontal="center"/>
    </xf>
    <xf numFmtId="0" fontId="40" fillId="0" borderId="0" xfId="7" applyFont="1" applyAlignment="1">
      <alignment horizontal="center"/>
    </xf>
    <xf numFmtId="0" fontId="12" fillId="0" borderId="0" xfId="5" applyFont="1" applyAlignment="1">
      <alignment vertical="center"/>
    </xf>
    <xf numFmtId="2" fontId="18" fillId="0" borderId="0" xfId="5" applyNumberFormat="1" applyFont="1" applyAlignment="1">
      <alignment horizontal="center" vertical="center"/>
    </xf>
    <xf numFmtId="2" fontId="7" fillId="0" borderId="0" xfId="5" applyNumberFormat="1" applyFont="1" applyAlignment="1">
      <alignment horizontal="center" vertical="center"/>
    </xf>
    <xf numFmtId="1" fontId="18" fillId="0" borderId="0" xfId="5" applyNumberFormat="1" applyFont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2" fontId="7" fillId="0" borderId="13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left" vertical="center"/>
    </xf>
    <xf numFmtId="2" fontId="7" fillId="0" borderId="14" xfId="0" applyNumberFormat="1" applyFont="1" applyBorder="1" applyAlignment="1">
      <alignment horizontal="center" vertical="center"/>
    </xf>
    <xf numFmtId="173" fontId="7" fillId="0" borderId="4" xfId="0" applyNumberFormat="1" applyFont="1" applyBorder="1" applyAlignment="1">
      <alignment horizontal="center" vertical="center"/>
    </xf>
    <xf numFmtId="173" fontId="7" fillId="0" borderId="15" xfId="0" applyNumberFormat="1" applyFont="1" applyBorder="1" applyAlignment="1">
      <alignment horizontal="center" vertical="center"/>
    </xf>
    <xf numFmtId="173" fontId="7" fillId="0" borderId="2" xfId="0" applyNumberFormat="1" applyFont="1" applyBorder="1" applyAlignment="1">
      <alignment horizontal="center" vertical="center"/>
    </xf>
    <xf numFmtId="2" fontId="18" fillId="0" borderId="4" xfId="8" applyNumberFormat="1" applyFont="1" applyBorder="1" applyAlignment="1">
      <alignment horizontal="centerContinuous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2" fontId="7" fillId="0" borderId="15" xfId="0" applyNumberFormat="1" applyFont="1" applyBorder="1" applyAlignment="1">
      <alignment horizontal="center" vertical="center"/>
    </xf>
    <xf numFmtId="0" fontId="10" fillId="0" borderId="0" xfId="0" quotePrefix="1" applyFont="1" applyAlignment="1">
      <alignment vertical="center"/>
    </xf>
    <xf numFmtId="173" fontId="18" fillId="0" borderId="4" xfId="8" applyNumberFormat="1" applyFont="1" applyBorder="1" applyAlignment="1">
      <alignment horizontal="centerContinuous" vertical="center"/>
    </xf>
    <xf numFmtId="0" fontId="6" fillId="2" borderId="1" xfId="0" applyFont="1" applyFill="1" applyBorder="1" applyAlignment="1">
      <alignment vertical="center"/>
    </xf>
    <xf numFmtId="2" fontId="18" fillId="0" borderId="7" xfId="5" applyNumberFormat="1" applyFont="1" applyBorder="1" applyAlignment="1">
      <alignment horizontal="center" vertical="center"/>
    </xf>
    <xf numFmtId="2" fontId="18" fillId="0" borderId="9" xfId="5" applyNumberFormat="1" applyFont="1" applyBorder="1" applyAlignment="1">
      <alignment horizontal="center" vertical="center"/>
    </xf>
    <xf numFmtId="0" fontId="35" fillId="0" borderId="8" xfId="5" applyBorder="1"/>
    <xf numFmtId="0" fontId="35" fillId="0" borderId="9" xfId="5" applyBorder="1"/>
    <xf numFmtId="0" fontId="35" fillId="0" borderId="10" xfId="5" applyBorder="1"/>
    <xf numFmtId="0" fontId="35" fillId="0" borderId="1" xfId="5" applyBorder="1"/>
    <xf numFmtId="0" fontId="35" fillId="0" borderId="11" xfId="5" applyBorder="1"/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2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3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14" fontId="10" fillId="2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171" fontId="10" fillId="0" borderId="0" xfId="0" quotePrefix="1" applyNumberFormat="1" applyFont="1" applyAlignment="1">
      <alignment horizontal="left" vertical="center"/>
    </xf>
    <xf numFmtId="0" fontId="10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horizontal="center" vertical="center"/>
    </xf>
    <xf numFmtId="168" fontId="33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2" fillId="0" borderId="2" xfId="5" applyFont="1" applyBorder="1" applyAlignment="1">
      <alignment horizontal="center" vertical="center"/>
    </xf>
    <xf numFmtId="0" fontId="12" fillId="0" borderId="12" xfId="5" applyFont="1" applyBorder="1" applyAlignment="1">
      <alignment horizontal="center" vertical="center"/>
    </xf>
    <xf numFmtId="0" fontId="12" fillId="0" borderId="3" xfId="5" applyFont="1" applyBorder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12" fillId="0" borderId="5" xfId="5" applyFont="1" applyBorder="1" applyAlignment="1">
      <alignment horizontal="center" vertical="center"/>
    </xf>
    <xf numFmtId="0" fontId="12" fillId="0" borderId="6" xfId="5" applyFont="1" applyBorder="1" applyAlignment="1">
      <alignment horizontal="center" vertical="center"/>
    </xf>
    <xf numFmtId="0" fontId="12" fillId="0" borderId="7" xfId="5" applyFont="1" applyBorder="1" applyAlignment="1">
      <alignment horizontal="center" vertical="center"/>
    </xf>
    <xf numFmtId="0" fontId="12" fillId="0" borderId="10" xfId="5" applyFont="1" applyBorder="1" applyAlignment="1">
      <alignment horizontal="center" vertical="center"/>
    </xf>
    <xf numFmtId="0" fontId="12" fillId="0" borderId="1" xfId="5" applyFont="1" applyBorder="1" applyAlignment="1">
      <alignment horizontal="center" vertical="center"/>
    </xf>
    <xf numFmtId="0" fontId="12" fillId="0" borderId="11" xfId="5" applyFont="1" applyBorder="1" applyAlignment="1">
      <alignment horizontal="center" vertical="center"/>
    </xf>
    <xf numFmtId="0" fontId="17" fillId="2" borderId="0" xfId="6" applyFont="1" applyFill="1" applyAlignment="1">
      <alignment horizontal="right"/>
    </xf>
    <xf numFmtId="0" fontId="7" fillId="0" borderId="2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2" fillId="0" borderId="2" xfId="7" applyFont="1" applyBorder="1" applyAlignment="1">
      <alignment horizontal="center" vertical="center"/>
    </xf>
    <xf numFmtId="0" fontId="12" fillId="0" borderId="12" xfId="7" applyFont="1" applyBorder="1" applyAlignment="1">
      <alignment horizontal="center" vertical="center"/>
    </xf>
    <xf numFmtId="0" fontId="12" fillId="0" borderId="3" xfId="7" applyFont="1" applyBorder="1" applyAlignment="1">
      <alignment horizontal="center" vertical="center"/>
    </xf>
    <xf numFmtId="0" fontId="18" fillId="0" borderId="10" xfId="7" applyFont="1" applyBorder="1" applyAlignment="1">
      <alignment horizontal="center" vertical="center"/>
    </xf>
    <xf numFmtId="0" fontId="18" fillId="0" borderId="1" xfId="7" applyFont="1" applyBorder="1" applyAlignment="1">
      <alignment horizontal="center" vertical="center"/>
    </xf>
    <xf numFmtId="0" fontId="18" fillId="0" borderId="11" xfId="7" applyFont="1" applyBorder="1" applyAlignment="1">
      <alignment horizontal="center" vertical="center"/>
    </xf>
    <xf numFmtId="0" fontId="7" fillId="0" borderId="5" xfId="7" applyFont="1" applyBorder="1" applyAlignment="1">
      <alignment horizontal="center" vertical="center"/>
    </xf>
    <xf numFmtId="0" fontId="7" fillId="0" borderId="6" xfId="7" applyFont="1" applyBorder="1" applyAlignment="1">
      <alignment horizontal="center" vertical="center"/>
    </xf>
    <xf numFmtId="0" fontId="15" fillId="0" borderId="8" xfId="7" applyFont="1" applyBorder="1" applyAlignment="1">
      <alignment horizontal="center" vertical="center"/>
    </xf>
    <xf numFmtId="0" fontId="15" fillId="0" borderId="0" xfId="7" applyFont="1" applyAlignment="1">
      <alignment horizontal="center" vertical="center"/>
    </xf>
    <xf numFmtId="0" fontId="7" fillId="0" borderId="7" xfId="7" applyFont="1" applyBorder="1" applyAlignment="1">
      <alignment horizontal="center" vertical="center"/>
    </xf>
    <xf numFmtId="0" fontId="15" fillId="0" borderId="9" xfId="7" applyFont="1" applyBorder="1" applyAlignment="1">
      <alignment horizontal="center" vertical="center"/>
    </xf>
    <xf numFmtId="0" fontId="5" fillId="2" borderId="0" xfId="7" applyFont="1" applyFill="1" applyAlignment="1">
      <alignment horizontal="center" vertical="center"/>
    </xf>
    <xf numFmtId="0" fontId="4" fillId="2" borderId="0" xfId="7" applyFont="1" applyFill="1" applyAlignment="1">
      <alignment horizontal="center" vertical="center"/>
    </xf>
  </cellXfs>
  <cellStyles count="9">
    <cellStyle name="Euro" xfId="1" xr:uid="{00000000-0005-0000-0000-000000000000}"/>
    <cellStyle name="Lien hypertexte" xfId="4" builtinId="8"/>
    <cellStyle name="Normal" xfId="0" builtinId="0"/>
    <cellStyle name="Normal 2" xfId="7" xr:uid="{00000000-0005-0000-0000-000003000000}"/>
    <cellStyle name="Normal_96002" xfId="8" xr:uid="{00000000-0005-0000-0000-000004000000}"/>
    <cellStyle name="Normal_FICHTECH_1" xfId="2" xr:uid="{00000000-0005-0000-0000-000005000000}"/>
    <cellStyle name="Normal_Methode1" xfId="3" xr:uid="{00000000-0005-0000-0000-000006000000}"/>
    <cellStyle name="Normal_Rapport d'essai-1 pièce 2" xfId="6" xr:uid="{00000000-0005-0000-0000-000007000000}"/>
    <cellStyle name="Normal_RD_vierge NIPPLE" xfId="5" xr:uid="{00000000-0005-0000-0000-000008000000}"/>
  </cellStyles>
  <dxfs count="4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22" fmlaLink="$W$96" fmlaRange="$T$98:$T$102" noThreeD="1" sel="3" val="0"/>
</file>

<file path=xl/ctrlProps/ctrlProp2.xml><?xml version="1.0" encoding="utf-8"?>
<formControlPr xmlns="http://schemas.microsoft.com/office/spreadsheetml/2009/9/main" objectType="Drop" dropStyle="combo" dx="22" fmlaLink="$U$52" fmlaRange="$T$51:$T$53" noThreeD="1" sel="2" val="0"/>
</file>

<file path=xl/ctrlProps/ctrlProp3.xml><?xml version="1.0" encoding="utf-8"?>
<formControlPr xmlns="http://schemas.microsoft.com/office/spreadsheetml/2009/9/main" objectType="Drop" dropStyle="combo" dx="22" fmlaLink="$U$63" fmlaRange="$T$62:$T$65" noThreeD="1" sel="3" val="0"/>
</file>

<file path=xl/ctrlProps/ctrlProp4.xml><?xml version="1.0" encoding="utf-8"?>
<formControlPr xmlns="http://schemas.microsoft.com/office/spreadsheetml/2009/9/main" objectType="Drop" dropStyle="combo" dx="22" fmlaLink="$T$39" fmlaRange="$T$43:$T$48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55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:a16="http://schemas.microsoft.com/office/drawing/2014/main" id="{00000000-0008-0000-0000-000033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476250</xdr:colOff>
          <xdr:row>95</xdr:row>
          <xdr:rowOff>9525</xdr:rowOff>
        </xdr:from>
        <xdr:to>
          <xdr:col>21</xdr:col>
          <xdr:colOff>390525</xdr:colOff>
          <xdr:row>96</xdr:row>
          <xdr:rowOff>9525</xdr:rowOff>
        </xdr:to>
        <xdr:sp macro="" textlink="">
          <xdr:nvSpPr>
            <xdr:cNvPr id="15364" name="Drop Dow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219075</xdr:rowOff>
        </xdr:from>
        <xdr:to>
          <xdr:col>14</xdr:col>
          <xdr:colOff>704850</xdr:colOff>
          <xdr:row>49</xdr:row>
          <xdr:rowOff>228600</xdr:rowOff>
        </xdr:to>
        <xdr:sp macro="" textlink="">
          <xdr:nvSpPr>
            <xdr:cNvPr id="15365" name="Drop Dow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60</xdr:row>
          <xdr:rowOff>228600</xdr:rowOff>
        </xdr:from>
        <xdr:to>
          <xdr:col>14</xdr:col>
          <xdr:colOff>552450</xdr:colOff>
          <xdr:row>62</xdr:row>
          <xdr:rowOff>38100</xdr:rowOff>
        </xdr:to>
        <xdr:sp macro="" textlink="">
          <xdr:nvSpPr>
            <xdr:cNvPr id="15366" name="Drop Dow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161925</xdr:rowOff>
        </xdr:from>
        <xdr:to>
          <xdr:col>14</xdr:col>
          <xdr:colOff>428625</xdr:colOff>
          <xdr:row>46</xdr:row>
          <xdr:rowOff>9525</xdr:rowOff>
        </xdr:to>
        <xdr:sp macro="" textlink="">
          <xdr:nvSpPr>
            <xdr:cNvPr id="15371" name="Drop Dow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50799</xdr:colOff>
      <xdr:row>6</xdr:row>
      <xdr:rowOff>6349</xdr:rowOff>
    </xdr:from>
    <xdr:to>
      <xdr:col>26</xdr:col>
      <xdr:colOff>241299</xdr:colOff>
      <xdr:row>7</xdr:row>
      <xdr:rowOff>6350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023599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50799</xdr:colOff>
      <xdr:row>7</xdr:row>
      <xdr:rowOff>6349</xdr:rowOff>
    </xdr:from>
    <xdr:to>
      <xdr:col>26</xdr:col>
      <xdr:colOff>241299</xdr:colOff>
      <xdr:row>8</xdr:row>
      <xdr:rowOff>6349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023599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50799</xdr:colOff>
      <xdr:row>8</xdr:row>
      <xdr:rowOff>6349</xdr:rowOff>
    </xdr:from>
    <xdr:to>
      <xdr:col>26</xdr:col>
      <xdr:colOff>241299</xdr:colOff>
      <xdr:row>9</xdr:row>
      <xdr:rowOff>6348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1023599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50799</xdr:colOff>
      <xdr:row>9</xdr:row>
      <xdr:rowOff>6349</xdr:rowOff>
    </xdr:from>
    <xdr:to>
      <xdr:col>26</xdr:col>
      <xdr:colOff>241299</xdr:colOff>
      <xdr:row>10</xdr:row>
      <xdr:rowOff>6349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11023599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50799</xdr:colOff>
      <xdr:row>10</xdr:row>
      <xdr:rowOff>6349</xdr:rowOff>
    </xdr:from>
    <xdr:to>
      <xdr:col>26</xdr:col>
      <xdr:colOff>241299</xdr:colOff>
      <xdr:row>11</xdr:row>
      <xdr:rowOff>6349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1023599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11</xdr:row>
      <xdr:rowOff>6349</xdr:rowOff>
    </xdr:from>
    <xdr:to>
      <xdr:col>26</xdr:col>
      <xdr:colOff>241299</xdr:colOff>
      <xdr:row>12</xdr:row>
      <xdr:rowOff>6349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11023599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12</xdr:row>
      <xdr:rowOff>6349</xdr:rowOff>
    </xdr:from>
    <xdr:to>
      <xdr:col>26</xdr:col>
      <xdr:colOff>241299</xdr:colOff>
      <xdr:row>13</xdr:row>
      <xdr:rowOff>6349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11023599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13</xdr:row>
      <xdr:rowOff>6349</xdr:rowOff>
    </xdr:from>
    <xdr:to>
      <xdr:col>26</xdr:col>
      <xdr:colOff>241299</xdr:colOff>
      <xdr:row>14</xdr:row>
      <xdr:rowOff>6350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11023599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023599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165099</xdr:colOff>
      <xdr:row>5</xdr:row>
      <xdr:rowOff>187324</xdr:rowOff>
    </xdr:from>
    <xdr:to>
      <xdr:col>28</xdr:col>
      <xdr:colOff>107949</xdr:colOff>
      <xdr:row>6</xdr:row>
      <xdr:rowOff>187324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1389359" y="1414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6</xdr:row>
      <xdr:rowOff>187324</xdr:rowOff>
    </xdr:from>
    <xdr:to>
      <xdr:col>28</xdr:col>
      <xdr:colOff>107949</xdr:colOff>
      <xdr:row>7</xdr:row>
      <xdr:rowOff>187325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11389359" y="1604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7</xdr:row>
      <xdr:rowOff>187324</xdr:rowOff>
    </xdr:from>
    <xdr:to>
      <xdr:col>28</xdr:col>
      <xdr:colOff>107949</xdr:colOff>
      <xdr:row>8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11389359" y="1795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8</xdr:row>
      <xdr:rowOff>187324</xdr:rowOff>
    </xdr:from>
    <xdr:to>
      <xdr:col>28</xdr:col>
      <xdr:colOff>107949</xdr:colOff>
      <xdr:row>9</xdr:row>
      <xdr:rowOff>187323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11389359" y="1985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187324</xdr:rowOff>
    </xdr:from>
    <xdr:to>
      <xdr:col>28</xdr:col>
      <xdr:colOff>107949</xdr:colOff>
      <xdr:row>10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11389359" y="2176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11389359" y="2366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11389359" y="2557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11389359" y="2747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187325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11389359" y="2938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11389359" y="3128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47624</xdr:colOff>
      <xdr:row>6</xdr:row>
      <xdr:rowOff>6349</xdr:rowOff>
    </xdr:from>
    <xdr:to>
      <xdr:col>29</xdr:col>
      <xdr:colOff>238124</xdr:colOff>
      <xdr:row>7</xdr:row>
      <xdr:rowOff>6350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11774804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7</xdr:row>
      <xdr:rowOff>6349</xdr:rowOff>
    </xdr:from>
    <xdr:to>
      <xdr:col>29</xdr:col>
      <xdr:colOff>238124</xdr:colOff>
      <xdr:row>8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11774804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8</xdr:row>
      <xdr:rowOff>6349</xdr:rowOff>
    </xdr:from>
    <xdr:to>
      <xdr:col>29</xdr:col>
      <xdr:colOff>238124</xdr:colOff>
      <xdr:row>9</xdr:row>
      <xdr:rowOff>6348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11774804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9</xdr:row>
      <xdr:rowOff>6349</xdr:rowOff>
    </xdr:from>
    <xdr:to>
      <xdr:col>29</xdr:col>
      <xdr:colOff>238124</xdr:colOff>
      <xdr:row>10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11774804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11774804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11774804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11774804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6350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11774804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11774804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6348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11774804" y="3138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12143739" y="2195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2143739" y="2385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12143739" y="2576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15875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12143739" y="2766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12143739" y="2957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15873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12143739" y="3147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47624</xdr:colOff>
      <xdr:row>5</xdr:row>
      <xdr:rowOff>187324</xdr:rowOff>
    </xdr:from>
    <xdr:to>
      <xdr:col>32</xdr:col>
      <xdr:colOff>238124</xdr:colOff>
      <xdr:row>6</xdr:row>
      <xdr:rowOff>187324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12529184" y="1414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6</xdr:row>
      <xdr:rowOff>187324</xdr:rowOff>
    </xdr:from>
    <xdr:to>
      <xdr:col>32</xdr:col>
      <xdr:colOff>238124</xdr:colOff>
      <xdr:row>7</xdr:row>
      <xdr:rowOff>187325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12529184" y="1604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7</xdr:row>
      <xdr:rowOff>187324</xdr:rowOff>
    </xdr:from>
    <xdr:to>
      <xdr:col>32</xdr:col>
      <xdr:colOff>238124</xdr:colOff>
      <xdr:row>8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12529184" y="1795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8</xdr:row>
      <xdr:rowOff>187324</xdr:rowOff>
    </xdr:from>
    <xdr:to>
      <xdr:col>32</xdr:col>
      <xdr:colOff>238124</xdr:colOff>
      <xdr:row>9</xdr:row>
      <xdr:rowOff>187323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12529184" y="1985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187324</xdr:rowOff>
    </xdr:from>
    <xdr:to>
      <xdr:col>32</xdr:col>
      <xdr:colOff>238124</xdr:colOff>
      <xdr:row>10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12529184" y="2176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12529184" y="2366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12529184" y="2557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12529184" y="2747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187325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12529184" y="2938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12529184" y="3128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165099</xdr:colOff>
      <xdr:row>6</xdr:row>
      <xdr:rowOff>15874</xdr:rowOff>
    </xdr:from>
    <xdr:to>
      <xdr:col>31</xdr:col>
      <xdr:colOff>107949</xdr:colOff>
      <xdr:row>7</xdr:row>
      <xdr:rowOff>15875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12143739" y="1433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7</xdr:row>
      <xdr:rowOff>15874</xdr:rowOff>
    </xdr:from>
    <xdr:to>
      <xdr:col>31</xdr:col>
      <xdr:colOff>107949</xdr:colOff>
      <xdr:row>8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12143739" y="1623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8</xdr:row>
      <xdr:rowOff>15874</xdr:rowOff>
    </xdr:from>
    <xdr:to>
      <xdr:col>31</xdr:col>
      <xdr:colOff>107949</xdr:colOff>
      <xdr:row>9</xdr:row>
      <xdr:rowOff>15873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12143739" y="1814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9</xdr:row>
      <xdr:rowOff>15874</xdr:rowOff>
    </xdr:from>
    <xdr:to>
      <xdr:col>31</xdr:col>
      <xdr:colOff>107949</xdr:colOff>
      <xdr:row>10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12143739" y="2004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6</xdr:row>
      <xdr:rowOff>9525</xdr:rowOff>
    </xdr:from>
    <xdr:to>
      <xdr:col>35</xdr:col>
      <xdr:colOff>95250</xdr:colOff>
      <xdr:row>7</xdr:row>
      <xdr:rowOff>9526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13136880" y="1426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13136880" y="1617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8</xdr:row>
      <xdr:rowOff>9525</xdr:rowOff>
    </xdr:from>
    <xdr:to>
      <xdr:col>35</xdr:col>
      <xdr:colOff>95250</xdr:colOff>
      <xdr:row>9</xdr:row>
      <xdr:rowOff>9524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13136880" y="1807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9</xdr:row>
      <xdr:rowOff>9525</xdr:rowOff>
    </xdr:from>
    <xdr:to>
      <xdr:col>35</xdr:col>
      <xdr:colOff>95250</xdr:colOff>
      <xdr:row>10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13136880" y="1998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13136880" y="2188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13136880" y="2379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13136880" y="2569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9526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13136880" y="2760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13136880" y="2950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0</xdr:col>
      <xdr:colOff>521805</xdr:colOff>
      <xdr:row>1</xdr:row>
      <xdr:rowOff>16565</xdr:rowOff>
    </xdr:from>
    <xdr:to>
      <xdr:col>4</xdr:col>
      <xdr:colOff>362364</xdr:colOff>
      <xdr:row>2</xdr:row>
      <xdr:rowOff>211997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521805" y="182217"/>
          <a:ext cx="1182342" cy="485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118394</xdr:colOff>
      <xdr:row>1</xdr:row>
      <xdr:rowOff>16565</xdr:rowOff>
    </xdr:from>
    <xdr:to>
      <xdr:col>3</xdr:col>
      <xdr:colOff>339953</xdr:colOff>
      <xdr:row>2</xdr:row>
      <xdr:rowOff>211997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118394" y="178490"/>
          <a:ext cx="1183584" cy="4811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50799</xdr:colOff>
      <xdr:row>6</xdr:row>
      <xdr:rowOff>6349</xdr:rowOff>
    </xdr:from>
    <xdr:to>
      <xdr:col>26</xdr:col>
      <xdr:colOff>241299</xdr:colOff>
      <xdr:row>7</xdr:row>
      <xdr:rowOff>6350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0785474" y="13969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50799</xdr:colOff>
      <xdr:row>7</xdr:row>
      <xdr:rowOff>6349</xdr:rowOff>
    </xdr:from>
    <xdr:to>
      <xdr:col>26</xdr:col>
      <xdr:colOff>241299</xdr:colOff>
      <xdr:row>8</xdr:row>
      <xdr:rowOff>6349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10785474" y="1587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50799</xdr:colOff>
      <xdr:row>8</xdr:row>
      <xdr:rowOff>6349</xdr:rowOff>
    </xdr:from>
    <xdr:to>
      <xdr:col>26</xdr:col>
      <xdr:colOff>241299</xdr:colOff>
      <xdr:row>9</xdr:row>
      <xdr:rowOff>6348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10785474" y="17779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50799</xdr:colOff>
      <xdr:row>9</xdr:row>
      <xdr:rowOff>6349</xdr:rowOff>
    </xdr:from>
    <xdr:to>
      <xdr:col>26</xdr:col>
      <xdr:colOff>241299</xdr:colOff>
      <xdr:row>10</xdr:row>
      <xdr:rowOff>6349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10785474" y="1968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50799</xdr:colOff>
      <xdr:row>10</xdr:row>
      <xdr:rowOff>6349</xdr:rowOff>
    </xdr:from>
    <xdr:to>
      <xdr:col>26</xdr:col>
      <xdr:colOff>241299</xdr:colOff>
      <xdr:row>11</xdr:row>
      <xdr:rowOff>6349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10785474" y="2158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11</xdr:row>
      <xdr:rowOff>6349</xdr:rowOff>
    </xdr:from>
    <xdr:to>
      <xdr:col>26</xdr:col>
      <xdr:colOff>241299</xdr:colOff>
      <xdr:row>12</xdr:row>
      <xdr:rowOff>6349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10785474" y="2349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12</xdr:row>
      <xdr:rowOff>6349</xdr:rowOff>
    </xdr:from>
    <xdr:to>
      <xdr:col>26</xdr:col>
      <xdr:colOff>241299</xdr:colOff>
      <xdr:row>13</xdr:row>
      <xdr:rowOff>6349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10785474" y="2539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13</xdr:row>
      <xdr:rowOff>6349</xdr:rowOff>
    </xdr:from>
    <xdr:to>
      <xdr:col>26</xdr:col>
      <xdr:colOff>241299</xdr:colOff>
      <xdr:row>14</xdr:row>
      <xdr:rowOff>6350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10785474" y="27304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10785474" y="2920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165099</xdr:colOff>
      <xdr:row>5</xdr:row>
      <xdr:rowOff>187324</xdr:rowOff>
    </xdr:from>
    <xdr:to>
      <xdr:col>28</xdr:col>
      <xdr:colOff>107949</xdr:colOff>
      <xdr:row>6</xdr:row>
      <xdr:rowOff>187324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11147424" y="1387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6</xdr:row>
      <xdr:rowOff>187324</xdr:rowOff>
    </xdr:from>
    <xdr:to>
      <xdr:col>28</xdr:col>
      <xdr:colOff>107949</xdr:colOff>
      <xdr:row>7</xdr:row>
      <xdr:rowOff>187325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11147424" y="15779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7</xdr:row>
      <xdr:rowOff>187324</xdr:rowOff>
    </xdr:from>
    <xdr:to>
      <xdr:col>28</xdr:col>
      <xdr:colOff>107949</xdr:colOff>
      <xdr:row>8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11147424" y="1768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8</xdr:row>
      <xdr:rowOff>187324</xdr:rowOff>
    </xdr:from>
    <xdr:to>
      <xdr:col>28</xdr:col>
      <xdr:colOff>107949</xdr:colOff>
      <xdr:row>9</xdr:row>
      <xdr:rowOff>187323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11147424" y="195897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187324</xdr:rowOff>
    </xdr:from>
    <xdr:to>
      <xdr:col>28</xdr:col>
      <xdr:colOff>107949</xdr:colOff>
      <xdr:row>10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11147424" y="2149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11147424" y="2339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11147424" y="2530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11147424" y="2720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187325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11147424" y="29114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11147424" y="3101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47624</xdr:colOff>
      <xdr:row>6</xdr:row>
      <xdr:rowOff>6349</xdr:rowOff>
    </xdr:from>
    <xdr:to>
      <xdr:col>29</xdr:col>
      <xdr:colOff>238124</xdr:colOff>
      <xdr:row>7</xdr:row>
      <xdr:rowOff>6350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11525249" y="13969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7</xdr:row>
      <xdr:rowOff>6349</xdr:rowOff>
    </xdr:from>
    <xdr:to>
      <xdr:col>29</xdr:col>
      <xdr:colOff>238124</xdr:colOff>
      <xdr:row>8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11525249" y="1587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8</xdr:row>
      <xdr:rowOff>6349</xdr:rowOff>
    </xdr:from>
    <xdr:to>
      <xdr:col>29</xdr:col>
      <xdr:colOff>238124</xdr:colOff>
      <xdr:row>9</xdr:row>
      <xdr:rowOff>6348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11525249" y="17779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9</xdr:row>
      <xdr:rowOff>6349</xdr:rowOff>
    </xdr:from>
    <xdr:to>
      <xdr:col>29</xdr:col>
      <xdr:colOff>238124</xdr:colOff>
      <xdr:row>10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11525249" y="1968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11525249" y="2158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11525249" y="23494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11525249" y="2539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6350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11525249" y="2730499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1525249" y="29209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6348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11525249" y="3111499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11890374" y="2168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11890374" y="2359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11890374" y="2549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15875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11890374" y="274002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11890374" y="29305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15873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11890374" y="312102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47624</xdr:colOff>
      <xdr:row>5</xdr:row>
      <xdr:rowOff>187324</xdr:rowOff>
    </xdr:from>
    <xdr:to>
      <xdr:col>32</xdr:col>
      <xdr:colOff>238124</xdr:colOff>
      <xdr:row>6</xdr:row>
      <xdr:rowOff>187324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12268199" y="1387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6</xdr:row>
      <xdr:rowOff>187324</xdr:rowOff>
    </xdr:from>
    <xdr:to>
      <xdr:col>32</xdr:col>
      <xdr:colOff>238124</xdr:colOff>
      <xdr:row>7</xdr:row>
      <xdr:rowOff>187325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12268199" y="15779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7</xdr:row>
      <xdr:rowOff>187324</xdr:rowOff>
    </xdr:from>
    <xdr:to>
      <xdr:col>32</xdr:col>
      <xdr:colOff>238124</xdr:colOff>
      <xdr:row>8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12268199" y="1768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8</xdr:row>
      <xdr:rowOff>187324</xdr:rowOff>
    </xdr:from>
    <xdr:to>
      <xdr:col>32</xdr:col>
      <xdr:colOff>238124</xdr:colOff>
      <xdr:row>9</xdr:row>
      <xdr:rowOff>187323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12268199" y="195897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187324</xdr:rowOff>
    </xdr:from>
    <xdr:to>
      <xdr:col>32</xdr:col>
      <xdr:colOff>238124</xdr:colOff>
      <xdr:row>10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12268199" y="2149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12268199" y="2339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12268199" y="25304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12268199" y="2720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187325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12268199" y="291147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12268199" y="310197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165099</xdr:colOff>
      <xdr:row>6</xdr:row>
      <xdr:rowOff>15874</xdr:rowOff>
    </xdr:from>
    <xdr:to>
      <xdr:col>31</xdr:col>
      <xdr:colOff>107949</xdr:colOff>
      <xdr:row>7</xdr:row>
      <xdr:rowOff>15875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11890374" y="1406524"/>
          <a:ext cx="190500" cy="190501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7</xdr:row>
      <xdr:rowOff>15874</xdr:rowOff>
    </xdr:from>
    <xdr:to>
      <xdr:col>31</xdr:col>
      <xdr:colOff>107949</xdr:colOff>
      <xdr:row>8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11890374" y="1597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8</xdr:row>
      <xdr:rowOff>15874</xdr:rowOff>
    </xdr:from>
    <xdr:to>
      <xdr:col>31</xdr:col>
      <xdr:colOff>107949</xdr:colOff>
      <xdr:row>9</xdr:row>
      <xdr:rowOff>15873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11890374" y="1787524"/>
          <a:ext cx="190500" cy="190499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9</xdr:row>
      <xdr:rowOff>15874</xdr:rowOff>
    </xdr:from>
    <xdr:to>
      <xdr:col>31</xdr:col>
      <xdr:colOff>107949</xdr:colOff>
      <xdr:row>10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11890374" y="19780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6</xdr:row>
      <xdr:rowOff>9525</xdr:rowOff>
    </xdr:from>
    <xdr:to>
      <xdr:col>35</xdr:col>
      <xdr:colOff>95250</xdr:colOff>
      <xdr:row>7</xdr:row>
      <xdr:rowOff>9526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12868275" y="1400175"/>
          <a:ext cx="190500" cy="190501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2868275" y="1590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8</xdr:row>
      <xdr:rowOff>9525</xdr:rowOff>
    </xdr:from>
    <xdr:to>
      <xdr:col>35</xdr:col>
      <xdr:colOff>95250</xdr:colOff>
      <xdr:row>9</xdr:row>
      <xdr:rowOff>9524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12868275" y="1781175"/>
          <a:ext cx="190500" cy="190499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9</xdr:row>
      <xdr:rowOff>9525</xdr:rowOff>
    </xdr:from>
    <xdr:to>
      <xdr:col>35</xdr:col>
      <xdr:colOff>95250</xdr:colOff>
      <xdr:row>10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12868275" y="1971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12868275" y="2162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12868275" y="23526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12868275" y="2543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9526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12868275" y="2733675"/>
          <a:ext cx="190500" cy="190501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12868275" y="2924175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24305</xdr:colOff>
      <xdr:row>32</xdr:row>
      <xdr:rowOff>135649</xdr:rowOff>
    </xdr:from>
    <xdr:to>
      <xdr:col>24</xdr:col>
      <xdr:colOff>148130</xdr:colOff>
      <xdr:row>33</xdr:row>
      <xdr:rowOff>57150</xdr:rowOff>
    </xdr:to>
    <xdr:sp macro="" textlink="">
      <xdr:nvSpPr>
        <xdr:cNvPr id="8" name="Rectangle 9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9930305" y="6136399"/>
          <a:ext cx="371475" cy="15010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44669</xdr:colOff>
      <xdr:row>33</xdr:row>
      <xdr:rowOff>151743</xdr:rowOff>
    </xdr:from>
    <xdr:to>
      <xdr:col>23</xdr:col>
      <xdr:colOff>216119</xdr:colOff>
      <xdr:row>34</xdr:row>
      <xdr:rowOff>75543</xdr:rowOff>
    </xdr:to>
    <xdr:sp macro="" textlink="">
      <xdr:nvSpPr>
        <xdr:cNvPr id="10" name="AutoShape 6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9950669" y="6381093"/>
          <a:ext cx="171450" cy="152400"/>
        </a:xfrm>
        <a:prstGeom prst="flowChar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2484</xdr:colOff>
      <xdr:row>31</xdr:row>
      <xdr:rowOff>169069</xdr:rowOff>
    </xdr:from>
    <xdr:to>
      <xdr:col>23</xdr:col>
      <xdr:colOff>173934</xdr:colOff>
      <xdr:row>32</xdr:row>
      <xdr:rowOff>63082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pSpPr/>
      </xdr:nvGrpSpPr>
      <xdr:grpSpPr>
        <a:xfrm>
          <a:off x="9933332" y="5991743"/>
          <a:ext cx="171450" cy="125926"/>
          <a:chOff x="678759" y="5150644"/>
          <a:chExt cx="171450" cy="122613"/>
        </a:xfrm>
      </xdr:grpSpPr>
      <xdr:sp macro="" textlink="">
        <xdr:nvSpPr>
          <xdr:cNvPr id="3" name="Line 74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678759" y="5273257"/>
            <a:ext cx="1714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33" name="Connecteur droit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CxnSpPr/>
        </xdr:nvCxnSpPr>
        <xdr:spPr bwMode="auto">
          <a:xfrm rot="16200000" flipH="1">
            <a:off x="706042" y="5208985"/>
            <a:ext cx="119063" cy="2382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rgbClr val="4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23</xdr:col>
      <xdr:colOff>54157</xdr:colOff>
      <xdr:row>35</xdr:row>
      <xdr:rowOff>229645</xdr:rowOff>
    </xdr:from>
    <xdr:to>
      <xdr:col>23</xdr:col>
      <xdr:colOff>182242</xdr:colOff>
      <xdr:row>36</xdr:row>
      <xdr:rowOff>170407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9985005" y="6979971"/>
          <a:ext cx="128085" cy="172675"/>
          <a:chOff x="713362" y="4900309"/>
          <a:chExt cx="128085" cy="172675"/>
        </a:xfrm>
      </xdr:grpSpPr>
      <xdr:sp macro="" textlink="">
        <xdr:nvSpPr>
          <xdr:cNvPr id="9" name="Ellips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 bwMode="auto">
          <a:xfrm>
            <a:off x="739797" y="4942073"/>
            <a:ext cx="78947" cy="83884"/>
          </a:xfrm>
          <a:prstGeom prst="ellipse">
            <a:avLst/>
          </a:prstGeom>
          <a:noFill/>
          <a:ln w="63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fr-FR" sz="1100"/>
          </a:p>
        </xdr:txBody>
      </xdr:sp>
      <xdr:cxnSp macro="">
        <xdr:nvCxnSpPr>
          <xdr:cNvPr id="11" name="Connecteur droit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 bwMode="auto">
          <a:xfrm rot="5400000">
            <a:off x="658643" y="4955028"/>
            <a:ext cx="158077" cy="48639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rgbClr val="4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2" name="Connecteur droit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CxnSpPr/>
        </xdr:nvCxnSpPr>
        <xdr:spPr bwMode="auto">
          <a:xfrm rot="5400000">
            <a:off x="738089" y="4969626"/>
            <a:ext cx="158077" cy="48639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rgbClr val="4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23</xdr:col>
      <xdr:colOff>54157</xdr:colOff>
      <xdr:row>36</xdr:row>
      <xdr:rowOff>224867</xdr:rowOff>
    </xdr:from>
    <xdr:to>
      <xdr:col>23</xdr:col>
      <xdr:colOff>238088</xdr:colOff>
      <xdr:row>37</xdr:row>
      <xdr:rowOff>157178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9960157" y="7207106"/>
          <a:ext cx="183931" cy="164224"/>
        </a:xfrm>
        <a:prstGeom prst="ellipse">
          <a:avLst/>
        </a:prstGeom>
        <a:noFill/>
        <a:ln w="63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23</xdr:col>
      <xdr:colOff>1</xdr:colOff>
      <xdr:row>29</xdr:row>
      <xdr:rowOff>215309</xdr:rowOff>
    </xdr:from>
    <xdr:to>
      <xdr:col>24</xdr:col>
      <xdr:colOff>132523</xdr:colOff>
      <xdr:row>30</xdr:row>
      <xdr:rowOff>160758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9906001" y="5574157"/>
          <a:ext cx="381000" cy="1773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fr-FR" sz="800">
              <a:latin typeface="Arial" pitchFamily="34" charset="0"/>
              <a:cs typeface="Arial" pitchFamily="34" charset="0"/>
            </a:rPr>
            <a:t>0,06</a:t>
          </a:r>
        </a:p>
      </xdr:txBody>
    </xdr:sp>
    <xdr:clientData/>
  </xdr:twoCellAnchor>
  <xdr:twoCellAnchor>
    <xdr:from>
      <xdr:col>23</xdr:col>
      <xdr:colOff>33131</xdr:colOff>
      <xdr:row>38</xdr:row>
      <xdr:rowOff>24848</xdr:rowOff>
    </xdr:from>
    <xdr:to>
      <xdr:col>23</xdr:col>
      <xdr:colOff>214106</xdr:colOff>
      <xdr:row>38</xdr:row>
      <xdr:rowOff>138329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9963979" y="7470913"/>
          <a:ext cx="180975" cy="113481"/>
          <a:chOff x="678973" y="5824091"/>
          <a:chExt cx="180975" cy="118259"/>
        </a:xfrm>
      </xdr:grpSpPr>
      <xdr:sp macro="" textlink="">
        <xdr:nvSpPr>
          <xdr:cNvPr id="16" name="Line 68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8973" y="5881241"/>
            <a:ext cx="1809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69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726598" y="5824091"/>
            <a:ext cx="8572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69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725261" y="5942350"/>
            <a:ext cx="8572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8282</xdr:colOff>
      <xdr:row>34</xdr:row>
      <xdr:rowOff>125706</xdr:rowOff>
    </xdr:from>
    <xdr:to>
      <xdr:col>25</xdr:col>
      <xdr:colOff>185402</xdr:colOff>
      <xdr:row>35</xdr:row>
      <xdr:rowOff>92575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914282" y="6644119"/>
          <a:ext cx="674077" cy="198782"/>
        </a:xfrm>
        <a:prstGeom prst="rect">
          <a:avLst/>
        </a:prstGeom>
        <a:noFill/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fr-FR" sz="700">
              <a:latin typeface="Arial" pitchFamily="34" charset="0"/>
              <a:cs typeface="Arial" pitchFamily="34" charset="0"/>
            </a:rPr>
            <a:t>0,1     A     B</a:t>
          </a:r>
        </a:p>
      </xdr:txBody>
    </xdr:sp>
    <xdr:clientData/>
  </xdr:twoCellAnchor>
  <xdr:twoCellAnchor>
    <xdr:from>
      <xdr:col>24</xdr:col>
      <xdr:colOff>38230</xdr:colOff>
      <xdr:row>34</xdr:row>
      <xdr:rowOff>125706</xdr:rowOff>
    </xdr:from>
    <xdr:to>
      <xdr:col>24</xdr:col>
      <xdr:colOff>40607</xdr:colOff>
      <xdr:row>35</xdr:row>
      <xdr:rowOff>93816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rot="16200000" flipH="1">
          <a:off x="10093885" y="6742942"/>
          <a:ext cx="200023" cy="2377"/>
        </a:xfrm>
        <a:prstGeom prst="line">
          <a:avLst/>
        </a:prstGeom>
        <a:solidFill>
          <a:srgbClr val="090000"/>
        </a:solidFill>
        <a:ln w="63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212611</xdr:colOff>
      <xdr:row>34</xdr:row>
      <xdr:rowOff>124239</xdr:rowOff>
    </xdr:from>
    <xdr:to>
      <xdr:col>24</xdr:col>
      <xdr:colOff>214988</xdr:colOff>
      <xdr:row>35</xdr:row>
      <xdr:rowOff>92349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 bwMode="auto">
        <a:xfrm rot="16200000" flipH="1">
          <a:off x="10268266" y="6741475"/>
          <a:ext cx="200023" cy="2377"/>
        </a:xfrm>
        <a:prstGeom prst="line">
          <a:avLst/>
        </a:prstGeom>
        <a:solidFill>
          <a:srgbClr val="090000"/>
        </a:solidFill>
        <a:ln w="63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GESTION%20DU%20LABO5/Gestion%20des%20&#233;talons%20labo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RAPPORTS%20CLIENTS/2023/D.E.M/Gabarits%20ROXEL/calibres%202019%20&#224;%202023/CALIBRES%20ROXEL%20LFSA/A806000/2311147756%20(Calibre%20sp&#233;cial%20double%20A806000-00-001)%20ROXEL%20LF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port d'essai dimensionnel"/>
      <sheetName val="Plan de contrôle horizontal"/>
      <sheetName val="Mesures"/>
    </sheetNames>
    <sheetDataSet>
      <sheetData sheetId="0">
        <row r="24">
          <cell r="A24" t="str">
            <v xml:space="preserve">Désignation :          </v>
          </cell>
        </row>
        <row r="26">
          <cell r="A26" t="str">
            <v>N° identification :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CM2103"/>
  <sheetViews>
    <sheetView topLeftCell="A6" zoomScaleSheetLayoutView="115" workbookViewId="0">
      <selection activeCell="N61" sqref="N61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</row>
    <row r="2" spans="1:91" s="1" customFormat="1" ht="1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N2" s="67"/>
      <c r="O2" s="67"/>
      <c r="P2" s="67"/>
      <c r="Q2" s="67"/>
      <c r="R2" s="67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</row>
    <row r="3" spans="1:91" s="1" customFormat="1" ht="15" customHeight="1">
      <c r="D3" s="48"/>
      <c r="E3" s="48"/>
      <c r="F3" s="48"/>
      <c r="G3" s="48"/>
      <c r="H3" s="48"/>
      <c r="I3" s="48"/>
      <c r="J3" s="48"/>
      <c r="K3" s="48" t="s">
        <v>4</v>
      </c>
      <c r="N3" s="67"/>
      <c r="P3" s="50"/>
      <c r="Q3" s="50"/>
      <c r="S3" s="48"/>
      <c r="T3" s="48"/>
      <c r="U3" s="48"/>
      <c r="V3" s="48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</row>
    <row r="4" spans="1:91" s="1" customFormat="1" ht="15" customHeight="1">
      <c r="D4" s="48"/>
      <c r="E4" s="48"/>
      <c r="F4" s="48"/>
      <c r="G4" s="48"/>
      <c r="H4" s="48"/>
      <c r="I4" s="48"/>
      <c r="J4" s="48"/>
      <c r="K4" s="48" t="s">
        <v>78</v>
      </c>
      <c r="P4" s="50"/>
      <c r="Q4" s="50"/>
      <c r="S4" s="48"/>
      <c r="T4" s="48"/>
      <c r="U4" s="48"/>
      <c r="V4" s="48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</row>
    <row r="5" spans="1:91" s="1" customFormat="1" ht="15" customHeight="1">
      <c r="D5" s="48"/>
      <c r="E5" s="48"/>
      <c r="F5" s="48"/>
      <c r="G5" s="48"/>
      <c r="H5" s="48"/>
      <c r="I5" s="48"/>
      <c r="J5" s="48"/>
      <c r="K5" s="48" t="s">
        <v>5</v>
      </c>
      <c r="P5" s="50"/>
      <c r="Q5" s="50"/>
      <c r="S5" s="48"/>
      <c r="T5" s="48"/>
      <c r="U5" s="48"/>
      <c r="V5" s="48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</row>
    <row r="6" spans="1:91" s="1" customFormat="1" ht="20.45" customHeight="1">
      <c r="D6" s="48"/>
      <c r="E6" s="48"/>
      <c r="F6" s="48"/>
      <c r="G6" s="48"/>
      <c r="H6" s="48"/>
      <c r="I6" s="48"/>
      <c r="J6" s="48"/>
      <c r="K6" s="48" t="s">
        <v>79</v>
      </c>
      <c r="P6" s="50"/>
      <c r="Q6" s="50"/>
      <c r="S6" s="48"/>
      <c r="T6" s="48"/>
      <c r="U6" s="48"/>
      <c r="V6" s="48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</row>
    <row r="7" spans="1:91" s="1" customFormat="1" ht="15" customHeight="1">
      <c r="D7" s="48"/>
      <c r="E7" s="48"/>
      <c r="F7" s="48"/>
      <c r="G7" s="48"/>
      <c r="H7" s="48"/>
      <c r="I7" s="48"/>
      <c r="J7" s="48"/>
      <c r="K7" s="48" t="s">
        <v>20</v>
      </c>
      <c r="P7" s="50"/>
      <c r="Q7" s="50"/>
      <c r="S7" s="48"/>
      <c r="T7" s="48"/>
      <c r="U7" s="48"/>
      <c r="V7" s="48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</row>
    <row r="8" spans="1:91" s="1" customFormat="1" ht="15" customHeight="1">
      <c r="D8" s="48"/>
      <c r="E8" s="48"/>
      <c r="F8" s="48"/>
      <c r="G8" s="48"/>
      <c r="H8" s="48"/>
      <c r="I8" s="48"/>
      <c r="J8" s="48"/>
      <c r="P8" s="50"/>
      <c r="Q8" s="50"/>
      <c r="R8" s="50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</row>
    <row r="9" spans="1:91" s="1" customFormat="1" ht="15" customHeight="1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35"/>
      <c r="N9" s="35"/>
      <c r="O9" s="35"/>
      <c r="P9" s="35"/>
      <c r="Q9" s="35"/>
      <c r="R9" s="2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</row>
    <row r="10" spans="1:91" s="1" customFormat="1" ht="15" customHeight="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34"/>
      <c r="N10" s="34"/>
      <c r="O10" s="34"/>
      <c r="P10" s="34"/>
      <c r="Q10" s="34"/>
      <c r="R10" s="3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</row>
    <row r="11" spans="1:91" s="1" customFormat="1" ht="15" customHeight="1">
      <c r="A11" s="211" t="s">
        <v>21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51"/>
      <c r="Q11" s="51"/>
      <c r="R11" s="51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</row>
    <row r="12" spans="1:91" s="1" customFormat="1" ht="23.25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51"/>
      <c r="Q12" s="51"/>
      <c r="R12" s="51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</row>
    <row r="13" spans="1:91" s="1" customFormat="1" ht="15" customHeight="1">
      <c r="A13" s="212" t="s">
        <v>125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52"/>
      <c r="Q13" s="52"/>
      <c r="R13" s="52"/>
      <c r="S13" s="34"/>
      <c r="T13" s="34"/>
      <c r="V13" s="38" t="s">
        <v>65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</row>
    <row r="14" spans="1:91" s="1" customFormat="1" ht="15" customHeight="1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52"/>
      <c r="R14" s="52"/>
      <c r="S14" s="34"/>
      <c r="T14" s="34"/>
      <c r="V14" s="38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</row>
    <row r="15" spans="1:91" s="1" customFormat="1" ht="15" customHeight="1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52"/>
      <c r="R15" s="52"/>
      <c r="S15" s="34"/>
      <c r="T15" s="34"/>
      <c r="V15" s="38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</row>
    <row r="16" spans="1:91" s="1" customFormat="1" ht="15" customHeight="1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34"/>
      <c r="N16" s="50"/>
      <c r="O16" s="50"/>
      <c r="P16" s="50"/>
      <c r="Q16" s="2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</row>
    <row r="17" spans="1:91" s="1" customFormat="1" ht="15" customHeight="1">
      <c r="A17" s="215" t="s">
        <v>6</v>
      </c>
      <c r="B17" s="215"/>
      <c r="C17" s="215"/>
      <c r="D17" s="33" t="str">
        <f>VLOOKUP(U18,[1]ADRESSE!$A$2:$F$150,2)</f>
        <v>AMCOR FLEXIBLES France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34"/>
      <c r="U17" s="32" t="s">
        <v>64</v>
      </c>
      <c r="V17" s="34"/>
      <c r="W17" s="34" t="s">
        <v>70</v>
      </c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</row>
    <row r="18" spans="1:91" s="1" customFormat="1" ht="15" customHeight="1">
      <c r="A18" s="48"/>
      <c r="B18" s="48"/>
      <c r="C18" s="34"/>
      <c r="D18" s="33" t="str">
        <f>VLOOKUP(U18,[1]ADRESSE!$A$2:$F$150,3)</f>
        <v>Route de Chalais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34"/>
      <c r="U18" s="31">
        <v>1</v>
      </c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</row>
    <row r="19" spans="1:91" s="1" customFormat="1" ht="15" customHeight="1">
      <c r="A19" s="48"/>
      <c r="B19" s="48"/>
      <c r="C19" s="34"/>
      <c r="D19" s="33" t="str">
        <f>VLOOKUP(U18,[1]ADRESSE!$A$2:$F$150,4)</f>
        <v>BP45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</row>
    <row r="20" spans="1:91" s="1" customFormat="1" ht="15" customHeight="1">
      <c r="A20" s="48"/>
      <c r="B20" s="48"/>
      <c r="C20" s="48"/>
      <c r="D20" s="53">
        <f>VLOOKUP(U18,[1]ADRESSE!$A$2:$F$150,5)</f>
        <v>16300</v>
      </c>
      <c r="E20" s="33" t="str">
        <f>VLOOKUP(U18,[1]ADRESSE!$A$2:$F$150,6)</f>
        <v>BARBEZIEUX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</row>
    <row r="21" spans="1:91" s="1" customFormat="1" ht="15" customHeight="1">
      <c r="A21" s="48"/>
      <c r="B21" s="48"/>
      <c r="C21" s="48"/>
      <c r="D21" s="5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</row>
    <row r="22" spans="1:91" s="1" customFormat="1" ht="15" customHeight="1">
      <c r="A22" s="48"/>
      <c r="B22" s="48"/>
      <c r="C22" s="48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</row>
    <row r="23" spans="1:91" s="1" customFormat="1" ht="15" customHeight="1">
      <c r="A23" s="3" t="s">
        <v>26</v>
      </c>
      <c r="B23" s="3"/>
      <c r="C23" s="3"/>
      <c r="D23" s="3"/>
      <c r="E23" s="3"/>
      <c r="F23" s="2"/>
      <c r="G23" s="2"/>
      <c r="H23" s="2"/>
      <c r="I23" s="34"/>
      <c r="J23" s="3" t="s">
        <v>47</v>
      </c>
      <c r="K23" s="3"/>
      <c r="L23" s="3"/>
      <c r="M23" s="3"/>
      <c r="N23" s="3"/>
      <c r="O23" s="3"/>
      <c r="Q23" s="3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</row>
    <row r="24" spans="1:91" s="1" customFormat="1" ht="15" customHeight="1">
      <c r="A24" s="48"/>
      <c r="B24" s="48"/>
      <c r="C24" s="48"/>
      <c r="D24" s="48"/>
      <c r="E24" s="48"/>
      <c r="F24" s="48"/>
      <c r="G24" s="48"/>
      <c r="H24" s="48"/>
      <c r="I24" s="34"/>
      <c r="J24" s="48"/>
      <c r="K24" s="48"/>
      <c r="L24" s="48"/>
      <c r="M24" s="2"/>
      <c r="N24" s="2"/>
      <c r="O24" s="48"/>
      <c r="Q24" s="48"/>
      <c r="S24" s="34"/>
      <c r="T24" s="34"/>
      <c r="U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</row>
    <row r="25" spans="1:91" s="1" customFormat="1" ht="15" customHeight="1">
      <c r="A25" s="48" t="s">
        <v>0</v>
      </c>
      <c r="B25" s="48"/>
      <c r="C25" s="48"/>
      <c r="D25" s="45"/>
      <c r="E25" s="45"/>
      <c r="F25" s="45"/>
      <c r="G25" s="45"/>
      <c r="H25" s="45"/>
      <c r="I25" s="45"/>
      <c r="J25" s="48" t="s">
        <v>1</v>
      </c>
      <c r="K25" s="48"/>
      <c r="L25" s="48"/>
      <c r="M25" s="48"/>
      <c r="N25" s="34" t="s">
        <v>12</v>
      </c>
      <c r="O25" s="34"/>
      <c r="S25" s="34"/>
      <c r="T25" s="34"/>
      <c r="U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</row>
    <row r="26" spans="1:91" s="1" customFormat="1" ht="15" customHeight="1">
      <c r="A26" s="48"/>
      <c r="B26" s="54"/>
      <c r="C26" s="54"/>
      <c r="D26" s="35"/>
      <c r="E26" s="34"/>
      <c r="F26" s="34"/>
      <c r="G26" s="34"/>
      <c r="H26" s="34"/>
      <c r="I26" s="34"/>
      <c r="J26" s="50"/>
      <c r="K26" s="50"/>
      <c r="L26" s="50"/>
      <c r="M26" s="55"/>
      <c r="N26" s="35"/>
      <c r="O26" s="35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</row>
    <row r="27" spans="1:91" s="1" customFormat="1" ht="15" customHeight="1">
      <c r="A27" s="48" t="s">
        <v>84</v>
      </c>
      <c r="B27" s="48"/>
      <c r="C27" s="48"/>
      <c r="D27" s="45"/>
      <c r="E27" s="45"/>
      <c r="F27" s="45"/>
      <c r="G27" s="45"/>
      <c r="H27" s="45"/>
      <c r="I27" s="45"/>
      <c r="J27" s="48" t="s">
        <v>48</v>
      </c>
      <c r="K27" s="48"/>
      <c r="L27" s="48"/>
      <c r="M27" s="48"/>
      <c r="N27" s="34" t="s">
        <v>22</v>
      </c>
      <c r="O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</row>
    <row r="28" spans="1:91" s="1" customFormat="1" ht="15" customHeight="1">
      <c r="A28" s="48"/>
      <c r="B28" s="48"/>
      <c r="C28" s="48"/>
      <c r="D28" s="48"/>
      <c r="E28" s="34"/>
      <c r="F28" s="34"/>
      <c r="G28" s="34"/>
      <c r="H28" s="34"/>
      <c r="I28" s="34"/>
      <c r="J28" s="50"/>
      <c r="K28" s="50"/>
      <c r="L28" s="34"/>
      <c r="M28" s="34"/>
      <c r="N28" s="5"/>
      <c r="O28" s="35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</row>
    <row r="29" spans="1:91" s="1" customFormat="1" ht="15" customHeight="1">
      <c r="A29" s="48" t="s">
        <v>85</v>
      </c>
      <c r="B29" s="48"/>
      <c r="C29" s="49"/>
      <c r="D29" s="45"/>
      <c r="E29" s="45"/>
      <c r="F29" s="45"/>
      <c r="G29" s="45"/>
      <c r="H29" s="45"/>
      <c r="I29" s="45"/>
      <c r="J29" s="48" t="s">
        <v>8</v>
      </c>
      <c r="K29" s="48"/>
      <c r="L29" s="48"/>
      <c r="M29" s="48"/>
      <c r="N29" s="34" t="s">
        <v>80</v>
      </c>
      <c r="O29" s="34"/>
      <c r="S29" s="34"/>
      <c r="T29" s="34"/>
      <c r="U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</row>
    <row r="30" spans="1:91" s="1" customFormat="1" ht="15" customHeight="1">
      <c r="A30" s="48"/>
      <c r="B30" s="48"/>
      <c r="C30" s="48"/>
      <c r="D30" s="34"/>
      <c r="E30" s="34"/>
      <c r="F30" s="34"/>
      <c r="G30" s="34"/>
      <c r="H30" s="34"/>
      <c r="I30" s="34"/>
      <c r="J30" s="48" t="s">
        <v>2</v>
      </c>
      <c r="K30" s="48"/>
      <c r="L30" s="48"/>
      <c r="M30" s="48"/>
      <c r="N30" s="35" t="s">
        <v>23</v>
      </c>
      <c r="O30" s="35" t="s">
        <v>7</v>
      </c>
      <c r="S30" s="34"/>
      <c r="T30" s="34"/>
      <c r="U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</row>
    <row r="31" spans="1:91" s="1" customFormat="1" ht="15" customHeight="1">
      <c r="A31" s="48" t="s">
        <v>121</v>
      </c>
      <c r="B31" s="48"/>
      <c r="C31" s="48"/>
      <c r="D31" s="45"/>
      <c r="E31" s="45"/>
      <c r="F31" s="45"/>
      <c r="G31" s="45"/>
      <c r="H31" s="45"/>
      <c r="I31" s="45"/>
      <c r="J31" s="48" t="s">
        <v>3</v>
      </c>
      <c r="K31" s="48"/>
      <c r="L31" s="48"/>
      <c r="M31" s="48"/>
      <c r="N31" s="35" t="s">
        <v>24</v>
      </c>
      <c r="O31" s="35" t="s">
        <v>18</v>
      </c>
      <c r="S31" s="34"/>
      <c r="T31" s="34"/>
      <c r="U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</row>
    <row r="32" spans="1:91" s="1" customFormat="1" ht="15" customHeight="1">
      <c r="B32" s="48"/>
      <c r="C32" s="48"/>
      <c r="D32" s="35"/>
      <c r="E32" s="56"/>
      <c r="F32" s="56"/>
      <c r="G32" s="56"/>
      <c r="H32" s="56"/>
      <c r="I32" s="34"/>
      <c r="J32" s="50"/>
      <c r="K32" s="50"/>
      <c r="L32" s="34"/>
      <c r="M32" s="34"/>
      <c r="N32" s="35"/>
      <c r="O32" s="35"/>
      <c r="S32" s="34"/>
      <c r="T32" s="34"/>
      <c r="U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</row>
    <row r="33" spans="1:91" s="1" customFormat="1" ht="15" customHeight="1">
      <c r="A33" s="48" t="s">
        <v>122</v>
      </c>
      <c r="B33" s="48"/>
      <c r="C33" s="49"/>
      <c r="D33" s="45"/>
      <c r="E33" s="34"/>
      <c r="J33" s="48" t="s">
        <v>49</v>
      </c>
      <c r="K33" s="48"/>
      <c r="L33" s="48"/>
      <c r="M33" s="48"/>
      <c r="N33" s="220"/>
      <c r="O33" s="220"/>
      <c r="S33" s="34"/>
      <c r="T33" s="34"/>
      <c r="U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</row>
    <row r="34" spans="1:91" s="1" customFormat="1" ht="15" customHeight="1">
      <c r="A34" s="48"/>
      <c r="B34" s="48"/>
      <c r="C34" s="48"/>
      <c r="D34" s="35"/>
      <c r="I34" s="6"/>
      <c r="J34" s="48" t="s">
        <v>25</v>
      </c>
      <c r="K34" s="48"/>
      <c r="L34" s="48"/>
      <c r="M34" s="48"/>
      <c r="N34" s="220">
        <f ca="1">TODAY()</f>
        <v>45398</v>
      </c>
      <c r="O34" s="220"/>
      <c r="Q34" s="57"/>
      <c r="S34" s="34"/>
      <c r="T34" s="34"/>
      <c r="U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</row>
    <row r="35" spans="1:91" s="1" customFormat="1" ht="15" customHeight="1">
      <c r="A35" s="48"/>
      <c r="B35" s="48"/>
      <c r="C35" s="48"/>
      <c r="D35" s="46"/>
      <c r="E35" s="34"/>
      <c r="F35" s="34"/>
      <c r="G35" s="34"/>
      <c r="H35" s="34"/>
      <c r="L35" s="50"/>
      <c r="M35" s="50"/>
      <c r="N35" s="50"/>
      <c r="O35" s="50"/>
      <c r="P35" s="50"/>
      <c r="Q35" s="47"/>
      <c r="R35" s="47"/>
      <c r="S35" s="34"/>
      <c r="T35" s="34"/>
      <c r="U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</row>
    <row r="36" spans="1:91" s="1" customFormat="1" ht="15" customHeight="1">
      <c r="I36" s="6"/>
      <c r="J36" s="6"/>
      <c r="L36" s="50"/>
      <c r="M36" s="50"/>
      <c r="N36" s="50"/>
      <c r="O36" s="50"/>
      <c r="P36" s="50"/>
      <c r="Q36" s="47"/>
      <c r="R36" s="47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</row>
    <row r="37" spans="1:91" s="1" customFormat="1" ht="15" customHeight="1">
      <c r="A37" s="34" t="s">
        <v>63</v>
      </c>
      <c r="H37" s="216"/>
      <c r="I37" s="216"/>
      <c r="J37" s="216"/>
      <c r="K37" s="216"/>
      <c r="L37" s="216"/>
      <c r="Q37" s="5"/>
      <c r="R37" s="5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</row>
    <row r="38" spans="1:91" s="1" customFormat="1" ht="15" customHeight="1">
      <c r="A38" s="35"/>
      <c r="B38" s="5"/>
      <c r="C38" s="5"/>
      <c r="D38" s="6"/>
      <c r="E38" s="5"/>
      <c r="F38" s="6"/>
      <c r="H38" s="5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</row>
    <row r="39" spans="1:91" s="1" customFormat="1" ht="15" customHeight="1">
      <c r="A39" s="217" t="s">
        <v>16</v>
      </c>
      <c r="B39" s="217"/>
      <c r="C39" s="217"/>
      <c r="D39" s="37" t="s">
        <v>12</v>
      </c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34"/>
      <c r="T39" s="34">
        <v>4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</row>
    <row r="40" spans="1:91" s="1" customFormat="1" ht="13.5" customHeight="1">
      <c r="A40" s="35"/>
      <c r="B40" s="35"/>
      <c r="C40" s="35"/>
      <c r="D40" s="37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</row>
    <row r="41" spans="1:91" s="1" customFormat="1" ht="13.5" customHeight="1">
      <c r="A41" s="35"/>
      <c r="B41" s="35"/>
      <c r="C41" s="35"/>
      <c r="D41" s="37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</row>
    <row r="42" spans="1:91" s="1" customFormat="1" ht="13.5" customHeight="1">
      <c r="A42" s="55"/>
      <c r="B42" s="55"/>
      <c r="C42" s="55"/>
      <c r="D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</row>
    <row r="43" spans="1:91" s="1" customFormat="1" ht="13.5" customHeight="1">
      <c r="A43" s="55"/>
      <c r="B43" s="55"/>
      <c r="C43" s="55"/>
      <c r="D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</row>
    <row r="44" spans="1:91" s="1" customFormat="1" ht="15" customHeight="1">
      <c r="A44" s="218" t="s">
        <v>73</v>
      </c>
      <c r="B44" s="218"/>
      <c r="C44" s="218"/>
      <c r="D44" s="37" t="s">
        <v>12</v>
      </c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S44" s="34"/>
      <c r="T44" s="33" t="s">
        <v>74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</row>
    <row r="45" spans="1:91" s="1" customFormat="1" ht="15" customHeight="1">
      <c r="A45" s="58"/>
      <c r="B45" s="58"/>
      <c r="C45" s="58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48"/>
      <c r="S45" s="34"/>
      <c r="T45" s="33" t="s">
        <v>75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</row>
    <row r="46" spans="1:91" s="1" customFormat="1" ht="15" customHeight="1">
      <c r="A46" s="219" t="s">
        <v>76</v>
      </c>
      <c r="B46" s="219"/>
      <c r="C46" s="219"/>
      <c r="D46" s="221" t="str">
        <f>IF(T39=1,T43,IF(T39=2,T44,IF(T39=3,T45,IF(T39=4,T46,IF(T39=5,T47)))))</f>
        <v>CONFORME au plan de définition</v>
      </c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  <c r="P46" s="3"/>
      <c r="Q46" s="3"/>
      <c r="R46" s="2"/>
      <c r="S46" s="34"/>
      <c r="T46" s="43" t="s">
        <v>67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</row>
    <row r="47" spans="1:91" s="1" customFormat="1" ht="15" customHeight="1">
      <c r="R47" s="3"/>
      <c r="S47" s="34"/>
      <c r="T47" s="43" t="s">
        <v>68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4"/>
      <c r="T48" s="44" t="s">
        <v>66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</row>
    <row r="49" spans="1:91" s="1" customFormat="1" ht="15" customHeight="1">
      <c r="A49" s="48"/>
      <c r="B49" s="48"/>
      <c r="C49" s="48"/>
      <c r="D49" s="48"/>
      <c r="E49" s="48"/>
      <c r="F49" s="48"/>
      <c r="G49" s="48"/>
      <c r="H49" s="48"/>
      <c r="I49" s="48"/>
      <c r="J49" s="48"/>
      <c r="P49" s="2"/>
      <c r="Q49" s="2"/>
      <c r="R49" s="2"/>
      <c r="S49" s="34"/>
      <c r="T49" s="4"/>
      <c r="U49" s="4"/>
      <c r="V49" s="4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</row>
    <row r="50" spans="1:91" s="1" customFormat="1" ht="15" customHeight="1">
      <c r="A50" s="223" t="s">
        <v>57</v>
      </c>
      <c r="B50" s="223"/>
      <c r="C50" s="223"/>
      <c r="D50" s="37"/>
      <c r="E50" s="50" t="s">
        <v>56</v>
      </c>
      <c r="G50" s="50"/>
      <c r="H50" s="50"/>
      <c r="I50" s="50"/>
      <c r="J50" s="34" t="s">
        <v>58</v>
      </c>
      <c r="K50" s="34"/>
      <c r="L50" s="34"/>
      <c r="M50" s="34"/>
      <c r="N50" s="217" t="str">
        <f>IF(U52=2,T52,IF(U52=3,T53))</f>
        <v>J. LANOUX</v>
      </c>
      <c r="O50" s="217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</row>
    <row r="51" spans="1:91" s="1" customFormat="1" ht="15" customHeight="1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34"/>
      <c r="N51" s="34"/>
      <c r="O51" s="34"/>
      <c r="Q51" s="34"/>
      <c r="R51" s="34"/>
      <c r="S51" s="34"/>
      <c r="U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</row>
    <row r="52" spans="1:91" s="1" customFormat="1" ht="15" customHeight="1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34"/>
      <c r="N52" s="34"/>
      <c r="O52" s="34"/>
      <c r="P52" s="34"/>
      <c r="Q52" s="34"/>
      <c r="R52" s="34"/>
      <c r="S52" s="34"/>
      <c r="T52" s="34" t="s">
        <v>59</v>
      </c>
      <c r="U52" s="34">
        <v>2</v>
      </c>
      <c r="V52" s="38" t="s">
        <v>69</v>
      </c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</row>
    <row r="53" spans="1:91" s="1" customFormat="1" ht="15" customHeight="1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34"/>
      <c r="Q53" s="34"/>
      <c r="R53" s="34"/>
      <c r="S53" s="34"/>
      <c r="T53" s="34" t="s">
        <v>62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</row>
    <row r="54" spans="1:91" s="1" customFormat="1" ht="15" customHeight="1">
      <c r="A54" s="213" t="s">
        <v>15</v>
      </c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59"/>
      <c r="Q54" s="59"/>
      <c r="R54" s="59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</row>
    <row r="55" spans="1:91" s="1" customFormat="1" ht="15" customHeight="1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59"/>
      <c r="Q55" s="59"/>
      <c r="R55" s="59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</row>
    <row r="56" spans="1:91" s="1" customFormat="1" ht="15" customHeight="1">
      <c r="A56" s="213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78"/>
      <c r="Q56" s="59"/>
      <c r="R56" s="59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</row>
    <row r="57" spans="1:91" s="1" customFormat="1" ht="15" customHeight="1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78"/>
      <c r="Q57" s="59"/>
      <c r="R57" s="59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</row>
    <row r="58" spans="1:91" s="1" customFormat="1" ht="15" customHeight="1">
      <c r="A58" s="211" t="s">
        <v>27</v>
      </c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78"/>
      <c r="Q58" s="7"/>
      <c r="R58" s="7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</row>
    <row r="59" spans="1:91" s="1" customFormat="1" ht="22.9" customHeight="1">
      <c r="A59" s="214" t="str">
        <f>A13</f>
        <v xml:space="preserve">N° </v>
      </c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60"/>
      <c r="Q59" s="7"/>
      <c r="R59" s="7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</row>
    <row r="60" spans="1:91" s="1" customFormat="1" ht="18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4"/>
      <c r="Q60" s="14"/>
      <c r="R60" s="1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</row>
    <row r="61" spans="1:91" s="1" customFormat="1" ht="1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P61" s="13"/>
      <c r="Q61" s="13"/>
      <c r="R61" s="13"/>
      <c r="S61" s="34"/>
      <c r="T61" s="34"/>
      <c r="U61" s="34"/>
      <c r="V61" s="34"/>
      <c r="W61" s="34"/>
      <c r="X61" s="34"/>
      <c r="Y61" s="34"/>
      <c r="Z61" s="34"/>
      <c r="AA61" s="34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</row>
    <row r="62" spans="1:91" s="1" customFormat="1" ht="15" customHeight="1">
      <c r="A62" s="224" t="s">
        <v>9</v>
      </c>
      <c r="B62" s="224"/>
      <c r="C62" s="224"/>
      <c r="D62" s="224"/>
      <c r="E62" s="225">
        <f>N33</f>
        <v>0</v>
      </c>
      <c r="F62" s="225"/>
      <c r="G62" s="83"/>
      <c r="H62" s="83"/>
      <c r="I62" s="84"/>
      <c r="J62" s="84"/>
      <c r="K62" s="224" t="s">
        <v>17</v>
      </c>
      <c r="L62" s="224"/>
      <c r="M62" s="224"/>
      <c r="N62" s="226" t="str">
        <f>IF(U63=2,T63,IF(U63=3,T64,IF(U63=4,T65)))</f>
        <v>T. BODY</v>
      </c>
      <c r="O62" s="226"/>
      <c r="P62" s="8"/>
      <c r="Q62" s="8"/>
      <c r="R62" s="8"/>
      <c r="S62" s="34"/>
      <c r="T62" s="34"/>
      <c r="U62" s="34"/>
      <c r="V62" s="34"/>
      <c r="W62" s="34"/>
      <c r="X62" s="34"/>
      <c r="Y62" s="34"/>
      <c r="Z62" s="34"/>
      <c r="AA62" s="34"/>
      <c r="AB62" s="26"/>
      <c r="AC62" s="15"/>
      <c r="AD62" s="15"/>
      <c r="AE62" s="20"/>
      <c r="AF62" s="20"/>
      <c r="AG62" s="20"/>
      <c r="AH62" s="20"/>
      <c r="AI62" s="15"/>
      <c r="AJ62" s="21"/>
      <c r="AK62" s="15"/>
      <c r="AL62" s="22"/>
      <c r="AM62" s="23"/>
      <c r="AN62" s="23"/>
      <c r="AO62" s="23"/>
      <c r="AP62" s="23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</row>
    <row r="63" spans="1:91" s="1" customFormat="1" ht="15" customHeight="1">
      <c r="A63" s="79"/>
      <c r="B63" s="79"/>
      <c r="C63" s="79"/>
      <c r="D63" s="79"/>
      <c r="E63" s="86"/>
      <c r="F63" s="87"/>
      <c r="G63" s="83"/>
      <c r="H63" s="83"/>
      <c r="I63" s="84"/>
      <c r="J63" s="84"/>
      <c r="K63" s="88"/>
      <c r="L63" s="89"/>
      <c r="M63" s="89"/>
      <c r="N63" s="89"/>
      <c r="O63" s="88"/>
      <c r="Q63" s="34"/>
      <c r="R63" s="34"/>
      <c r="S63" s="34"/>
      <c r="T63" s="34" t="s">
        <v>60</v>
      </c>
      <c r="U63" s="34">
        <v>3</v>
      </c>
      <c r="V63" s="34"/>
      <c r="W63" s="34"/>
      <c r="X63" s="34"/>
      <c r="Y63" s="34"/>
      <c r="Z63" s="34"/>
      <c r="AA63" s="34"/>
      <c r="AB63" s="22"/>
      <c r="AC63" s="24"/>
      <c r="AD63" s="15"/>
      <c r="AE63" s="20"/>
      <c r="AF63" s="20"/>
      <c r="AG63" s="20"/>
      <c r="AH63" s="20"/>
      <c r="AI63" s="15"/>
      <c r="AJ63" s="21"/>
      <c r="AK63" s="15"/>
      <c r="AL63" s="22"/>
      <c r="AM63" s="23"/>
      <c r="AN63" s="23"/>
      <c r="AO63" s="23"/>
      <c r="AP63" s="23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</row>
    <row r="64" spans="1:91" s="1" customFormat="1" ht="15" customHeight="1">
      <c r="A64" s="79"/>
      <c r="B64" s="79"/>
      <c r="C64" s="79"/>
      <c r="D64" s="79"/>
      <c r="E64" s="83"/>
      <c r="F64" s="83"/>
      <c r="G64" s="83"/>
      <c r="H64" s="83"/>
      <c r="I64" s="84"/>
      <c r="J64" s="84"/>
      <c r="K64" s="89"/>
      <c r="L64" s="89"/>
      <c r="M64" s="89"/>
      <c r="N64" s="88"/>
      <c r="O64" s="88"/>
      <c r="Q64" s="34"/>
      <c r="R64" s="34"/>
      <c r="S64" s="34"/>
      <c r="T64" s="34" t="s">
        <v>61</v>
      </c>
      <c r="U64" s="34"/>
      <c r="V64" s="34"/>
      <c r="W64" s="34"/>
      <c r="X64" s="34"/>
      <c r="Y64" s="34"/>
      <c r="Z64" s="34"/>
      <c r="AA64" s="34"/>
      <c r="AB64" s="25"/>
      <c r="AC64" s="15"/>
      <c r="AD64" s="15"/>
      <c r="AE64" s="20"/>
      <c r="AF64" s="20"/>
      <c r="AG64" s="20"/>
      <c r="AH64" s="20"/>
      <c r="AI64" s="15"/>
      <c r="AJ64" s="21"/>
      <c r="AK64" s="15"/>
      <c r="AL64" s="22"/>
      <c r="AM64" s="23"/>
      <c r="AN64" s="23"/>
      <c r="AO64" s="23"/>
      <c r="AP64" s="23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</row>
    <row r="65" spans="1:91" s="1" customFormat="1" ht="15" customHeight="1">
      <c r="A65" s="79" t="s">
        <v>13</v>
      </c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34"/>
      <c r="Q65" s="34"/>
      <c r="R65" s="34"/>
      <c r="S65" s="34"/>
      <c r="T65" s="34" t="s">
        <v>59</v>
      </c>
      <c r="U65" s="34"/>
      <c r="V65" s="34"/>
      <c r="W65" s="34"/>
      <c r="X65" s="34"/>
      <c r="Y65" s="34"/>
      <c r="Z65" s="34"/>
      <c r="AA65" s="34"/>
      <c r="AB65" s="22"/>
      <c r="AC65" s="15"/>
      <c r="AD65" s="15"/>
      <c r="AE65" s="20"/>
      <c r="AF65" s="20"/>
      <c r="AG65" s="20"/>
      <c r="AH65" s="20"/>
      <c r="AI65" s="15"/>
      <c r="AJ65" s="21"/>
      <c r="AK65" s="15"/>
      <c r="AL65" s="22"/>
      <c r="AM65" s="23"/>
      <c r="AN65" s="23"/>
      <c r="AO65" s="23"/>
      <c r="AP65" s="23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</row>
    <row r="66" spans="1:91" s="1" customFormat="1" ht="15" customHeight="1">
      <c r="A66" s="9" t="s">
        <v>28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27"/>
      <c r="AC66" s="15"/>
      <c r="AD66" s="15"/>
      <c r="AE66" s="20"/>
      <c r="AF66" s="20"/>
      <c r="AG66" s="20"/>
      <c r="AH66" s="20"/>
      <c r="AI66" s="15"/>
      <c r="AJ66" s="21"/>
      <c r="AK66" s="15"/>
      <c r="AL66" s="22"/>
      <c r="AM66" s="23"/>
      <c r="AN66" s="23"/>
      <c r="AO66" s="23"/>
      <c r="AP66" s="23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</row>
    <row r="67" spans="1:91" s="1" customFormat="1" ht="15" customHeight="1">
      <c r="A67" s="9" t="s">
        <v>29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2"/>
      <c r="Q67" s="3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27"/>
      <c r="AC67" s="15"/>
      <c r="AD67" s="15"/>
      <c r="AE67" s="20"/>
      <c r="AF67" s="20"/>
      <c r="AG67" s="20"/>
      <c r="AH67" s="20"/>
      <c r="AI67" s="15"/>
      <c r="AJ67" s="21"/>
      <c r="AK67" s="15"/>
      <c r="AL67" s="22"/>
      <c r="AM67" s="23"/>
      <c r="AN67" s="23"/>
      <c r="AO67" s="23"/>
      <c r="AP67" s="23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</row>
    <row r="68" spans="1:91" s="1" customFormat="1" ht="15" customHeight="1">
      <c r="A68" s="9" t="s">
        <v>30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34"/>
      <c r="T68" s="34"/>
      <c r="U68" s="34"/>
      <c r="V68" s="34"/>
      <c r="W68" s="34"/>
      <c r="X68" s="34"/>
      <c r="Y68" s="34"/>
      <c r="Z68" s="34"/>
      <c r="AA68" s="18"/>
      <c r="AB68" s="73"/>
      <c r="AC68" s="74"/>
      <c r="AD68" s="15"/>
      <c r="AE68" s="20"/>
      <c r="AF68" s="20"/>
      <c r="AG68" s="20"/>
      <c r="AH68" s="20"/>
      <c r="AI68" s="18"/>
      <c r="AJ68" s="21"/>
      <c r="AK68" s="15"/>
      <c r="AL68" s="22"/>
      <c r="AM68" s="23"/>
      <c r="AN68" s="23"/>
      <c r="AO68" s="23"/>
      <c r="AP68" s="23"/>
      <c r="AQ68" s="34"/>
      <c r="AR68" s="18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</row>
    <row r="69" spans="1:91" s="1" customFormat="1" ht="15" customHeight="1">
      <c r="A69" s="88"/>
      <c r="B69" s="88"/>
      <c r="C69" s="88"/>
      <c r="D69" s="88"/>
      <c r="E69" s="88"/>
      <c r="F69" s="88"/>
      <c r="G69" s="88"/>
      <c r="H69" s="88"/>
      <c r="I69" s="88"/>
      <c r="J69" s="88"/>
      <c r="K69" s="84"/>
      <c r="L69" s="84"/>
      <c r="M69" s="84"/>
      <c r="N69" s="84"/>
      <c r="O69" s="84"/>
      <c r="P69" s="9"/>
      <c r="Q69" s="9"/>
      <c r="R69" s="9"/>
      <c r="S69" s="34"/>
      <c r="T69" s="34"/>
      <c r="U69" s="34"/>
      <c r="V69" s="34"/>
      <c r="W69" s="34"/>
      <c r="X69" s="34"/>
      <c r="Y69" s="34"/>
      <c r="Z69" s="34"/>
      <c r="AA69" s="34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</row>
    <row r="70" spans="1:91" s="1" customFormat="1" ht="15" customHeight="1">
      <c r="A70" s="227"/>
      <c r="B70" s="227"/>
      <c r="C70" s="227"/>
      <c r="D70" s="88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9"/>
      <c r="Q70" s="9"/>
      <c r="R70" s="9"/>
      <c r="S70" s="34"/>
      <c r="T70" s="34"/>
      <c r="U70" s="34"/>
      <c r="V70" s="34"/>
      <c r="W70" s="34"/>
      <c r="X70" s="34"/>
      <c r="Y70" s="34"/>
      <c r="Z70" s="34"/>
      <c r="AA70" s="34"/>
      <c r="AB70" s="15"/>
      <c r="AI70" s="55"/>
      <c r="AJ70" s="74"/>
      <c r="AK70" s="15"/>
      <c r="AL70" s="20"/>
      <c r="AM70" s="15"/>
      <c r="AN70" s="15"/>
      <c r="AO70" s="15"/>
      <c r="AP70" s="15"/>
      <c r="AQ70" s="34"/>
      <c r="AR70" s="61"/>
      <c r="AS70" s="15"/>
      <c r="AT70" s="15"/>
      <c r="AU70" s="20"/>
      <c r="AV70" s="15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</row>
    <row r="71" spans="1:91" s="1" customFormat="1" ht="15" customHeight="1">
      <c r="A71" s="80" t="s">
        <v>55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50"/>
      <c r="Q71" s="50"/>
      <c r="R71" s="50"/>
      <c r="S71" s="38" t="s">
        <v>81</v>
      </c>
      <c r="T71" s="29"/>
      <c r="U71" s="34"/>
      <c r="V71" s="34"/>
      <c r="W71" s="34"/>
      <c r="X71" s="34"/>
      <c r="Y71" s="34"/>
      <c r="Z71" s="34"/>
      <c r="AA71" s="34"/>
      <c r="AB71" s="15"/>
      <c r="AI71" s="34"/>
      <c r="AJ71" s="74"/>
      <c r="AK71" s="15"/>
      <c r="AL71" s="20"/>
      <c r="AM71" s="15"/>
      <c r="AN71" s="15"/>
      <c r="AO71" s="15"/>
      <c r="AP71" s="15"/>
      <c r="AQ71" s="34"/>
      <c r="AR71" s="61"/>
      <c r="AS71" s="15"/>
      <c r="AT71" s="15"/>
      <c r="AU71" s="20"/>
      <c r="AV71" s="15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</row>
    <row r="72" spans="1:91" s="1" customFormat="1" ht="15" customHeight="1">
      <c r="A72" s="90" t="s">
        <v>31</v>
      </c>
      <c r="B72" s="84"/>
      <c r="C72" s="84"/>
      <c r="D72" s="88" t="s">
        <v>82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50"/>
      <c r="Q72" s="50"/>
      <c r="R72" s="50"/>
      <c r="S72" s="34"/>
      <c r="T72" s="34"/>
      <c r="U72" s="34"/>
      <c r="V72" s="34"/>
      <c r="W72" s="34"/>
      <c r="X72" s="34"/>
      <c r="Y72" s="34"/>
      <c r="Z72" s="34"/>
      <c r="AA72" s="34"/>
      <c r="AB72" s="75"/>
      <c r="AI72" s="34"/>
      <c r="AJ72" s="75"/>
      <c r="AK72" s="15"/>
      <c r="AL72" s="20"/>
      <c r="AM72" s="15"/>
      <c r="AN72" s="15"/>
      <c r="AO72" s="15"/>
      <c r="AP72" s="15"/>
      <c r="AQ72" s="34"/>
      <c r="AR72" s="55"/>
      <c r="AS72" s="75"/>
      <c r="AT72" s="15"/>
      <c r="AU72" s="20"/>
      <c r="AV72" s="15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</row>
    <row r="73" spans="1:91" s="1" customFormat="1" ht="15" customHeight="1">
      <c r="A73" s="228" t="s">
        <v>10</v>
      </c>
      <c r="B73" s="227"/>
      <c r="C73" s="227"/>
      <c r="D73" s="88" t="s">
        <v>83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3"/>
      <c r="Q73" s="3"/>
      <c r="R73" s="3"/>
      <c r="S73" s="34"/>
      <c r="T73" s="18"/>
      <c r="U73" s="34"/>
      <c r="V73" s="34"/>
      <c r="W73" s="34"/>
      <c r="X73" s="34"/>
      <c r="Y73" s="34"/>
      <c r="Z73" s="34"/>
      <c r="AA73" s="34"/>
      <c r="AB73" s="15"/>
      <c r="AI73" s="55"/>
      <c r="AJ73" s="74"/>
      <c r="AK73" s="15"/>
      <c r="AL73" s="20"/>
      <c r="AM73" s="15"/>
      <c r="AN73" s="15"/>
      <c r="AO73" s="15"/>
      <c r="AP73" s="15"/>
      <c r="AQ73" s="34"/>
      <c r="AR73" s="55"/>
      <c r="AS73" s="15"/>
      <c r="AT73" s="15"/>
      <c r="AU73" s="20"/>
      <c r="AV73" s="15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</row>
    <row r="74" spans="1:91" s="1" customFormat="1" ht="15" customHeight="1">
      <c r="A74" s="228" t="s">
        <v>11</v>
      </c>
      <c r="B74" s="227"/>
      <c r="C74" s="227"/>
      <c r="D74" s="229">
        <v>45748</v>
      </c>
      <c r="E74" s="229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50"/>
      <c r="Q74" s="50"/>
      <c r="R74" s="50"/>
      <c r="S74" s="88" t="str">
        <f>'[2]raccordements à jour '!$B$9</f>
        <v>Machine de mesure tridimensionnelle MITUTOYO EURO-C APEX 7106 (MMT01)</v>
      </c>
      <c r="T74" s="88"/>
      <c r="U74" s="88"/>
      <c r="V74" s="88"/>
      <c r="W74" s="34"/>
      <c r="X74" s="35"/>
      <c r="Y74" s="34"/>
      <c r="Z74" s="34"/>
      <c r="AA74" s="34"/>
      <c r="AB74" s="15"/>
      <c r="AI74" s="34"/>
      <c r="AJ74" s="74"/>
      <c r="AK74" s="15"/>
      <c r="AL74" s="20"/>
      <c r="AM74" s="15"/>
      <c r="AN74" s="15"/>
      <c r="AO74" s="15"/>
      <c r="AP74" s="15"/>
      <c r="AQ74" s="34"/>
      <c r="AR74" s="55"/>
      <c r="AS74" s="15"/>
      <c r="AT74" s="15"/>
      <c r="AU74" s="20"/>
      <c r="AV74" s="15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</row>
    <row r="75" spans="1:91" s="1" customFormat="1" ht="15" customHeight="1">
      <c r="A75" s="92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50"/>
      <c r="Q75" s="50"/>
      <c r="R75" s="50"/>
      <c r="S75" s="88" t="str">
        <f>'[2]raccordements à jour '!$B$10</f>
        <v>CE N° 23042101-OMA</v>
      </c>
      <c r="T75" s="88"/>
      <c r="U75" s="88"/>
      <c r="V75" s="88"/>
      <c r="W75" s="35"/>
      <c r="X75" s="35"/>
      <c r="Y75" s="34"/>
      <c r="Z75" s="34"/>
      <c r="AA75" s="34"/>
      <c r="AB75" s="75"/>
      <c r="AC75" s="75"/>
      <c r="AI75" s="34"/>
      <c r="AJ75" s="75"/>
      <c r="AK75" s="15"/>
      <c r="AL75" s="20"/>
      <c r="AM75" s="15"/>
      <c r="AN75" s="15"/>
      <c r="AO75" s="15"/>
      <c r="AP75" s="15"/>
      <c r="AQ75" s="34"/>
      <c r="AR75" s="55"/>
      <c r="AS75" s="75"/>
      <c r="AT75" s="15"/>
      <c r="AU75" s="20"/>
      <c r="AV75" s="15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</row>
    <row r="76" spans="1:91" s="1" customFormat="1" ht="15" customHeight="1">
      <c r="A76" s="94" t="str">
        <f>IF($W$85=1,"","Moyen :")</f>
        <v>Moyen :</v>
      </c>
      <c r="B76" s="80"/>
      <c r="C76" s="80"/>
      <c r="D76" s="201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58"/>
      <c r="Q76" s="58"/>
      <c r="R76" s="58"/>
      <c r="S76" s="91">
        <f>'[2]raccordements à jour '!$B$11</f>
        <v>45748</v>
      </c>
      <c r="T76" s="88"/>
      <c r="U76" s="88"/>
      <c r="V76" s="88"/>
      <c r="W76" s="34"/>
      <c r="X76" s="35"/>
      <c r="Y76" s="34"/>
      <c r="Z76" s="34"/>
      <c r="AA76" s="34"/>
      <c r="AB76" s="15"/>
      <c r="AI76" s="55"/>
      <c r="AJ76" s="75"/>
      <c r="AK76" s="15"/>
      <c r="AL76" s="20"/>
      <c r="AM76" s="15"/>
      <c r="AN76" s="15"/>
      <c r="AO76" s="15"/>
      <c r="AP76" s="15"/>
      <c r="AQ76" s="34"/>
      <c r="AR76" s="61"/>
      <c r="AS76" s="15"/>
      <c r="AT76" s="15"/>
      <c r="AU76" s="20"/>
      <c r="AV76" s="15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</row>
    <row r="77" spans="1:91" s="1" customFormat="1" ht="15" customHeight="1">
      <c r="A77" s="94" t="str">
        <f>IF($W$85=1,"","Raccordement :")</f>
        <v>Raccordement :</v>
      </c>
      <c r="B77" s="94"/>
      <c r="C77" s="94"/>
      <c r="D77" s="201"/>
      <c r="E77" s="88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3"/>
      <c r="Q77" s="3"/>
      <c r="R77" s="3"/>
      <c r="S77" s="88"/>
      <c r="T77" s="88"/>
      <c r="U77" s="88"/>
      <c r="V77" s="88"/>
      <c r="W77" s="34"/>
      <c r="X77" s="34"/>
      <c r="Y77" s="34"/>
      <c r="Z77" s="34"/>
      <c r="AA77" s="34"/>
      <c r="AB77" s="15"/>
      <c r="AI77" s="34"/>
      <c r="AJ77" s="75"/>
      <c r="AK77" s="15"/>
      <c r="AL77" s="20"/>
      <c r="AM77" s="15"/>
      <c r="AN77" s="15"/>
      <c r="AO77" s="15"/>
      <c r="AP77" s="15"/>
      <c r="AQ77" s="34"/>
      <c r="AR77" s="61"/>
      <c r="AS77" s="15"/>
      <c r="AT77" s="15"/>
      <c r="AU77" s="20"/>
      <c r="AV77" s="15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</row>
    <row r="78" spans="1:91" s="1" customFormat="1" ht="15" customHeight="1">
      <c r="A78" s="94" t="str">
        <f>IF($W$85=1,"","Validité:")</f>
        <v>Validité:</v>
      </c>
      <c r="B78" s="94"/>
      <c r="C78" s="94"/>
      <c r="D78" s="229"/>
      <c r="E78" s="229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50"/>
      <c r="Q78" s="50"/>
      <c r="R78" s="50"/>
      <c r="S78" s="201" t="s">
        <v>123</v>
      </c>
      <c r="T78" s="99"/>
      <c r="U78" s="85"/>
      <c r="V78" s="100"/>
      <c r="W78" s="35"/>
      <c r="X78" s="55"/>
      <c r="Y78" s="18"/>
      <c r="Z78" s="34"/>
      <c r="AA78" s="34"/>
      <c r="AB78" s="75"/>
      <c r="AC78" s="75"/>
      <c r="AI78" s="34"/>
      <c r="AJ78" s="75"/>
      <c r="AK78" s="15"/>
      <c r="AL78" s="20"/>
      <c r="AM78" s="15"/>
      <c r="AN78" s="15"/>
      <c r="AO78" s="15"/>
      <c r="AP78" s="15"/>
      <c r="AQ78" s="34"/>
      <c r="AR78" s="55"/>
      <c r="AS78" s="75"/>
      <c r="AT78" s="15"/>
      <c r="AU78" s="20"/>
      <c r="AV78" s="15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</row>
    <row r="79" spans="1:91" s="1" customFormat="1" ht="15" customHeight="1">
      <c r="A79" s="136"/>
      <c r="B79" s="94"/>
      <c r="C79" s="94"/>
      <c r="D79" s="91"/>
      <c r="E79" s="91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50"/>
      <c r="Q79" s="50"/>
      <c r="R79" s="50"/>
      <c r="S79" s="201" t="s">
        <v>124</v>
      </c>
      <c r="T79" s="85"/>
      <c r="U79" s="85"/>
      <c r="V79" s="100"/>
      <c r="W79" s="35"/>
      <c r="X79" s="55"/>
      <c r="Z79" s="34"/>
      <c r="AA79" s="34"/>
      <c r="AI79" s="55"/>
      <c r="AJ79" s="74"/>
      <c r="AK79" s="15"/>
      <c r="AL79" s="20"/>
      <c r="AM79" s="15"/>
      <c r="AN79" s="15"/>
      <c r="AO79" s="15"/>
      <c r="AP79" s="15"/>
      <c r="AQ79" s="34"/>
      <c r="AR79" s="61"/>
      <c r="AS79" s="15"/>
      <c r="AT79" s="15"/>
      <c r="AU79" s="20"/>
      <c r="AV79" s="15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</row>
    <row r="80" spans="1:91" s="1" customFormat="1" ht="15" customHeight="1">
      <c r="A80" s="136" t="str">
        <f>IF($W$85=1,"","Moyen :")</f>
        <v>Moyen :</v>
      </c>
      <c r="B80" s="80"/>
      <c r="C80" s="80"/>
      <c r="D80" s="85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50"/>
      <c r="Q80" s="50"/>
      <c r="R80" s="50"/>
      <c r="S80" s="91">
        <v>45474</v>
      </c>
      <c r="T80" s="85"/>
      <c r="U80" s="85"/>
      <c r="V80" s="100"/>
      <c r="W80" s="35"/>
      <c r="X80" s="55"/>
      <c r="Z80" s="34"/>
      <c r="AA80" s="34"/>
      <c r="AI80" s="55"/>
      <c r="AJ80" s="74"/>
      <c r="AK80" s="15"/>
      <c r="AL80" s="20"/>
      <c r="AM80" s="15"/>
      <c r="AN80" s="15"/>
      <c r="AO80" s="15"/>
      <c r="AP80" s="15"/>
      <c r="AQ80" s="34"/>
      <c r="AR80" s="61"/>
      <c r="AS80" s="15"/>
      <c r="AT80" s="15"/>
      <c r="AU80" s="20"/>
      <c r="AV80" s="15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</row>
    <row r="81" spans="1:91" s="1" customFormat="1" ht="15" customHeight="1">
      <c r="A81" s="136" t="str">
        <f>IF($W$85=1,"","Raccordement :")</f>
        <v>Raccordement :</v>
      </c>
      <c r="B81" s="94"/>
      <c r="C81" s="94"/>
      <c r="D81" s="85"/>
      <c r="E81" s="88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3"/>
      <c r="Q81" s="3"/>
      <c r="R81" s="3"/>
      <c r="S81" s="88"/>
      <c r="T81" s="88"/>
      <c r="U81" s="88"/>
      <c r="V81" s="88"/>
      <c r="W81" s="34"/>
      <c r="X81" s="34"/>
      <c r="Y81" s="34"/>
      <c r="Z81" s="34"/>
      <c r="AA81" s="34"/>
      <c r="AB81" s="15"/>
      <c r="AI81" s="34"/>
      <c r="AJ81" s="75"/>
      <c r="AK81" s="15"/>
      <c r="AL81" s="20"/>
      <c r="AM81" s="15"/>
      <c r="AN81" s="15"/>
      <c r="AO81" s="15"/>
      <c r="AP81" s="15"/>
      <c r="AQ81" s="34"/>
      <c r="AR81" s="61"/>
      <c r="AS81" s="15"/>
      <c r="AT81" s="15"/>
      <c r="AU81" s="20"/>
      <c r="AV81" s="15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</row>
    <row r="82" spans="1:91" s="1" customFormat="1" ht="15" customHeight="1">
      <c r="A82" s="136" t="str">
        <f>IF($W$85=1,"","Validité:")</f>
        <v>Validité:</v>
      </c>
      <c r="B82" s="94"/>
      <c r="C82" s="94"/>
      <c r="D82" s="229"/>
      <c r="E82" s="229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50"/>
      <c r="Q82" s="50"/>
      <c r="R82" s="50"/>
      <c r="S82" s="85"/>
      <c r="T82" s="99"/>
      <c r="U82" s="85"/>
      <c r="V82" s="100"/>
      <c r="W82" s="35"/>
      <c r="X82" s="55"/>
      <c r="Y82" s="18"/>
      <c r="Z82" s="34"/>
      <c r="AA82" s="34"/>
      <c r="AB82" s="75"/>
      <c r="AC82" s="75"/>
      <c r="AI82" s="34"/>
      <c r="AJ82" s="75"/>
      <c r="AK82" s="15"/>
      <c r="AL82" s="20"/>
      <c r="AM82" s="15"/>
      <c r="AN82" s="15"/>
      <c r="AO82" s="15"/>
      <c r="AP82" s="15"/>
      <c r="AQ82" s="34"/>
      <c r="AR82" s="55"/>
      <c r="AS82" s="75"/>
      <c r="AT82" s="15"/>
      <c r="AU82" s="20"/>
      <c r="AV82" s="15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</row>
    <row r="83" spans="1:91" s="1" customFormat="1" ht="15" customHeight="1">
      <c r="A83" s="137"/>
      <c r="B83" s="84"/>
      <c r="C83" s="84"/>
      <c r="D83" s="88" t="str">
        <f>IF($A$77="Moyen :",$AI$134,IF($A$77="Etalon :",$AR$134,""))</f>
        <v/>
      </c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50"/>
      <c r="Q83" s="50"/>
      <c r="R83" s="50"/>
      <c r="S83" s="85"/>
      <c r="T83" s="85"/>
      <c r="U83" s="85"/>
      <c r="V83" s="100"/>
      <c r="W83" s="35"/>
      <c r="X83" s="55"/>
      <c r="Z83" s="34"/>
      <c r="AA83" s="34"/>
      <c r="AI83" s="55"/>
      <c r="AJ83" s="74"/>
      <c r="AK83" s="15"/>
      <c r="AL83" s="20"/>
      <c r="AM83" s="15"/>
      <c r="AN83" s="15"/>
      <c r="AO83" s="15"/>
      <c r="AP83" s="15"/>
      <c r="AQ83" s="34"/>
      <c r="AR83" s="61"/>
      <c r="AS83" s="15"/>
      <c r="AT83" s="15"/>
      <c r="AU83" s="20"/>
      <c r="AV83" s="15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</row>
    <row r="84" spans="1:91" s="1" customFormat="1" ht="15" customHeight="1">
      <c r="A84" s="93"/>
      <c r="B84" s="93"/>
      <c r="C84" s="93"/>
      <c r="D84" s="88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58"/>
      <c r="Q84" s="58"/>
      <c r="R84" s="58"/>
      <c r="S84" s="91"/>
      <c r="T84" s="85"/>
      <c r="U84" s="85"/>
      <c r="V84" s="91"/>
      <c r="W84" s="35"/>
      <c r="X84" s="55"/>
      <c r="Y84" s="34"/>
      <c r="Z84" s="34"/>
      <c r="AA84" s="34"/>
      <c r="AI84" s="34"/>
      <c r="AJ84" s="74"/>
      <c r="AK84" s="15"/>
      <c r="AL84" s="20"/>
      <c r="AM84" s="15"/>
      <c r="AN84" s="15"/>
      <c r="AO84" s="15"/>
      <c r="AP84" s="15"/>
      <c r="AQ84" s="34"/>
      <c r="AR84" s="61"/>
      <c r="AS84" s="15"/>
      <c r="AT84" s="15"/>
      <c r="AU84" s="20"/>
      <c r="AV84" s="15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</row>
    <row r="85" spans="1:91" s="1" customFormat="1" ht="15" customHeight="1">
      <c r="A85" s="81" t="s">
        <v>77</v>
      </c>
      <c r="B85" s="88"/>
      <c r="C85" s="88"/>
      <c r="D85" s="88"/>
      <c r="E85" s="88"/>
      <c r="F85" s="88"/>
      <c r="G85" s="88"/>
      <c r="H85" s="88"/>
      <c r="I85" s="88"/>
      <c r="J85" s="226" t="s">
        <v>72</v>
      </c>
      <c r="K85" s="226"/>
      <c r="L85" s="226"/>
      <c r="M85" s="226"/>
      <c r="N85" s="88"/>
      <c r="O85" s="88"/>
      <c r="P85" s="58"/>
      <c r="Q85" s="58"/>
      <c r="R85" s="58"/>
      <c r="S85" s="85"/>
      <c r="T85" s="85"/>
      <c r="U85" s="85"/>
      <c r="V85" s="100"/>
      <c r="W85" s="35"/>
      <c r="X85" s="55"/>
      <c r="Y85" s="34"/>
      <c r="Z85" s="61"/>
      <c r="AA85" s="34"/>
      <c r="AI85" s="34"/>
      <c r="AJ85" s="75"/>
      <c r="AK85" s="15"/>
      <c r="AL85" s="20"/>
      <c r="AM85" s="15"/>
      <c r="AN85" s="15"/>
      <c r="AO85" s="15"/>
      <c r="AP85" s="15"/>
      <c r="AQ85" s="34"/>
      <c r="AR85" s="55"/>
      <c r="AS85" s="75"/>
      <c r="AT85" s="15"/>
      <c r="AU85" s="20"/>
      <c r="AV85" s="15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</row>
    <row r="86" spans="1:91" s="1" customFormat="1" ht="15" customHeight="1">
      <c r="A86" s="81"/>
      <c r="B86" s="88"/>
      <c r="C86" s="88"/>
      <c r="D86" s="88"/>
      <c r="E86" s="88"/>
      <c r="F86" s="88"/>
      <c r="G86" s="88"/>
      <c r="H86" s="88"/>
      <c r="I86" s="88"/>
      <c r="J86" s="95"/>
      <c r="K86" s="95"/>
      <c r="L86" s="95"/>
      <c r="M86" s="95"/>
      <c r="N86" s="88"/>
      <c r="O86" s="88"/>
      <c r="P86" s="58"/>
      <c r="Q86" s="58"/>
      <c r="R86" s="58"/>
      <c r="S86" s="85"/>
      <c r="T86" s="85"/>
      <c r="U86" s="85"/>
      <c r="V86" s="100"/>
      <c r="W86" s="35"/>
      <c r="X86" s="55"/>
      <c r="Y86" s="34"/>
      <c r="Z86" s="55"/>
      <c r="AA86" s="34"/>
      <c r="AI86" s="55"/>
      <c r="AJ86" s="74"/>
      <c r="AK86" s="15"/>
      <c r="AL86" s="20"/>
      <c r="AM86" s="15"/>
      <c r="AN86" s="15"/>
      <c r="AO86" s="15"/>
      <c r="AP86" s="15"/>
      <c r="AQ86" s="34"/>
      <c r="AR86" s="61"/>
      <c r="AS86" s="15"/>
      <c r="AT86" s="15"/>
      <c r="AU86" s="20"/>
      <c r="AV86" s="15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</row>
    <row r="87" spans="1:91" s="1" customFormat="1" ht="15" customHeight="1">
      <c r="A87" s="93"/>
      <c r="B87" s="80"/>
      <c r="C87" s="80"/>
      <c r="D87" s="88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Q87" s="3"/>
      <c r="R87" s="3"/>
      <c r="S87" s="91"/>
      <c r="T87" s="85"/>
      <c r="U87" s="85"/>
      <c r="V87" s="91"/>
      <c r="W87" s="35"/>
      <c r="X87" s="55"/>
      <c r="Y87" s="34"/>
      <c r="Z87" s="61"/>
      <c r="AA87" s="34"/>
      <c r="AI87" s="34"/>
      <c r="AJ87" s="74"/>
      <c r="AK87" s="15"/>
      <c r="AL87" s="20"/>
      <c r="AM87" s="15"/>
      <c r="AN87" s="15"/>
      <c r="AO87" s="15"/>
      <c r="AP87" s="15"/>
      <c r="AQ87" s="34"/>
      <c r="AR87" s="55"/>
      <c r="AS87" s="15"/>
      <c r="AT87" s="15"/>
      <c r="AU87" s="20"/>
      <c r="AV87" s="15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</row>
    <row r="88" spans="1:91" s="1" customFormat="1" ht="15" customHeight="1">
      <c r="A88" s="82" t="s">
        <v>14</v>
      </c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Q88" s="50"/>
      <c r="R88" s="50"/>
      <c r="S88" s="85"/>
      <c r="T88" s="85"/>
      <c r="U88" s="85"/>
      <c r="V88" s="100"/>
      <c r="W88" s="35"/>
      <c r="X88" s="55"/>
      <c r="Y88" s="34"/>
      <c r="Z88" s="61"/>
      <c r="AA88" s="34"/>
      <c r="AI88" s="34"/>
      <c r="AJ88" s="75"/>
      <c r="AK88" s="15"/>
      <c r="AL88" s="20"/>
      <c r="AM88" s="15"/>
      <c r="AN88" s="15"/>
      <c r="AO88" s="15"/>
      <c r="AP88" s="15"/>
      <c r="AQ88" s="34"/>
      <c r="AR88" s="34"/>
      <c r="AS88" s="75"/>
      <c r="AT88" s="15"/>
      <c r="AU88" s="20"/>
      <c r="AV88" s="15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</row>
    <row r="89" spans="1:91" s="1" customFormat="1" ht="15" customHeight="1">
      <c r="A89" s="69" t="s">
        <v>32</v>
      </c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3"/>
      <c r="Q89" s="50"/>
      <c r="R89" s="50"/>
      <c r="S89" s="85"/>
      <c r="T89" s="85"/>
      <c r="U89" s="85"/>
      <c r="V89" s="100"/>
      <c r="W89" s="35"/>
      <c r="X89" s="55"/>
      <c r="Y89" s="34"/>
      <c r="Z89" s="61"/>
      <c r="AA89" s="34"/>
      <c r="AI89" s="55"/>
      <c r="AJ89" s="74"/>
      <c r="AK89" s="15"/>
      <c r="AL89" s="20"/>
      <c r="AM89" s="15"/>
      <c r="AN89" s="15"/>
      <c r="AO89" s="15"/>
      <c r="AP89" s="15"/>
      <c r="AQ89" s="34"/>
      <c r="AR89" s="55"/>
      <c r="AS89" s="15"/>
      <c r="AT89" s="15"/>
      <c r="AU89" s="20"/>
      <c r="AV89" s="15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</row>
    <row r="90" spans="1:91" s="1" customFormat="1" ht="15" customHeight="1">
      <c r="A90" s="69" t="s">
        <v>33</v>
      </c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30"/>
      <c r="Q90" s="58"/>
      <c r="R90" s="58"/>
      <c r="S90" s="91"/>
      <c r="T90" s="85"/>
      <c r="U90" s="85"/>
      <c r="V90" s="91"/>
      <c r="W90" s="35"/>
      <c r="X90" s="55"/>
      <c r="Y90" s="34"/>
      <c r="Z90" s="55"/>
      <c r="AA90" s="34"/>
      <c r="AI90" s="34"/>
      <c r="AJ90" s="74"/>
      <c r="AK90" s="15"/>
      <c r="AL90" s="20"/>
      <c r="AM90" s="15"/>
      <c r="AN90" s="15"/>
      <c r="AO90" s="15"/>
      <c r="AP90" s="15"/>
      <c r="AQ90" s="34"/>
      <c r="AR90" s="34"/>
      <c r="AS90" s="15"/>
      <c r="AT90" s="15"/>
      <c r="AU90" s="20"/>
      <c r="AV90" s="15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</row>
    <row r="91" spans="1:91" s="1" customFormat="1" ht="15" customHeight="1">
      <c r="A91" s="69" t="s">
        <v>34</v>
      </c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T91" s="34"/>
      <c r="U91" s="34"/>
      <c r="V91" s="34"/>
      <c r="W91" s="34"/>
      <c r="X91" s="55"/>
      <c r="Y91" s="34"/>
      <c r="Z91" s="55"/>
      <c r="AA91" s="34"/>
      <c r="AI91" s="55"/>
      <c r="AJ91" s="74"/>
      <c r="AK91" s="15"/>
      <c r="AL91" s="20"/>
      <c r="AM91" s="15"/>
      <c r="AN91" s="15"/>
      <c r="AO91" s="15"/>
      <c r="AP91" s="15"/>
      <c r="AQ91" s="34"/>
      <c r="AR91" s="55"/>
      <c r="AS91" s="74"/>
      <c r="AT91" s="15"/>
      <c r="AU91" s="20"/>
      <c r="AV91" s="15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</row>
    <row r="92" spans="1:91" s="1" customFormat="1" ht="15" customHeight="1">
      <c r="A92" s="69" t="s">
        <v>35</v>
      </c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T92" s="34"/>
      <c r="U92" s="34"/>
      <c r="V92" s="34"/>
      <c r="W92" s="34"/>
      <c r="X92" s="55"/>
      <c r="Y92" s="34"/>
      <c r="Z92" s="55"/>
      <c r="AA92" s="34"/>
      <c r="AI92" s="34"/>
      <c r="AJ92" s="74"/>
      <c r="AK92" s="15"/>
      <c r="AL92" s="20"/>
      <c r="AM92" s="15"/>
      <c r="AN92" s="15"/>
      <c r="AO92" s="15"/>
      <c r="AP92" s="15"/>
      <c r="AQ92" s="34"/>
      <c r="AR92" s="34"/>
      <c r="AS92" s="74"/>
      <c r="AT92" s="15"/>
      <c r="AU92" s="20"/>
      <c r="AV92" s="15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</row>
    <row r="93" spans="1:91" s="1" customFormat="1" ht="15" customHeight="1">
      <c r="A93" s="69" t="s">
        <v>36</v>
      </c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3"/>
      <c r="R93" s="3"/>
      <c r="T93" s="34"/>
      <c r="U93" s="34"/>
      <c r="V93" s="34"/>
      <c r="W93" s="35"/>
      <c r="X93" s="55"/>
      <c r="Y93" s="34"/>
      <c r="Z93" s="55"/>
      <c r="AA93" s="34"/>
      <c r="AI93" s="34"/>
      <c r="AJ93" s="75"/>
      <c r="AK93" s="15"/>
      <c r="AL93" s="20"/>
      <c r="AM93" s="15"/>
      <c r="AN93" s="15"/>
      <c r="AO93" s="15"/>
      <c r="AP93" s="15"/>
      <c r="AQ93" s="34"/>
      <c r="AR93" s="34"/>
      <c r="AS93" s="75"/>
      <c r="AT93" s="15"/>
      <c r="AU93" s="20"/>
      <c r="AV93" s="15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</row>
    <row r="94" spans="1:91" s="1" customFormat="1" ht="15" customHeight="1">
      <c r="A94" s="69" t="s">
        <v>43</v>
      </c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2"/>
      <c r="R94" s="30"/>
      <c r="T94" s="17" t="s">
        <v>71</v>
      </c>
      <c r="X94" s="55"/>
      <c r="Y94" s="34"/>
      <c r="Z94" s="55"/>
      <c r="AA94" s="34"/>
      <c r="AI94" s="55"/>
      <c r="AJ94" s="74"/>
      <c r="AK94" s="15"/>
      <c r="AL94" s="20"/>
      <c r="AM94" s="15"/>
      <c r="AN94" s="15"/>
      <c r="AO94" s="15"/>
      <c r="AP94" s="15"/>
      <c r="AQ94" s="34"/>
      <c r="AR94" s="55"/>
      <c r="AS94" s="74"/>
      <c r="AT94" s="15"/>
      <c r="AU94" s="20"/>
      <c r="AV94" s="15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</row>
    <row r="95" spans="1:91" s="1" customFormat="1" ht="15" customHeight="1">
      <c r="A95" s="69" t="s">
        <v>44</v>
      </c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9"/>
      <c r="R95" s="10"/>
      <c r="X95" s="55"/>
      <c r="Y95" s="34"/>
      <c r="Z95" s="55"/>
      <c r="AA95" s="34"/>
      <c r="AI95" s="34"/>
      <c r="AJ95" s="74"/>
      <c r="AK95" s="15"/>
      <c r="AL95" s="20"/>
      <c r="AM95" s="15"/>
      <c r="AN95" s="15"/>
      <c r="AO95" s="15"/>
      <c r="AP95" s="15"/>
      <c r="AQ95" s="34"/>
      <c r="AR95" s="34"/>
      <c r="AS95" s="74"/>
      <c r="AT95" s="15"/>
      <c r="AU95" s="20"/>
      <c r="AV95" s="15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</row>
    <row r="96" spans="1:91" s="1" customFormat="1" ht="15" customHeight="1">
      <c r="A96" s="88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69"/>
      <c r="Q96" s="9"/>
      <c r="R96" s="10"/>
      <c r="S96" s="34"/>
      <c r="T96" s="34" t="s">
        <v>52</v>
      </c>
      <c r="W96" s="5">
        <v>3</v>
      </c>
      <c r="X96" s="55"/>
      <c r="Y96" s="34"/>
      <c r="Z96" s="55"/>
      <c r="AA96" s="34"/>
      <c r="AI96" s="34"/>
      <c r="AJ96" s="75"/>
      <c r="AK96" s="15"/>
      <c r="AL96" s="20"/>
      <c r="AM96" s="15"/>
      <c r="AN96" s="15"/>
      <c r="AO96" s="15"/>
      <c r="AP96" s="15"/>
      <c r="AQ96" s="34"/>
      <c r="AR96" s="34"/>
      <c r="AS96" s="75"/>
      <c r="AT96" s="15"/>
      <c r="AU96" s="20"/>
      <c r="AV96" s="15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</row>
    <row r="97" spans="1:91" s="1" customFormat="1" ht="15" customHeight="1">
      <c r="A97" s="88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69"/>
      <c r="Q97" s="9"/>
      <c r="R97" s="10"/>
      <c r="S97" s="35"/>
      <c r="X97" s="55"/>
      <c r="Y97" s="34"/>
      <c r="Z97" s="55"/>
      <c r="AA97" s="34"/>
      <c r="AI97" s="55"/>
      <c r="AJ97" s="74"/>
      <c r="AK97" s="15"/>
      <c r="AL97" s="20"/>
      <c r="AM97" s="15"/>
      <c r="AN97" s="15"/>
      <c r="AO97" s="15"/>
      <c r="AP97" s="15"/>
      <c r="AQ97" s="34"/>
      <c r="AR97" s="55"/>
      <c r="AS97" s="74"/>
      <c r="AT97" s="15"/>
      <c r="AU97" s="20"/>
      <c r="AV97" s="15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</row>
    <row r="98" spans="1:91" s="1" customFormat="1" ht="15" customHeight="1">
      <c r="A98" s="222" t="s">
        <v>37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2"/>
      <c r="Q98" s="9"/>
      <c r="R98" s="10"/>
      <c r="S98" s="35"/>
      <c r="T98" s="19"/>
      <c r="U98" s="36" t="s">
        <v>38</v>
      </c>
      <c r="V98" s="36" t="s">
        <v>39</v>
      </c>
      <c r="W98" s="36" t="s">
        <v>40</v>
      </c>
      <c r="X98" s="55"/>
      <c r="Y98" s="34"/>
      <c r="Z98" s="55"/>
      <c r="AA98" s="34"/>
      <c r="AI98" s="34"/>
      <c r="AJ98" s="74"/>
      <c r="AK98" s="15"/>
      <c r="AL98" s="20"/>
      <c r="AM98" s="15"/>
      <c r="AN98" s="15"/>
      <c r="AO98" s="15"/>
      <c r="AP98" s="15"/>
      <c r="AQ98" s="34"/>
      <c r="AR98" s="34"/>
      <c r="AS98" s="74"/>
      <c r="AT98" s="15"/>
      <c r="AU98" s="20"/>
      <c r="AV98" s="15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</row>
    <row r="99" spans="1:91" s="1" customFormat="1" ht="15" customHeight="1">
      <c r="A99" s="88"/>
      <c r="B99" s="88"/>
      <c r="C99" s="230" t="s">
        <v>38</v>
      </c>
      <c r="D99" s="230"/>
      <c r="E99" s="88"/>
      <c r="F99" s="88"/>
      <c r="G99" s="11"/>
      <c r="H99" s="230" t="s">
        <v>39</v>
      </c>
      <c r="I99" s="230"/>
      <c r="J99" s="98"/>
      <c r="K99" s="98"/>
      <c r="L99" s="88"/>
      <c r="M99" s="230" t="s">
        <v>40</v>
      </c>
      <c r="N99" s="230"/>
      <c r="Q99" s="9"/>
      <c r="R99" s="10"/>
      <c r="S99" s="35"/>
      <c r="T99" s="36" t="s">
        <v>53</v>
      </c>
      <c r="U99" s="66">
        <v>3.8999999999999998E-3</v>
      </c>
      <c r="V99" s="66">
        <v>7.6699999999999997E-3</v>
      </c>
      <c r="W99" s="66">
        <v>9.6200000000000001E-3</v>
      </c>
      <c r="X99" s="55"/>
      <c r="Y99" s="34"/>
      <c r="Z99" s="55"/>
      <c r="AA99" s="34"/>
      <c r="AI99" s="34"/>
      <c r="AJ99" s="75"/>
      <c r="AK99" s="15"/>
      <c r="AL99" s="20"/>
      <c r="AM99" s="15"/>
      <c r="AN99" s="15"/>
      <c r="AO99" s="15"/>
      <c r="AP99" s="15"/>
      <c r="AQ99" s="34"/>
      <c r="AR99" s="34"/>
      <c r="AS99" s="75"/>
      <c r="AT99" s="15"/>
      <c r="AU99" s="20"/>
      <c r="AV99" s="15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</row>
    <row r="100" spans="1:91" s="1" customFormat="1" ht="15" customHeight="1">
      <c r="A100" s="88"/>
      <c r="B100" s="88"/>
      <c r="C100" s="232">
        <f>IF($W$96=2, $U$99, IF($W$96=3, $U$100, IF($W$96=4, $U$101, IF($W$96=5, $U$102, "-"))))</f>
        <v>2.8600000000000001E-3</v>
      </c>
      <c r="D100" s="232"/>
      <c r="E100" s="88"/>
      <c r="F100" s="88"/>
      <c r="G100" s="96"/>
      <c r="H100" s="232">
        <f>IF($W$96=2, $V$99, IF($W$96=3, $V$100, IF($W$96=4, $V$101, IF($W$96=5, $V$102, "-"))))</f>
        <v>5.5300000000000002E-3</v>
      </c>
      <c r="I100" s="232"/>
      <c r="J100" s="97"/>
      <c r="K100" s="97"/>
      <c r="L100" s="88"/>
      <c r="M100" s="232">
        <f>IF($W$96=2, $W$99, IF($W$96=3, $W$100, IF($W$96=4, $W$101, IF($W$96=5, $W$102, "-"))))</f>
        <v>6.96E-3</v>
      </c>
      <c r="N100" s="232"/>
      <c r="P100" s="72"/>
      <c r="Q100" s="9"/>
      <c r="R100" s="10"/>
      <c r="S100" s="35"/>
      <c r="T100" s="36" t="s">
        <v>50</v>
      </c>
      <c r="U100" s="66">
        <v>2.8600000000000001E-3</v>
      </c>
      <c r="V100" s="66">
        <v>5.5300000000000002E-3</v>
      </c>
      <c r="W100" s="66">
        <v>6.96E-3</v>
      </c>
      <c r="X100" s="61"/>
      <c r="Y100" s="34"/>
      <c r="Z100" s="34"/>
      <c r="AA100" s="34"/>
      <c r="AI100" s="55"/>
      <c r="AJ100" s="74"/>
      <c r="AK100" s="15"/>
      <c r="AL100" s="20"/>
      <c r="AM100" s="15"/>
      <c r="AN100" s="15"/>
      <c r="AO100" s="15"/>
      <c r="AP100" s="15"/>
      <c r="AQ100" s="34"/>
      <c r="AR100" s="55"/>
      <c r="AS100" s="74"/>
      <c r="AT100" s="15"/>
      <c r="AU100" s="20"/>
      <c r="AV100" s="15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</row>
    <row r="101" spans="1:91" s="1" customFormat="1" ht="15" customHeight="1">
      <c r="A101" s="234" t="s">
        <v>41</v>
      </c>
      <c r="B101" s="234"/>
      <c r="C101" s="234"/>
      <c r="D101" s="234"/>
      <c r="E101" s="234"/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11"/>
      <c r="Q101" s="9"/>
      <c r="R101" s="10"/>
      <c r="S101" s="35"/>
      <c r="T101" s="36" t="s">
        <v>51</v>
      </c>
      <c r="U101" s="66">
        <v>2.7899999999999999E-3</v>
      </c>
      <c r="V101" s="66">
        <v>5.3899999999999998E-3</v>
      </c>
      <c r="W101" s="66">
        <v>6.7799999999999996E-3</v>
      </c>
      <c r="X101" s="55"/>
      <c r="Y101" s="34"/>
      <c r="Z101" s="34"/>
      <c r="AA101" s="34"/>
      <c r="AI101" s="34"/>
      <c r="AJ101" s="74"/>
      <c r="AK101" s="15"/>
      <c r="AL101" s="20"/>
      <c r="AM101" s="15"/>
      <c r="AN101" s="15"/>
      <c r="AO101" s="15"/>
      <c r="AP101" s="15"/>
      <c r="AQ101" s="34"/>
      <c r="AR101" s="34"/>
      <c r="AS101" s="74"/>
      <c r="AT101" s="15"/>
      <c r="AU101" s="20"/>
      <c r="AV101" s="15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</row>
    <row r="102" spans="1:91" s="1" customFormat="1" ht="15" customHeight="1">
      <c r="A102" s="235" t="s">
        <v>42</v>
      </c>
      <c r="B102" s="235"/>
      <c r="C102" s="235"/>
      <c r="D102" s="235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12"/>
      <c r="S102" s="35"/>
      <c r="T102" s="36" t="s">
        <v>54</v>
      </c>
      <c r="U102" s="66">
        <v>1.094E-2</v>
      </c>
      <c r="V102" s="66">
        <v>2.1819999999999999E-2</v>
      </c>
      <c r="W102" s="66">
        <v>2.7289999999999998E-2</v>
      </c>
      <c r="X102" s="61"/>
      <c r="Y102" s="34"/>
      <c r="AA102" s="34"/>
      <c r="AI102" s="34"/>
      <c r="AJ102" s="75"/>
      <c r="AK102" s="15"/>
      <c r="AL102" s="20"/>
      <c r="AM102" s="15"/>
      <c r="AN102" s="15"/>
      <c r="AO102" s="15"/>
      <c r="AP102" s="15"/>
      <c r="AQ102" s="34"/>
      <c r="AR102" s="34"/>
      <c r="AS102" s="75"/>
      <c r="AT102" s="15"/>
      <c r="AU102" s="20"/>
      <c r="AV102" s="15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</row>
    <row r="103" spans="1:91" s="1" customFormat="1" ht="15" customHeight="1">
      <c r="A103" s="88"/>
      <c r="B103" s="88"/>
      <c r="C103" s="230"/>
      <c r="D103" s="230"/>
      <c r="E103" s="88"/>
      <c r="F103" s="88"/>
      <c r="G103" s="11"/>
      <c r="H103" s="230"/>
      <c r="I103" s="230"/>
      <c r="J103" s="233"/>
      <c r="K103" s="233"/>
      <c r="L103" s="88"/>
      <c r="M103" s="88"/>
      <c r="N103" s="230"/>
      <c r="O103" s="230"/>
      <c r="P103" s="70"/>
      <c r="S103" s="35"/>
      <c r="T103" s="34"/>
      <c r="U103" s="34"/>
      <c r="V103" s="34"/>
      <c r="W103" s="34"/>
      <c r="X103" s="61"/>
      <c r="Y103" s="34"/>
      <c r="AA103" s="34"/>
      <c r="AI103" s="55"/>
      <c r="AJ103" s="74"/>
      <c r="AK103" s="15"/>
      <c r="AL103" s="20"/>
      <c r="AM103" s="15"/>
      <c r="AN103" s="15"/>
      <c r="AO103" s="15"/>
      <c r="AP103" s="15"/>
      <c r="AQ103" s="34"/>
      <c r="AR103" s="55"/>
      <c r="AS103" s="74"/>
      <c r="AT103" s="15"/>
      <c r="AU103" s="20"/>
      <c r="AV103" s="15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</row>
    <row r="104" spans="1:91" s="1" customFormat="1" ht="15" customHeight="1">
      <c r="A104" s="41"/>
      <c r="B104" s="41"/>
      <c r="C104" s="41"/>
      <c r="D104" s="41"/>
      <c r="E104" s="41"/>
      <c r="G104" s="41"/>
      <c r="H104" s="41"/>
      <c r="I104" s="41"/>
      <c r="J104" s="41"/>
      <c r="K104" s="41"/>
      <c r="L104" s="41"/>
      <c r="M104" s="41"/>
      <c r="N104" s="41"/>
      <c r="O104" s="41"/>
      <c r="P104" s="71"/>
      <c r="Q104" s="63"/>
      <c r="R104" s="63"/>
      <c r="S104" s="35"/>
      <c r="T104" s="34"/>
      <c r="U104" s="34"/>
      <c r="V104" s="34"/>
      <c r="W104" s="34"/>
      <c r="X104" s="61"/>
      <c r="Y104" s="34"/>
      <c r="AA104" s="34"/>
      <c r="AI104" s="34"/>
      <c r="AJ104" s="74"/>
      <c r="AK104" s="15"/>
      <c r="AL104" s="20"/>
      <c r="AM104" s="15"/>
      <c r="AN104" s="15"/>
      <c r="AO104" s="15"/>
      <c r="AP104" s="15"/>
      <c r="AQ104" s="34"/>
      <c r="AR104" s="34"/>
      <c r="AS104" s="74"/>
      <c r="AT104" s="15"/>
      <c r="AU104" s="20"/>
      <c r="AV104" s="15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</row>
    <row r="105" spans="1:91" s="1" customFormat="1" ht="15" customHeight="1">
      <c r="A105" s="39"/>
      <c r="B105" s="39"/>
      <c r="C105" s="40"/>
      <c r="D105" s="40"/>
      <c r="E105" s="40"/>
      <c r="G105" s="40"/>
      <c r="H105" s="40"/>
      <c r="I105" s="42"/>
      <c r="J105" s="39"/>
      <c r="K105" s="39"/>
      <c r="L105" s="42"/>
      <c r="M105" s="42"/>
      <c r="N105" s="40"/>
      <c r="O105" s="42"/>
      <c r="P105" s="11"/>
      <c r="Q105" s="231"/>
      <c r="R105" s="231"/>
      <c r="S105" s="35"/>
      <c r="T105" s="34"/>
      <c r="U105" s="34"/>
      <c r="V105" s="34"/>
      <c r="W105" s="34"/>
      <c r="X105" s="55"/>
      <c r="Y105" s="34"/>
      <c r="AA105" s="34"/>
      <c r="AI105" s="34"/>
      <c r="AJ105" s="75"/>
      <c r="AK105" s="15"/>
      <c r="AL105" s="20"/>
      <c r="AM105" s="15"/>
      <c r="AN105" s="15"/>
      <c r="AO105" s="15"/>
      <c r="AP105" s="15"/>
      <c r="AQ105" s="34"/>
      <c r="AR105" s="34"/>
      <c r="AS105" s="75"/>
      <c r="AT105" s="15"/>
      <c r="AU105" s="20"/>
      <c r="AV105" s="15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</row>
    <row r="106" spans="1:91" s="1" customFormat="1" ht="15" customHeight="1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41"/>
      <c r="Q106" s="232"/>
      <c r="R106" s="232"/>
      <c r="S106" s="35"/>
      <c r="T106" s="34"/>
      <c r="U106" s="34"/>
      <c r="V106" s="34"/>
      <c r="W106" s="34"/>
      <c r="X106" s="55"/>
      <c r="Y106" s="34"/>
      <c r="AA106" s="34"/>
      <c r="AI106" s="55"/>
      <c r="AJ106" s="74"/>
      <c r="AK106" s="15"/>
      <c r="AL106" s="20"/>
      <c r="AM106" s="15"/>
      <c r="AN106" s="15"/>
      <c r="AO106" s="15"/>
      <c r="AP106" s="15"/>
      <c r="AQ106" s="34"/>
      <c r="AR106" s="55"/>
      <c r="AS106" s="74"/>
      <c r="AT106" s="15"/>
      <c r="AU106" s="20"/>
      <c r="AV106" s="15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</row>
    <row r="107" spans="1:91" s="1" customFormat="1" ht="15" customHeight="1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42"/>
      <c r="Q107" s="64"/>
      <c r="R107" s="64"/>
      <c r="S107" s="35"/>
      <c r="T107" s="34"/>
      <c r="U107" s="34"/>
      <c r="V107" s="34"/>
      <c r="W107" s="34"/>
      <c r="X107" s="55"/>
      <c r="Y107" s="34"/>
      <c r="AA107" s="34"/>
      <c r="AI107" s="34"/>
      <c r="AJ107" s="74"/>
      <c r="AK107" s="15"/>
      <c r="AL107" s="20"/>
      <c r="AM107" s="15"/>
      <c r="AN107" s="15"/>
      <c r="AO107" s="15"/>
      <c r="AP107" s="15"/>
      <c r="AQ107" s="34"/>
      <c r="AR107" s="34"/>
      <c r="AS107" s="74"/>
      <c r="AT107" s="15"/>
      <c r="AU107" s="20"/>
      <c r="AV107" s="15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</row>
    <row r="108" spans="1:91" s="1" customFormat="1" ht="15" customHeight="1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64"/>
      <c r="Q108" s="65"/>
      <c r="R108" s="65"/>
      <c r="S108" s="35"/>
      <c r="T108" s="34"/>
      <c r="U108" s="34"/>
      <c r="V108" s="34"/>
      <c r="W108" s="34"/>
      <c r="X108" s="55"/>
      <c r="Y108" s="34"/>
      <c r="AA108" s="34"/>
      <c r="AI108" s="34"/>
      <c r="AJ108" s="75"/>
      <c r="AK108" s="15"/>
      <c r="AL108" s="20"/>
      <c r="AM108" s="15"/>
      <c r="AN108" s="15"/>
      <c r="AO108" s="15"/>
      <c r="AP108" s="15"/>
      <c r="AQ108" s="34"/>
      <c r="AR108" s="34"/>
      <c r="AS108" s="75"/>
      <c r="AT108" s="15"/>
      <c r="AU108" s="20"/>
      <c r="AV108" s="15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</row>
    <row r="109" spans="1:91" s="1" customFormat="1" ht="15" customHeight="1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65"/>
      <c r="Q109" s="231"/>
      <c r="R109" s="231"/>
      <c r="S109" s="35"/>
      <c r="T109" s="34"/>
      <c r="U109" s="34"/>
      <c r="V109" s="34"/>
      <c r="W109" s="34"/>
      <c r="X109" s="55"/>
      <c r="Y109" s="34"/>
      <c r="AA109" s="34"/>
      <c r="AI109" s="55"/>
      <c r="AJ109" s="74"/>
      <c r="AK109" s="15"/>
      <c r="AL109" s="20"/>
      <c r="AM109" s="15"/>
      <c r="AN109" s="15"/>
      <c r="AO109" s="15"/>
      <c r="AP109" s="15"/>
      <c r="AQ109" s="34"/>
      <c r="AR109" s="55"/>
      <c r="AS109" s="74"/>
      <c r="AT109" s="15"/>
      <c r="AU109" s="20"/>
      <c r="AV109" s="15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</row>
    <row r="110" spans="1:91" s="1" customFormat="1" ht="15" customHeight="1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41"/>
      <c r="R110" s="41"/>
      <c r="S110" s="35"/>
      <c r="T110" s="34"/>
      <c r="U110" s="34"/>
      <c r="V110" s="34"/>
      <c r="W110" s="34"/>
      <c r="X110" s="55"/>
      <c r="Y110" s="34"/>
      <c r="AA110" s="34"/>
      <c r="AI110" s="34"/>
      <c r="AJ110" s="74"/>
      <c r="AK110" s="15"/>
      <c r="AL110" s="20"/>
      <c r="AM110" s="15"/>
      <c r="AN110" s="15"/>
      <c r="AO110" s="15"/>
      <c r="AP110" s="15"/>
      <c r="AQ110" s="34"/>
      <c r="AR110" s="34"/>
      <c r="AS110" s="74"/>
      <c r="AT110" s="15"/>
      <c r="AU110" s="20"/>
      <c r="AV110" s="15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</row>
    <row r="111" spans="1:91" s="1" customFormat="1" ht="15" customHeight="1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9"/>
      <c r="R111" s="39"/>
      <c r="S111" s="35"/>
      <c r="T111" s="34"/>
      <c r="U111" s="34"/>
      <c r="V111" s="34"/>
      <c r="W111" s="34"/>
      <c r="X111" s="55"/>
      <c r="Y111" s="34"/>
      <c r="AA111" s="34"/>
      <c r="AI111" s="34"/>
      <c r="AJ111" s="75"/>
      <c r="AK111" s="15"/>
      <c r="AL111" s="20"/>
      <c r="AM111" s="15"/>
      <c r="AN111" s="15"/>
      <c r="AO111" s="15"/>
      <c r="AP111" s="15"/>
      <c r="AQ111" s="34"/>
      <c r="AR111" s="34"/>
      <c r="AS111" s="75"/>
      <c r="AT111" s="15"/>
      <c r="AU111" s="20"/>
      <c r="AV111" s="15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</row>
    <row r="112" spans="1:91" s="1" customFormat="1" ht="15" customHeight="1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64"/>
      <c r="R112" s="64"/>
      <c r="S112" s="35"/>
      <c r="X112" s="55"/>
      <c r="Y112"/>
      <c r="AA112" s="34"/>
      <c r="AI112" s="55"/>
      <c r="AJ112" s="74"/>
      <c r="AK112" s="15"/>
      <c r="AL112" s="20"/>
      <c r="AM112" s="15"/>
      <c r="AN112" s="15"/>
      <c r="AO112" s="15"/>
      <c r="AP112" s="15"/>
      <c r="AQ112" s="34"/>
      <c r="AR112" s="55"/>
      <c r="AS112" s="74"/>
      <c r="AT112" s="15"/>
      <c r="AU112" s="20"/>
      <c r="AV112" s="15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</row>
    <row r="113" spans="1:91" s="1" customFormat="1" ht="15" customHeight="1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65"/>
      <c r="R113" s="65"/>
      <c r="S113" s="35"/>
      <c r="X113" s="55"/>
      <c r="AA113" s="34"/>
      <c r="AI113" s="34"/>
      <c r="AJ113" s="74"/>
      <c r="AK113" s="15"/>
      <c r="AL113" s="20"/>
      <c r="AM113" s="15"/>
      <c r="AN113" s="15"/>
      <c r="AO113" s="15"/>
      <c r="AP113" s="15"/>
      <c r="AQ113" s="34"/>
      <c r="AR113" s="34"/>
      <c r="AS113" s="74"/>
      <c r="AT113" s="15"/>
      <c r="AU113" s="20"/>
      <c r="AV113" s="15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</row>
    <row r="114" spans="1:91" s="1" customFormat="1" ht="15" customHeight="1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X114" s="55"/>
      <c r="AA114" s="34"/>
      <c r="AI114" s="34"/>
      <c r="AJ114" s="75"/>
      <c r="AK114" s="15"/>
      <c r="AL114" s="20"/>
      <c r="AM114" s="15"/>
      <c r="AN114" s="15"/>
      <c r="AO114" s="15"/>
      <c r="AP114" s="15"/>
      <c r="AR114" s="34"/>
      <c r="AS114" s="75"/>
      <c r="AT114" s="15"/>
      <c r="AU114" s="20"/>
      <c r="AV114" s="15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</row>
    <row r="115" spans="1:91" s="1" customFormat="1" ht="15" customHeight="1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X115" s="55"/>
      <c r="AA115" s="34"/>
      <c r="AI115" s="55"/>
      <c r="AJ115" s="74"/>
      <c r="AK115" s="15"/>
      <c r="AL115" s="20"/>
      <c r="AM115" s="15"/>
      <c r="AN115" s="15"/>
      <c r="AO115" s="15"/>
      <c r="AP115" s="15"/>
      <c r="AR115" s="55"/>
      <c r="AS115" s="74"/>
      <c r="AT115" s="15"/>
      <c r="AU115" s="20"/>
      <c r="AV115" s="15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</row>
    <row r="116" spans="1:91" s="1" customFormat="1" ht="15" customHeight="1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X116" s="34"/>
      <c r="Y116" s="16"/>
      <c r="AA116" s="34"/>
      <c r="AI116" s="34"/>
      <c r="AJ116" s="74"/>
      <c r="AK116" s="15"/>
      <c r="AL116" s="20"/>
      <c r="AM116" s="15"/>
      <c r="AN116" s="15"/>
      <c r="AO116" s="15"/>
      <c r="AP116" s="15"/>
      <c r="AR116" s="34"/>
      <c r="AS116" s="74"/>
      <c r="AT116" s="15"/>
      <c r="AU116" s="20"/>
      <c r="AV116" s="15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</row>
    <row r="117" spans="1:91" s="1" customFormat="1" ht="15" customHeight="1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X117" s="34"/>
      <c r="Y117" s="16"/>
      <c r="AI117" s="34"/>
      <c r="AJ117" s="75"/>
      <c r="AK117" s="15"/>
      <c r="AL117" s="20"/>
      <c r="AM117" s="15"/>
      <c r="AN117" s="15"/>
      <c r="AO117" s="15"/>
      <c r="AP117" s="15"/>
      <c r="AR117" s="34"/>
      <c r="AS117" s="75"/>
      <c r="AT117" s="15"/>
      <c r="AU117" s="20"/>
      <c r="AV117" s="15"/>
    </row>
    <row r="118" spans="1:91" s="1" customFormat="1" ht="15" customHeight="1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X118" s="55"/>
      <c r="Y118" s="16"/>
      <c r="AI118" s="55"/>
      <c r="AJ118" s="74"/>
      <c r="AK118" s="15"/>
      <c r="AL118" s="20"/>
      <c r="AM118" s="15"/>
      <c r="AN118" s="15"/>
      <c r="AO118" s="15"/>
      <c r="AP118" s="15"/>
    </row>
    <row r="119" spans="1:91" s="1" customFormat="1" ht="15" customHeight="1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X119" s="55"/>
      <c r="Y119" s="16"/>
      <c r="AI119" s="34"/>
      <c r="AJ119" s="74"/>
      <c r="AK119" s="15"/>
      <c r="AL119" s="20"/>
      <c r="AM119" s="15"/>
      <c r="AN119" s="15"/>
      <c r="AO119" s="15"/>
      <c r="AP119" s="15"/>
    </row>
    <row r="120" spans="1:91" s="1" customFormat="1" ht="15" customHeight="1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X120" s="55"/>
      <c r="AI120" s="34"/>
      <c r="AJ120" s="75"/>
      <c r="AK120" s="15"/>
      <c r="AL120" s="20"/>
      <c r="AM120" s="15"/>
      <c r="AN120" s="15"/>
      <c r="AO120" s="15"/>
      <c r="AP120" s="15"/>
    </row>
    <row r="121" spans="1:91" s="1" customFormat="1" ht="15" customHeight="1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X121" s="55"/>
      <c r="AI121" s="55"/>
      <c r="AJ121" s="74"/>
      <c r="AK121" s="15"/>
      <c r="AL121" s="20"/>
      <c r="AM121" s="15"/>
      <c r="AN121" s="15"/>
      <c r="AO121" s="15"/>
      <c r="AP121" s="15"/>
    </row>
    <row r="122" spans="1:91" s="1" customFormat="1" ht="15" customHeight="1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X122" s="34"/>
      <c r="AI122" s="34"/>
      <c r="AJ122" s="74"/>
      <c r="AK122" s="15"/>
      <c r="AL122" s="20"/>
      <c r="AM122" s="15"/>
      <c r="AN122" s="15"/>
      <c r="AO122" s="15"/>
      <c r="AP122" s="15"/>
    </row>
    <row r="123" spans="1:91" s="1" customFormat="1" ht="15" customHeight="1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X123" s="34"/>
      <c r="AI123" s="34"/>
      <c r="AJ123" s="75"/>
      <c r="AK123" s="15"/>
      <c r="AL123" s="20"/>
      <c r="AM123" s="15"/>
      <c r="AN123" s="15"/>
      <c r="AO123" s="15"/>
      <c r="AP123" s="15"/>
    </row>
    <row r="124" spans="1:91" s="1" customFormat="1" ht="15" customHeight="1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X124" s="55"/>
      <c r="AI124" s="55"/>
      <c r="AJ124" s="74"/>
      <c r="AK124" s="15"/>
      <c r="AL124" s="20"/>
      <c r="AM124" s="15"/>
      <c r="AN124" s="15"/>
      <c r="AO124" s="15"/>
      <c r="AP124" s="15"/>
    </row>
    <row r="125" spans="1:91" s="1" customFormat="1" ht="15" customHeight="1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X125" s="34"/>
      <c r="AI125" s="55"/>
      <c r="AJ125" s="74"/>
      <c r="AK125" s="15"/>
      <c r="AL125" s="20"/>
      <c r="AM125" s="15"/>
      <c r="AN125" s="15"/>
      <c r="AO125" s="15"/>
      <c r="AP125" s="15"/>
    </row>
    <row r="126" spans="1:91" s="1" customFormat="1" ht="15" customHeight="1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X126" s="34"/>
      <c r="AI126" s="55"/>
      <c r="AJ126" s="75"/>
      <c r="AK126" s="15"/>
      <c r="AL126" s="20"/>
      <c r="AM126" s="15"/>
      <c r="AN126" s="15"/>
      <c r="AO126" s="15"/>
      <c r="AP126" s="15"/>
    </row>
    <row r="127" spans="1:91" s="1" customFormat="1" ht="15" customHeight="1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X127" s="55"/>
      <c r="AJ127" s="21"/>
      <c r="AK127" s="15"/>
      <c r="AL127" s="22"/>
      <c r="AM127" s="23"/>
      <c r="AN127" s="23"/>
      <c r="AO127" s="23"/>
      <c r="AP127" s="23"/>
    </row>
    <row r="128" spans="1:91" s="1" customFormat="1" ht="15" customHeight="1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X128" s="34"/>
      <c r="AJ128" s="21"/>
      <c r="AK128" s="15"/>
      <c r="AL128" s="22"/>
      <c r="AM128" s="23"/>
      <c r="AN128" s="23"/>
      <c r="AO128" s="23"/>
      <c r="AP128" s="23"/>
    </row>
    <row r="129" spans="1:44" s="1" customFormat="1" ht="15" customHeight="1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X129" s="34"/>
      <c r="AJ129" s="21"/>
      <c r="AK129" s="15"/>
      <c r="AL129" s="22"/>
      <c r="AM129" s="23"/>
      <c r="AN129" s="23"/>
      <c r="AO129" s="23"/>
      <c r="AP129" s="23"/>
    </row>
    <row r="130" spans="1:44" s="1" customFormat="1" ht="15" customHeight="1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X130" s="55"/>
      <c r="AJ130" s="21"/>
      <c r="AK130" s="15"/>
      <c r="AL130" s="22"/>
      <c r="AM130" s="23"/>
      <c r="AN130" s="23"/>
      <c r="AO130" s="23"/>
      <c r="AP130" s="23"/>
    </row>
    <row r="131" spans="1:44" s="1" customFormat="1" ht="15" customHeight="1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X131" s="34"/>
      <c r="AJ131" s="21"/>
      <c r="AK131" s="15"/>
      <c r="AL131" s="22"/>
      <c r="AM131" s="23"/>
      <c r="AN131" s="23"/>
      <c r="AO131" s="23"/>
      <c r="AP131" s="23"/>
    </row>
    <row r="132" spans="1:44" s="1" customFormat="1" ht="15" customHeight="1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X132" s="34"/>
      <c r="AI132" s="34"/>
      <c r="AJ132" s="21"/>
      <c r="AK132" s="15"/>
      <c r="AL132" s="22"/>
      <c r="AM132" s="23"/>
      <c r="AN132" s="23"/>
      <c r="AO132" s="23"/>
      <c r="AP132" s="23"/>
      <c r="AQ132" s="18"/>
      <c r="AR132" s="34"/>
    </row>
    <row r="133" spans="1:44" s="1" customFormat="1" ht="15" customHeight="1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X133" s="55"/>
      <c r="AI133" s="34"/>
      <c r="AJ133" s="21"/>
      <c r="AK133" s="15"/>
      <c r="AL133" s="22"/>
      <c r="AM133" s="23"/>
      <c r="AN133" s="23"/>
      <c r="AO133" s="23"/>
      <c r="AP133" s="23"/>
      <c r="AR133" s="34"/>
    </row>
    <row r="134" spans="1:44" s="1" customFormat="1" ht="15" customHeight="1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X134" s="34"/>
      <c r="AI134" s="34"/>
      <c r="AJ134" s="21"/>
      <c r="AK134" s="15"/>
      <c r="AL134" s="22"/>
      <c r="AM134" s="23"/>
      <c r="AN134" s="23"/>
      <c r="AO134" s="23"/>
      <c r="AP134" s="23"/>
      <c r="AR134" s="34"/>
    </row>
    <row r="135" spans="1:44" s="1" customFormat="1" ht="15" customHeight="1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X135" s="34"/>
      <c r="AH135" s="18"/>
      <c r="AI135" s="34"/>
      <c r="AJ135" s="21"/>
      <c r="AK135" s="15"/>
      <c r="AL135" s="22"/>
      <c r="AM135" s="23"/>
      <c r="AN135" s="23"/>
      <c r="AO135" s="23"/>
      <c r="AP135" s="23"/>
      <c r="AQ135" s="18"/>
      <c r="AR135" s="34"/>
    </row>
    <row r="136" spans="1:44" s="1" customFormat="1" ht="15" customHeight="1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X136" s="55"/>
      <c r="AI136" s="34"/>
      <c r="AJ136" s="76"/>
      <c r="AK136" s="77"/>
      <c r="AL136" s="22"/>
      <c r="AM136" s="23"/>
      <c r="AN136" s="23"/>
      <c r="AO136" s="23"/>
      <c r="AP136" s="23"/>
      <c r="AR136" s="34"/>
    </row>
    <row r="137" spans="1:44" s="1" customFormat="1" ht="15" customHeight="1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X137" s="34"/>
      <c r="AI137" s="34"/>
      <c r="AJ137" s="21"/>
      <c r="AK137" s="15"/>
      <c r="AL137" s="22"/>
      <c r="AM137" s="23"/>
      <c r="AN137" s="23"/>
      <c r="AO137" s="23"/>
      <c r="AP137" s="23"/>
      <c r="AR137" s="34"/>
    </row>
    <row r="138" spans="1:44" s="1" customFormat="1" ht="15" customHeight="1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X138" s="34"/>
      <c r="AH138" s="18"/>
      <c r="AI138" s="34"/>
      <c r="AJ138" s="21"/>
      <c r="AK138" s="15"/>
      <c r="AL138" s="22"/>
      <c r="AM138" s="23"/>
      <c r="AN138" s="23"/>
      <c r="AO138" s="23"/>
      <c r="AP138" s="23"/>
      <c r="AQ138" s="18"/>
      <c r="AR138" s="34"/>
    </row>
    <row r="139" spans="1:44" s="1" customFormat="1" ht="15" customHeight="1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X139" s="55"/>
      <c r="AI139" s="34"/>
      <c r="AJ139" s="76"/>
      <c r="AK139" s="15"/>
      <c r="AL139" s="22"/>
      <c r="AM139" s="23"/>
      <c r="AN139" s="23"/>
      <c r="AO139" s="23"/>
      <c r="AP139" s="23"/>
      <c r="AR139" s="34"/>
    </row>
    <row r="140" spans="1:44" s="1" customFormat="1" ht="15" customHeight="1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X140" s="34"/>
      <c r="AI140" s="34"/>
      <c r="AJ140" s="21"/>
      <c r="AK140" s="15"/>
      <c r="AL140" s="22"/>
      <c r="AM140" s="23"/>
      <c r="AN140" s="23"/>
      <c r="AO140" s="23"/>
      <c r="AP140" s="23"/>
      <c r="AR140" s="34"/>
    </row>
    <row r="141" spans="1:44" s="1" customFormat="1" ht="15" customHeight="1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X141" s="34"/>
      <c r="AH141" s="18"/>
      <c r="AJ141" s="21"/>
      <c r="AK141" s="15"/>
      <c r="AL141" s="22"/>
      <c r="AM141" s="23"/>
      <c r="AN141" s="23"/>
      <c r="AO141" s="23"/>
      <c r="AP141" s="23"/>
    </row>
    <row r="142" spans="1:44" s="1" customFormat="1" ht="15" customHeight="1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X142" s="55"/>
      <c r="AJ142" s="76"/>
      <c r="AK142" s="15"/>
      <c r="AL142" s="22"/>
      <c r="AM142" s="23"/>
      <c r="AN142" s="23"/>
      <c r="AO142" s="23"/>
      <c r="AP142" s="23"/>
    </row>
    <row r="143" spans="1:44" s="1" customFormat="1" ht="15" customHeight="1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X143" s="34"/>
      <c r="AJ143" s="21"/>
      <c r="AK143" s="15"/>
      <c r="AL143" s="22"/>
      <c r="AM143" s="23"/>
      <c r="AN143" s="23"/>
      <c r="AO143" s="23"/>
      <c r="AP143" s="23"/>
    </row>
    <row r="144" spans="1:44" s="1" customFormat="1" ht="15" customHeight="1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X144" s="34"/>
      <c r="AJ144" s="21"/>
      <c r="AK144" s="15"/>
      <c r="AL144" s="22"/>
      <c r="AM144" s="23"/>
      <c r="AN144" s="23"/>
      <c r="AO144" s="23"/>
      <c r="AP144" s="23"/>
    </row>
    <row r="145" spans="1:42" s="1" customFormat="1" ht="15" customHeight="1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X145" s="55"/>
      <c r="AJ145" s="76"/>
      <c r="AK145" s="15"/>
      <c r="AL145" s="22"/>
      <c r="AM145" s="23"/>
      <c r="AN145" s="23"/>
      <c r="AO145" s="23"/>
      <c r="AP145" s="23"/>
    </row>
    <row r="146" spans="1:42" s="1" customFormat="1" ht="15" customHeight="1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X146" s="34"/>
      <c r="AJ146" s="21"/>
      <c r="AK146" s="15"/>
      <c r="AL146" s="22"/>
      <c r="AM146" s="23"/>
      <c r="AN146" s="23"/>
      <c r="AO146" s="23"/>
      <c r="AP146" s="23"/>
    </row>
    <row r="147" spans="1:42" s="1" customFormat="1" ht="15" customHeight="1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X147" s="34"/>
      <c r="AJ147" s="21"/>
      <c r="AK147" s="15"/>
      <c r="AL147" s="22"/>
      <c r="AM147" s="23"/>
      <c r="AN147" s="23"/>
      <c r="AO147" s="23"/>
      <c r="AP147" s="23"/>
    </row>
    <row r="148" spans="1:42" s="1" customFormat="1" ht="15" customHeight="1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AJ148" s="76"/>
      <c r="AK148" s="15"/>
      <c r="AL148" s="22"/>
      <c r="AM148" s="23"/>
      <c r="AN148" s="23"/>
      <c r="AO148" s="23"/>
      <c r="AP148" s="23"/>
    </row>
    <row r="149" spans="1:42" s="1" customFormat="1" ht="15" customHeight="1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AJ149" s="21"/>
      <c r="AK149" s="15"/>
      <c r="AL149" s="22"/>
      <c r="AM149" s="23"/>
      <c r="AN149" s="23"/>
      <c r="AO149" s="23"/>
      <c r="AP149" s="23"/>
    </row>
    <row r="150" spans="1:42" s="1" customFormat="1" ht="15" customHeight="1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AJ150" s="21"/>
      <c r="AK150" s="15"/>
      <c r="AL150" s="22"/>
      <c r="AM150" s="23"/>
      <c r="AN150" s="23"/>
      <c r="AO150" s="23"/>
      <c r="AP150" s="23"/>
    </row>
    <row r="151" spans="1:42" s="1" customFormat="1" ht="15" customHeight="1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AJ151" s="76"/>
      <c r="AK151" s="15"/>
      <c r="AL151" s="22"/>
      <c r="AM151" s="23"/>
      <c r="AN151" s="23"/>
      <c r="AO151" s="23"/>
      <c r="AP151" s="23"/>
    </row>
    <row r="152" spans="1:42" s="1" customFormat="1" ht="15" customHeight="1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AJ152" s="21"/>
      <c r="AK152" s="15"/>
      <c r="AL152" s="22"/>
      <c r="AM152" s="23"/>
      <c r="AN152" s="23"/>
      <c r="AO152" s="23"/>
      <c r="AP152" s="23"/>
    </row>
    <row r="153" spans="1:42" s="1" customFormat="1" ht="15" customHeight="1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AJ153" s="21"/>
      <c r="AK153" s="15"/>
      <c r="AL153" s="22"/>
      <c r="AM153" s="23"/>
      <c r="AN153" s="23"/>
      <c r="AO153" s="23"/>
      <c r="AP153" s="23"/>
    </row>
    <row r="154" spans="1:42" s="1" customFormat="1" ht="15" customHeight="1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AJ154" s="76"/>
      <c r="AK154" s="15"/>
      <c r="AL154" s="22"/>
      <c r="AM154" s="23"/>
      <c r="AN154" s="23"/>
      <c r="AO154" s="23"/>
      <c r="AP154" s="23"/>
    </row>
    <row r="155" spans="1:42" s="1" customFormat="1" ht="15" customHeight="1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AJ155" s="21"/>
      <c r="AK155" s="15"/>
      <c r="AL155" s="22"/>
      <c r="AM155" s="23"/>
      <c r="AN155" s="23"/>
      <c r="AO155" s="23"/>
      <c r="AP155" s="23"/>
    </row>
    <row r="156" spans="1:42" s="1" customFormat="1" ht="15" customHeight="1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AJ156" s="21"/>
      <c r="AK156" s="15"/>
      <c r="AL156" s="22"/>
      <c r="AM156" s="23"/>
      <c r="AN156" s="23"/>
      <c r="AO156" s="23"/>
      <c r="AP156" s="23"/>
    </row>
    <row r="157" spans="1:42" s="1" customFormat="1" ht="15" customHeight="1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AJ157" s="76"/>
      <c r="AK157" s="15"/>
      <c r="AL157" s="22"/>
      <c r="AM157" s="23"/>
      <c r="AN157" s="23"/>
      <c r="AO157" s="23"/>
      <c r="AP157" s="23"/>
    </row>
    <row r="158" spans="1:42" s="1" customFormat="1" ht="15" customHeight="1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AJ158" s="21"/>
      <c r="AK158" s="15"/>
      <c r="AL158" s="22"/>
      <c r="AM158" s="23"/>
      <c r="AN158" s="23"/>
      <c r="AO158" s="23"/>
      <c r="AP158" s="23"/>
    </row>
    <row r="159" spans="1:42" s="1" customFormat="1" ht="15" customHeight="1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AJ159" s="21"/>
      <c r="AK159" s="15"/>
      <c r="AL159" s="22"/>
      <c r="AM159" s="23"/>
      <c r="AN159" s="23"/>
      <c r="AO159" s="23"/>
      <c r="AP159" s="23"/>
    </row>
    <row r="160" spans="1:42" s="1" customFormat="1" ht="15" customHeight="1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AJ160" s="76"/>
      <c r="AK160" s="15"/>
      <c r="AL160" s="22"/>
      <c r="AM160" s="23"/>
      <c r="AN160" s="23"/>
      <c r="AO160" s="23"/>
      <c r="AP160" s="23"/>
    </row>
    <row r="161" spans="1:42" s="1" customFormat="1" ht="15" customHeight="1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AJ161" s="21"/>
      <c r="AK161" s="15"/>
      <c r="AL161" s="22"/>
      <c r="AM161" s="23"/>
      <c r="AN161" s="23"/>
      <c r="AO161" s="23"/>
      <c r="AP161" s="23"/>
    </row>
    <row r="162" spans="1:42" s="1" customFormat="1" ht="15" customHeight="1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AJ162" s="21"/>
      <c r="AK162" s="15"/>
      <c r="AL162" s="22"/>
      <c r="AM162" s="23"/>
      <c r="AN162" s="23"/>
      <c r="AO162" s="23"/>
      <c r="AP162" s="23"/>
    </row>
    <row r="163" spans="1:42" s="1" customFormat="1" ht="15" customHeight="1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AJ163" s="76"/>
      <c r="AK163" s="15"/>
      <c r="AL163" s="22"/>
      <c r="AM163" s="23"/>
      <c r="AN163" s="23"/>
      <c r="AO163" s="23"/>
      <c r="AP163" s="23"/>
    </row>
    <row r="164" spans="1:42" s="1" customFormat="1" ht="15" customHeight="1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AJ164" s="21"/>
      <c r="AK164" s="15"/>
      <c r="AL164" s="22"/>
      <c r="AM164" s="23"/>
      <c r="AN164" s="23"/>
      <c r="AO164" s="23"/>
      <c r="AP164" s="23"/>
    </row>
    <row r="165" spans="1:42" s="1" customFormat="1" ht="15" customHeight="1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AJ165" s="21"/>
      <c r="AK165" s="15"/>
      <c r="AL165" s="22"/>
      <c r="AM165" s="23"/>
      <c r="AN165" s="23"/>
      <c r="AO165" s="23"/>
      <c r="AP165" s="23"/>
    </row>
    <row r="166" spans="1:42" s="1" customFormat="1" ht="15" customHeight="1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AJ166" s="76"/>
      <c r="AK166" s="15"/>
      <c r="AL166" s="22"/>
      <c r="AM166" s="23"/>
      <c r="AN166" s="23"/>
      <c r="AO166" s="23"/>
      <c r="AP166" s="23"/>
    </row>
    <row r="167" spans="1:42" s="1" customFormat="1" ht="15" customHeight="1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AJ167" s="21"/>
      <c r="AK167" s="15"/>
      <c r="AL167" s="22"/>
      <c r="AM167" s="23"/>
      <c r="AN167" s="23"/>
      <c r="AO167" s="23"/>
      <c r="AP167" s="23"/>
    </row>
    <row r="168" spans="1:42" s="1" customFormat="1" ht="15" customHeight="1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AJ168" s="21"/>
      <c r="AK168" s="15"/>
      <c r="AL168" s="22"/>
      <c r="AM168" s="23"/>
      <c r="AN168" s="23"/>
      <c r="AO168" s="23"/>
      <c r="AP168" s="23"/>
    </row>
    <row r="169" spans="1:42" s="1" customFormat="1" ht="15" customHeight="1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AJ169" s="21"/>
      <c r="AK169" s="15"/>
      <c r="AL169" s="22"/>
      <c r="AM169" s="23"/>
      <c r="AN169" s="23"/>
      <c r="AO169" s="23"/>
      <c r="AP169" s="23"/>
    </row>
    <row r="170" spans="1:42" s="1" customFormat="1" ht="15" customHeight="1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AJ170" s="21"/>
      <c r="AK170" s="15"/>
      <c r="AL170" s="22"/>
      <c r="AM170" s="23"/>
      <c r="AN170" s="23"/>
      <c r="AO170" s="23"/>
      <c r="AP170" s="23"/>
    </row>
    <row r="171" spans="1:42" s="1" customFormat="1" ht="15" customHeight="1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AJ171" s="21"/>
      <c r="AK171" s="15"/>
      <c r="AL171" s="22"/>
      <c r="AM171" s="23"/>
      <c r="AN171" s="23"/>
      <c r="AO171" s="23"/>
      <c r="AP171" s="23"/>
    </row>
    <row r="172" spans="1:42" s="1" customFormat="1" ht="15" customHeight="1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AJ172" s="21"/>
      <c r="AK172" s="15"/>
      <c r="AL172" s="22"/>
      <c r="AM172" s="23"/>
      <c r="AN172" s="23"/>
      <c r="AO172" s="23"/>
      <c r="AP172" s="23"/>
    </row>
    <row r="173" spans="1:42" s="1" customFormat="1" ht="15" customHeight="1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AJ173" s="21"/>
      <c r="AK173" s="15"/>
      <c r="AL173" s="22"/>
      <c r="AM173" s="23"/>
      <c r="AN173" s="23"/>
      <c r="AO173" s="23"/>
      <c r="AP173" s="23"/>
    </row>
    <row r="174" spans="1:42" s="1" customFormat="1" ht="15" customHeight="1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AJ174" s="21"/>
      <c r="AK174" s="15"/>
      <c r="AL174" s="22"/>
      <c r="AM174" s="23"/>
      <c r="AN174" s="23"/>
      <c r="AO174" s="23"/>
      <c r="AP174" s="23"/>
    </row>
    <row r="175" spans="1:42" s="1" customFormat="1" ht="15" customHeight="1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AJ175" s="21"/>
      <c r="AK175" s="15"/>
      <c r="AL175" s="22"/>
      <c r="AM175" s="23"/>
      <c r="AN175" s="23"/>
      <c r="AO175" s="23"/>
      <c r="AP175" s="23"/>
    </row>
    <row r="176" spans="1:42" s="1" customFormat="1" ht="15" customHeight="1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AJ176" s="21"/>
      <c r="AK176" s="15"/>
      <c r="AL176" s="22"/>
      <c r="AM176" s="23"/>
      <c r="AN176" s="23"/>
      <c r="AO176" s="23"/>
      <c r="AP176" s="23"/>
    </row>
    <row r="177" spans="1:42" s="1" customFormat="1" ht="15" customHeight="1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AJ177" s="21"/>
      <c r="AK177" s="15"/>
      <c r="AL177" s="22"/>
      <c r="AM177" s="23"/>
      <c r="AN177" s="23"/>
      <c r="AO177" s="23"/>
      <c r="AP177" s="23"/>
    </row>
    <row r="178" spans="1:42" s="1" customFormat="1" ht="15" customHeight="1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AJ178" s="21"/>
      <c r="AK178" s="15"/>
      <c r="AL178" s="22"/>
      <c r="AM178" s="23"/>
      <c r="AN178" s="23"/>
      <c r="AO178" s="23"/>
      <c r="AP178" s="23"/>
    </row>
    <row r="179" spans="1:42" s="1" customFormat="1" ht="15" customHeight="1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</row>
    <row r="180" spans="1:42" s="1" customFormat="1" ht="15" customHeight="1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</row>
    <row r="181" spans="1:42" s="1" customFormat="1" ht="15" customHeight="1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</row>
    <row r="182" spans="1:42" s="1" customFormat="1" ht="15" customHeight="1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</row>
    <row r="183" spans="1:42" s="1" customFormat="1" ht="15" customHeight="1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</row>
    <row r="184" spans="1:42" s="1" customFormat="1" ht="15" customHeight="1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</row>
    <row r="185" spans="1:42" s="1" customFormat="1" ht="15" customHeight="1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</row>
    <row r="186" spans="1:42" s="1" customFormat="1" ht="15" customHeight="1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</row>
    <row r="187" spans="1:42" s="1" customFormat="1" ht="15" customHeight="1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</row>
    <row r="188" spans="1:42" s="1" customFormat="1" ht="15" customHeight="1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</row>
    <row r="189" spans="1:42" s="1" customFormat="1" ht="15" customHeight="1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</row>
    <row r="190" spans="1:42" s="1" customFormat="1" ht="15" customHeight="1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</row>
    <row r="191" spans="1:42" s="1" customFormat="1" ht="15" customHeight="1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</row>
    <row r="192" spans="1:42" s="1" customFormat="1" ht="15" customHeight="1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</row>
    <row r="193" spans="1:19" s="1" customFormat="1" ht="15" customHeight="1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</row>
    <row r="194" spans="1:19" s="1" customFormat="1" ht="15" customHeight="1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</row>
    <row r="195" spans="1:19" s="1" customFormat="1" ht="15" customHeight="1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</row>
    <row r="196" spans="1:19" s="1" customFormat="1" ht="15" customHeight="1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</row>
    <row r="197" spans="1:19" s="1" customFormat="1" ht="15" customHeight="1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</row>
    <row r="198" spans="1:19" s="1" customFormat="1" ht="15" customHeight="1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</row>
    <row r="199" spans="1:19" s="1" customFormat="1" ht="15" customHeight="1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</row>
    <row r="200" spans="1:19" s="1" customFormat="1" ht="15" customHeight="1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</row>
    <row r="201" spans="1:19" s="1" customFormat="1" ht="15" customHeight="1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</row>
    <row r="202" spans="1:19" s="1" customFormat="1" ht="15" customHeight="1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</row>
    <row r="203" spans="1:19" s="1" customFormat="1" ht="15" customHeight="1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</row>
    <row r="204" spans="1:19" s="1" customFormat="1" ht="15" customHeight="1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</row>
    <row r="205" spans="1:19" s="1" customFormat="1" ht="15" customHeight="1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</row>
    <row r="206" spans="1:19" s="1" customFormat="1" ht="1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</row>
    <row r="207" spans="1:19" s="1" customFormat="1" ht="1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</row>
    <row r="208" spans="1:19" s="1" customFormat="1" ht="1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</row>
    <row r="209" spans="1:19" s="1" customFormat="1" ht="1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</row>
    <row r="210" spans="1:19" s="1" customFormat="1" ht="1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</row>
    <row r="211" spans="1:19" s="1" customFormat="1" ht="15" customHeight="1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</row>
    <row r="212" spans="1:19" s="1" customFormat="1" ht="15" customHeight="1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</row>
    <row r="213" spans="1:19" s="1" customFormat="1" ht="15" customHeight="1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</row>
    <row r="214" spans="1:19" s="1" customFormat="1" ht="15" customHeight="1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</row>
    <row r="215" spans="1:19" s="1" customFormat="1" ht="15" customHeight="1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</row>
    <row r="216" spans="1:19" s="1" customFormat="1" ht="15" customHeight="1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</row>
    <row r="217" spans="1:19" s="1" customFormat="1" ht="15" customHeight="1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</row>
    <row r="218" spans="1:19" s="1" customFormat="1" ht="15" customHeight="1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</row>
    <row r="219" spans="1:19" s="1" customFormat="1" ht="15" customHeight="1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</row>
    <row r="220" spans="1:19" s="1" customFormat="1" ht="15" customHeight="1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</row>
    <row r="221" spans="1:19" s="1" customFormat="1" ht="15" customHeight="1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</row>
    <row r="222" spans="1:19" s="1" customFormat="1" ht="15" customHeight="1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</row>
    <row r="223" spans="1:19" s="1" customFormat="1" ht="15" customHeight="1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</row>
    <row r="224" spans="1:19" s="1" customFormat="1" ht="15" customHeight="1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</row>
    <row r="225" spans="1:19" s="1" customFormat="1" ht="15" customHeight="1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</row>
    <row r="226" spans="1:19" s="1" customFormat="1" ht="15" customHeight="1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</row>
    <row r="227" spans="1:19" s="1" customFormat="1" ht="15" customHeight="1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</row>
    <row r="228" spans="1:19" s="1" customFormat="1" ht="15" customHeight="1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</row>
    <row r="229" spans="1:19" s="1" customFormat="1" ht="15" customHeight="1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</row>
    <row r="230" spans="1:19" s="1" customFormat="1" ht="15" customHeight="1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</row>
    <row r="231" spans="1:19" s="1" customFormat="1" ht="15" customHeight="1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</row>
    <row r="232" spans="1:19" s="1" customFormat="1" ht="15" customHeight="1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</row>
    <row r="233" spans="1:19" s="1" customFormat="1" ht="15" customHeight="1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</row>
    <row r="234" spans="1:19" s="1" customFormat="1" ht="15" customHeight="1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</row>
    <row r="235" spans="1:19" s="1" customFormat="1" ht="15" customHeight="1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</row>
    <row r="236" spans="1:19" s="1" customFormat="1" ht="15" customHeight="1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</row>
    <row r="237" spans="1:19" s="1" customFormat="1" ht="15" customHeight="1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</row>
    <row r="238" spans="1:19" s="1" customFormat="1" ht="15" customHeight="1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</row>
    <row r="239" spans="1:19" s="1" customFormat="1" ht="15" customHeight="1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</row>
    <row r="240" spans="1:19" s="1" customFormat="1" ht="15" customHeight="1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</row>
    <row r="241" spans="1:19" s="1" customFormat="1" ht="15" customHeight="1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</row>
    <row r="242" spans="1:19" s="1" customFormat="1" ht="15" customHeight="1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</row>
    <row r="243" spans="1:19" s="1" customFormat="1" ht="15" customHeight="1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</row>
    <row r="244" spans="1:19" s="1" customFormat="1" ht="15" customHeight="1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</row>
    <row r="245" spans="1:19" s="1" customFormat="1" ht="15" customHeight="1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</row>
    <row r="246" spans="1:19" s="1" customFormat="1" ht="15" customHeight="1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</row>
    <row r="247" spans="1:19" s="1" customFormat="1" ht="15" customHeight="1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</row>
    <row r="248" spans="1:19" s="1" customFormat="1" ht="15" customHeight="1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</row>
    <row r="249" spans="1:19" s="1" customFormat="1" ht="15" customHeight="1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</row>
    <row r="250" spans="1:19" s="1" customFormat="1" ht="15" customHeight="1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</row>
    <row r="251" spans="1:19" s="1" customFormat="1" ht="15" customHeight="1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</row>
    <row r="252" spans="1:19" s="1" customFormat="1" ht="15" customHeight="1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</row>
    <row r="253" spans="1:19" s="1" customFormat="1" ht="15" customHeight="1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</row>
    <row r="254" spans="1:19" s="1" customFormat="1" ht="15" customHeight="1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</row>
    <row r="255" spans="1:19" s="1" customFormat="1" ht="15" customHeight="1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</row>
    <row r="256" spans="1:19" s="1" customFormat="1" ht="15" customHeight="1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</row>
    <row r="257" spans="1:19" s="1" customFormat="1" ht="15" customHeight="1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</row>
    <row r="258" spans="1:19" s="1" customFormat="1" ht="15" customHeight="1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</row>
    <row r="259" spans="1:19" s="1" customFormat="1" ht="15" customHeight="1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</row>
    <row r="260" spans="1:19" s="1" customFormat="1" ht="15" customHeight="1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</row>
    <row r="261" spans="1:19" s="1" customFormat="1" ht="15" customHeight="1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</row>
    <row r="262" spans="1:19" s="1" customFormat="1" ht="15" customHeight="1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</row>
    <row r="263" spans="1:19" s="1" customFormat="1" ht="15" customHeight="1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</row>
    <row r="264" spans="1:19" s="1" customFormat="1" ht="15" customHeight="1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</row>
    <row r="265" spans="1:19" s="1" customFormat="1" ht="15" customHeight="1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</row>
    <row r="266" spans="1:19" s="1" customFormat="1" ht="15" customHeight="1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</row>
    <row r="267" spans="1:19" s="1" customFormat="1" ht="15" customHeight="1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</row>
    <row r="268" spans="1:19" s="1" customFormat="1" ht="15" customHeight="1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</row>
    <row r="269" spans="1:19" s="1" customFormat="1" ht="15" customHeight="1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</row>
    <row r="270" spans="1:19" s="1" customFormat="1" ht="15" customHeight="1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</row>
    <row r="271" spans="1:19" s="1" customFormat="1" ht="15" customHeight="1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</row>
    <row r="272" spans="1:19" s="1" customFormat="1" ht="15" customHeight="1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</row>
    <row r="273" spans="1:19" s="1" customFormat="1" ht="15" customHeight="1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</row>
    <row r="274" spans="1:19" s="1" customFormat="1" ht="15" customHeight="1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</row>
    <row r="275" spans="1:19" s="1" customFormat="1" ht="15" customHeight="1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</row>
    <row r="276" spans="1:19" s="1" customFormat="1" ht="15" customHeight="1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</row>
    <row r="277" spans="1:19" s="1" customFormat="1" ht="15" customHeight="1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</row>
    <row r="278" spans="1:19" s="1" customFormat="1" ht="15" customHeight="1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</row>
    <row r="279" spans="1:19" s="1" customFormat="1" ht="15" customHeight="1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</row>
    <row r="280" spans="1:19" s="1" customFormat="1" ht="15" customHeight="1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</row>
    <row r="281" spans="1:19" s="1" customFormat="1" ht="15" customHeight="1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</row>
    <row r="282" spans="1:19" s="1" customFormat="1" ht="15" customHeight="1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</row>
    <row r="283" spans="1:19" s="1" customFormat="1" ht="15" customHeight="1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</row>
    <row r="284" spans="1:19" s="1" customFormat="1" ht="15" customHeight="1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</row>
    <row r="285" spans="1:19" s="1" customFormat="1" ht="15" customHeight="1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</row>
    <row r="286" spans="1:19" s="1" customFormat="1" ht="15" customHeight="1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</row>
    <row r="287" spans="1:19" s="1" customFormat="1" ht="1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</row>
    <row r="288" spans="1:19" s="1" customFormat="1" ht="15" customHeight="1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</row>
    <row r="289" spans="1:19" s="1" customFormat="1" ht="15" customHeight="1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</row>
    <row r="290" spans="1:19" s="1" customFormat="1" ht="15" customHeight="1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</row>
    <row r="291" spans="1:19" s="1" customFormat="1" ht="15" customHeight="1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</row>
    <row r="292" spans="1:19" s="1" customFormat="1" ht="15" customHeight="1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</row>
    <row r="293" spans="1:19" s="1" customFormat="1" ht="15" customHeight="1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</row>
    <row r="294" spans="1:19" s="1" customFormat="1" ht="15" customHeight="1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</row>
    <row r="295" spans="1:19" s="1" customFormat="1" ht="15" customHeight="1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</row>
    <row r="296" spans="1:19" s="1" customFormat="1" ht="15" customHeight="1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</row>
    <row r="297" spans="1:19" s="1" customFormat="1" ht="15" customHeight="1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</row>
    <row r="298" spans="1:19" s="1" customFormat="1" ht="15" customHeight="1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</row>
    <row r="299" spans="1:19" s="1" customFormat="1" ht="15" customHeight="1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</row>
    <row r="300" spans="1:19" s="1" customFormat="1" ht="15" customHeight="1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</row>
    <row r="301" spans="1:19" s="1" customFormat="1" ht="15" customHeight="1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</row>
    <row r="302" spans="1:19" s="1" customFormat="1" ht="15" customHeight="1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</row>
    <row r="303" spans="1:19" s="1" customFormat="1" ht="15" customHeight="1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</row>
    <row r="304" spans="1:19" s="1" customFormat="1" ht="15" customHeight="1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</row>
    <row r="305" spans="1:19" s="1" customFormat="1" ht="15" customHeight="1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</row>
    <row r="306" spans="1:19" s="1" customFormat="1" ht="15" customHeight="1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</row>
    <row r="307" spans="1:19" s="1" customFormat="1" ht="15" customHeight="1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</row>
    <row r="308" spans="1:19" s="1" customFormat="1" ht="15" customHeight="1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</row>
    <row r="309" spans="1:19" s="1" customFormat="1" ht="15" customHeight="1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</row>
    <row r="310" spans="1:19" s="1" customFormat="1" ht="15" customHeight="1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</row>
    <row r="311" spans="1:19" s="1" customFormat="1" ht="15" customHeight="1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</row>
    <row r="312" spans="1:19" s="1" customFormat="1" ht="15" customHeight="1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</row>
    <row r="313" spans="1:19" s="1" customFormat="1" ht="15" customHeight="1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</row>
    <row r="314" spans="1:19" s="1" customFormat="1" ht="15" customHeight="1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</row>
    <row r="315" spans="1:19" s="1" customFormat="1" ht="15" customHeight="1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</row>
    <row r="316" spans="1:19" s="1" customFormat="1" ht="15" customHeight="1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</row>
    <row r="317" spans="1:19" s="1" customFormat="1" ht="15" customHeight="1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</row>
    <row r="318" spans="1:19" s="1" customFormat="1" ht="15" customHeight="1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</row>
    <row r="319" spans="1:19" s="1" customFormat="1" ht="15" customHeight="1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</row>
    <row r="320" spans="1:19" s="1" customFormat="1" ht="15" customHeight="1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</row>
    <row r="321" spans="1:19" s="1" customFormat="1" ht="15" customHeight="1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</row>
    <row r="322" spans="1:19" s="1" customFormat="1" ht="15" customHeight="1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</row>
    <row r="323" spans="1:19" s="1" customFormat="1" ht="15" customHeight="1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</row>
    <row r="324" spans="1:19" s="1" customFormat="1" ht="15" customHeight="1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</row>
    <row r="325" spans="1:19" s="1" customFormat="1" ht="15" customHeight="1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</row>
    <row r="326" spans="1:19" s="1" customFormat="1" ht="15" customHeight="1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</row>
    <row r="327" spans="1:19" s="1" customFormat="1" ht="15" customHeight="1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</row>
    <row r="328" spans="1:19" s="1" customFormat="1" ht="15" customHeight="1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</row>
    <row r="329" spans="1:19" s="1" customFormat="1" ht="15" customHeight="1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</row>
    <row r="330" spans="1:19" s="1" customFormat="1" ht="15" customHeight="1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</row>
    <row r="331" spans="1:19" s="1" customFormat="1" ht="15" customHeight="1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</row>
    <row r="332" spans="1:19" s="1" customFormat="1" ht="15" customHeight="1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</row>
    <row r="333" spans="1:19" s="1" customFormat="1" ht="15" customHeight="1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</row>
    <row r="334" spans="1:19" s="1" customFormat="1" ht="15" customHeight="1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</row>
    <row r="335" spans="1:19" s="1" customFormat="1" ht="15" customHeight="1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</row>
    <row r="336" spans="1:19" s="1" customFormat="1" ht="15" customHeight="1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</row>
    <row r="337" spans="1:19" s="1" customFormat="1" ht="15" customHeight="1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</row>
    <row r="338" spans="1:19" s="1" customFormat="1" ht="15" customHeight="1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</row>
    <row r="339" spans="1:19" s="1" customFormat="1" ht="15" customHeight="1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</row>
    <row r="340" spans="1:19" s="1" customFormat="1" ht="15" customHeight="1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</row>
    <row r="341" spans="1:19" s="1" customFormat="1" ht="15" customHeight="1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</row>
    <row r="342" spans="1:19" s="1" customFormat="1" ht="15" customHeight="1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</row>
    <row r="343" spans="1:19" s="1" customFormat="1" ht="15" customHeight="1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</row>
    <row r="344" spans="1:19" s="1" customFormat="1" ht="15" customHeight="1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</row>
    <row r="345" spans="1:19" s="1" customFormat="1" ht="15" customHeight="1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</row>
    <row r="346" spans="1:19" s="1" customFormat="1" ht="15" customHeight="1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</row>
    <row r="347" spans="1:19" s="1" customFormat="1" ht="15" customHeight="1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</row>
    <row r="348" spans="1:19" s="1" customFormat="1" ht="15" customHeight="1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</row>
    <row r="349" spans="1:19" s="1" customFormat="1" ht="15" customHeight="1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</row>
    <row r="350" spans="1:19" s="1" customFormat="1" ht="15" customHeight="1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</row>
    <row r="351" spans="1:19" s="1" customFormat="1" ht="15" customHeight="1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</row>
    <row r="352" spans="1:19" s="1" customFormat="1" ht="15" customHeight="1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</row>
    <row r="353" spans="1:19" s="1" customFormat="1" ht="15" customHeight="1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</row>
    <row r="354" spans="1:19" s="1" customFormat="1" ht="15" customHeight="1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</row>
    <row r="355" spans="1:19" s="1" customFormat="1" ht="15" customHeight="1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</row>
    <row r="356" spans="1:19" s="1" customFormat="1" ht="15" customHeight="1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</row>
    <row r="357" spans="1:19" s="1" customFormat="1" ht="15" customHeight="1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</row>
    <row r="358" spans="1:19" s="1" customFormat="1" ht="15" customHeight="1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</row>
    <row r="359" spans="1:19" s="1" customFormat="1" ht="15" customHeight="1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</row>
    <row r="360" spans="1:19" s="1" customFormat="1" ht="15" customHeight="1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</row>
    <row r="361" spans="1:19" s="1" customFormat="1" ht="15" customHeight="1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</row>
    <row r="362" spans="1:19" s="1" customFormat="1" ht="15" customHeight="1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</row>
    <row r="363" spans="1:19" s="1" customFormat="1" ht="15" customHeight="1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</row>
    <row r="364" spans="1:19" s="1" customFormat="1" ht="15" customHeight="1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</row>
    <row r="365" spans="1:19" s="1" customFormat="1" ht="1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</row>
    <row r="366" spans="1:19" s="1" customFormat="1" ht="1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</row>
    <row r="367" spans="1:19" s="1" customFormat="1" ht="1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</row>
    <row r="368" spans="1:19" s="1" customFormat="1" ht="1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</row>
    <row r="369" spans="1:19" s="1" customFormat="1" ht="1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</row>
    <row r="370" spans="1:19" s="1" customFormat="1" ht="1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</row>
    <row r="371" spans="1:19" s="1" customFormat="1" ht="1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</row>
    <row r="372" spans="1:19" s="1" customFormat="1" ht="1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</row>
    <row r="373" spans="1:19" s="1" customFormat="1" ht="1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</row>
    <row r="374" spans="1:19" s="1" customFormat="1" ht="1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</row>
    <row r="375" spans="1:19" s="1" customFormat="1" ht="1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</row>
    <row r="376" spans="1:19" s="1" customFormat="1" ht="1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</row>
    <row r="377" spans="1:19" s="1" customFormat="1" ht="1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</row>
    <row r="378" spans="1:19" s="1" customFormat="1" ht="1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</row>
    <row r="379" spans="1:19" s="1" customFormat="1" ht="1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</row>
    <row r="380" spans="1:19" s="1" customFormat="1" ht="1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</row>
    <row r="381" spans="1:19" s="1" customFormat="1" ht="1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</row>
    <row r="382" spans="1:19" s="1" customFormat="1" ht="1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</row>
    <row r="383" spans="1:19" s="1" customFormat="1" ht="1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</row>
    <row r="384" spans="1:19" s="1" customFormat="1" ht="1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</row>
    <row r="385" spans="1:19" s="1" customFormat="1" ht="1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</row>
    <row r="386" spans="1:19" s="1" customFormat="1" ht="1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</row>
    <row r="387" spans="1:19" s="1" customFormat="1" ht="1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</row>
    <row r="388" spans="1:19" s="1" customFormat="1" ht="1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</row>
    <row r="389" spans="1:19" s="1" customFormat="1" ht="1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</row>
    <row r="390" spans="1:19" s="1" customFormat="1" ht="1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</row>
    <row r="391" spans="1:19" s="1" customFormat="1" ht="1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</row>
    <row r="392" spans="1:19" s="1" customFormat="1" ht="1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</row>
    <row r="393" spans="1:19" s="1" customFormat="1" ht="1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</row>
    <row r="394" spans="1:19" s="1" customFormat="1" ht="1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</row>
    <row r="395" spans="1:19" s="1" customFormat="1" ht="1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</row>
    <row r="396" spans="1:19" s="1" customFormat="1" ht="1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</row>
    <row r="397" spans="1:19" s="1" customFormat="1" ht="1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</row>
    <row r="398" spans="1:19" s="1" customFormat="1" ht="1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</row>
    <row r="399" spans="1:19" s="1" customFormat="1" ht="1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</row>
    <row r="400" spans="1:19" s="1" customFormat="1" ht="1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</row>
    <row r="401" spans="1:19" s="1" customFormat="1" ht="1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</row>
    <row r="402" spans="1:19" s="1" customFormat="1" ht="1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</row>
    <row r="403" spans="1:19" s="1" customFormat="1" ht="1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</row>
    <row r="404" spans="1:19" s="1" customFormat="1" ht="1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</row>
    <row r="405" spans="1:19" s="1" customFormat="1" ht="1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</row>
    <row r="406" spans="1:19" s="1" customFormat="1" ht="1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</row>
    <row r="407" spans="1:19" s="1" customFormat="1" ht="1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</row>
    <row r="408" spans="1:19" s="1" customFormat="1" ht="1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</row>
    <row r="409" spans="1:19" s="1" customFormat="1" ht="1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</row>
    <row r="410" spans="1:19" s="1" customFormat="1" ht="1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</row>
    <row r="411" spans="1:19" s="1" customFormat="1" ht="1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</row>
    <row r="412" spans="1:19" s="1" customFormat="1" ht="1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</row>
    <row r="413" spans="1:19" s="1" customFormat="1" ht="1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</row>
    <row r="414" spans="1:19" s="1" customFormat="1" ht="1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</row>
    <row r="415" spans="1:19" s="1" customFormat="1" ht="1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</row>
    <row r="416" spans="1:19" s="1" customFormat="1" ht="1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</row>
    <row r="417" spans="1:19" s="1" customFormat="1" ht="1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</row>
    <row r="418" spans="1:19" s="1" customFormat="1" ht="1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</row>
    <row r="419" spans="1:19" s="1" customFormat="1" ht="1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</row>
    <row r="420" spans="1:19" s="1" customFormat="1" ht="1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</row>
    <row r="421" spans="1:19" s="1" customFormat="1" ht="1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</row>
    <row r="422" spans="1:19" s="1" customFormat="1" ht="1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</row>
    <row r="423" spans="1:19" s="1" customFormat="1" ht="1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</row>
    <row r="424" spans="1:19" s="1" customFormat="1" ht="1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</row>
    <row r="425" spans="1:19" s="1" customFormat="1" ht="1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</row>
    <row r="426" spans="1:19" s="1" customFormat="1" ht="1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</row>
    <row r="427" spans="1:19" s="1" customFormat="1" ht="1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</row>
    <row r="428" spans="1:19" s="1" customFormat="1" ht="1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</row>
    <row r="429" spans="1:19" s="1" customFormat="1" ht="1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</row>
    <row r="430" spans="1:19" s="1" customFormat="1" ht="1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</row>
    <row r="431" spans="1:19" s="1" customFormat="1" ht="1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</row>
    <row r="432" spans="1:19" s="1" customFormat="1" ht="1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</row>
    <row r="433" spans="1:19" s="1" customFormat="1" ht="1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</row>
    <row r="434" spans="1:19" s="1" customFormat="1" ht="1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</row>
    <row r="435" spans="1:19" s="1" customFormat="1" ht="1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</row>
    <row r="436" spans="1:19" s="1" customFormat="1" ht="1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</row>
    <row r="437" spans="1:19" s="1" customFormat="1" ht="1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</row>
    <row r="438" spans="1:19" s="1" customFormat="1" ht="1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</row>
    <row r="439" spans="1:19" s="1" customFormat="1" ht="1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</row>
    <row r="440" spans="1:19" s="1" customFormat="1" ht="1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</row>
    <row r="441" spans="1:19" s="1" customFormat="1" ht="1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</row>
    <row r="442" spans="1:19" s="1" customFormat="1" ht="1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</row>
    <row r="443" spans="1:19" s="1" customFormat="1" ht="1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</row>
    <row r="444" spans="1:19" s="1" customFormat="1" ht="1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</row>
    <row r="445" spans="1:19" s="1" customFormat="1" ht="1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</row>
    <row r="446" spans="1:19" s="1" customFormat="1" ht="1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</row>
    <row r="447" spans="1:19" s="1" customFormat="1" ht="1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</row>
    <row r="448" spans="1:19" s="1" customFormat="1" ht="1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</row>
    <row r="449" spans="1:19" s="1" customFormat="1" ht="1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</row>
    <row r="450" spans="1:19" s="1" customFormat="1" ht="1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</row>
    <row r="451" spans="1:19" s="1" customFormat="1" ht="1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</row>
    <row r="452" spans="1:19" s="1" customFormat="1" ht="1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</row>
    <row r="453" spans="1:19" s="1" customFormat="1" ht="1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</row>
    <row r="454" spans="1:19" s="1" customFormat="1" ht="1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</row>
    <row r="455" spans="1:19" s="1" customFormat="1" ht="1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</row>
    <row r="456" spans="1:19" s="1" customFormat="1" ht="1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</row>
    <row r="457" spans="1:19" s="1" customFormat="1" ht="1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</row>
    <row r="458" spans="1:19" s="1" customFormat="1" ht="1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</row>
    <row r="459" spans="1:19" s="1" customFormat="1" ht="1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</row>
    <row r="460" spans="1:19" s="1" customFormat="1" ht="1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</row>
    <row r="461" spans="1:19" s="1" customFormat="1" ht="1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</row>
    <row r="462" spans="1:19" s="1" customFormat="1" ht="1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</row>
    <row r="463" spans="1:19" s="1" customFormat="1" ht="1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</row>
    <row r="464" spans="1:19" s="1" customFormat="1" ht="1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</row>
    <row r="465" spans="1:19" s="1" customFormat="1" ht="1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</row>
    <row r="466" spans="1:19" s="1" customFormat="1" ht="1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</row>
    <row r="467" spans="1:19" s="1" customFormat="1" ht="1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</row>
    <row r="468" spans="1:19" s="1" customFormat="1" ht="1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</row>
    <row r="469" spans="1:19" s="1" customFormat="1" ht="1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</row>
    <row r="470" spans="1:19" s="1" customFormat="1" ht="1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</row>
    <row r="471" spans="1:19" s="1" customFormat="1" ht="1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</row>
    <row r="472" spans="1:19" s="1" customFormat="1" ht="1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</row>
    <row r="473" spans="1:19" s="1" customFormat="1" ht="1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</row>
    <row r="474" spans="1:19" s="1" customFormat="1" ht="1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</row>
    <row r="475" spans="1:19" s="1" customFormat="1" ht="1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</row>
    <row r="476" spans="1:19" s="1" customFormat="1" ht="1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</row>
    <row r="477" spans="1:19" s="1" customFormat="1" ht="1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</row>
    <row r="478" spans="1:19" s="1" customFormat="1" ht="1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</row>
    <row r="479" spans="1:19" s="1" customFormat="1" ht="1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</row>
    <row r="480" spans="1:19" s="1" customFormat="1" ht="1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</row>
    <row r="481" spans="1:19" s="1" customFormat="1" ht="1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</row>
    <row r="482" spans="1:19" s="1" customFormat="1" ht="1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</row>
    <row r="483" spans="1:19" s="1" customFormat="1" ht="1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</row>
    <row r="484" spans="1:19" s="1" customFormat="1" ht="1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</row>
    <row r="485" spans="1:19" s="1" customFormat="1" ht="1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</row>
    <row r="486" spans="1:19" s="1" customFormat="1" ht="1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</row>
    <row r="487" spans="1:19" s="1" customFormat="1" ht="1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</row>
    <row r="488" spans="1:19" s="1" customFormat="1" ht="1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</row>
    <row r="489" spans="1:19" s="1" customFormat="1" ht="1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</row>
    <row r="490" spans="1:19" s="1" customFormat="1" ht="1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</row>
    <row r="491" spans="1:19" s="1" customFormat="1" ht="1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</row>
    <row r="492" spans="1:19" s="1" customFormat="1" ht="1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</row>
    <row r="493" spans="1:19" s="1" customFormat="1" ht="1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</row>
    <row r="494" spans="1:19" s="1" customFormat="1" ht="1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</row>
    <row r="495" spans="1:19" s="1" customFormat="1" ht="1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</row>
    <row r="496" spans="1:19" s="1" customFormat="1" ht="1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</row>
    <row r="497" spans="1:19" s="1" customFormat="1" ht="1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</row>
    <row r="498" spans="1:19" s="1" customFormat="1" ht="1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</row>
    <row r="499" spans="1:19" s="1" customFormat="1" ht="1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</row>
    <row r="500" spans="1:19" s="1" customFormat="1" ht="1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</row>
    <row r="501" spans="1:19" s="1" customFormat="1" ht="1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</row>
    <row r="502" spans="1:19" s="1" customFormat="1" ht="1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</row>
    <row r="503" spans="1:19" s="1" customFormat="1" ht="1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</row>
    <row r="504" spans="1:19" s="1" customFormat="1" ht="1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</row>
    <row r="505" spans="1:19" s="1" customFormat="1" ht="1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</row>
    <row r="506" spans="1:19" s="1" customFormat="1" ht="1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</row>
    <row r="507" spans="1:19" s="1" customFormat="1" ht="1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</row>
    <row r="508" spans="1:19" s="1" customFormat="1" ht="1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</row>
    <row r="509" spans="1:19" s="1" customFormat="1" ht="1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</row>
    <row r="510" spans="1:19" s="1" customFormat="1" ht="1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</row>
    <row r="511" spans="1:19" s="1" customFormat="1" ht="1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</row>
    <row r="512" spans="1:19" s="1" customFormat="1" ht="1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</row>
    <row r="513" spans="1:19" s="1" customFormat="1" ht="1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</row>
    <row r="514" spans="1:19" s="1" customFormat="1" ht="1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</row>
    <row r="515" spans="1:19" s="1" customFormat="1" ht="1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</row>
    <row r="516" spans="1:19" s="1" customFormat="1" ht="1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</row>
    <row r="517" spans="1:19" s="1" customFormat="1" ht="1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</row>
    <row r="518" spans="1:19" s="1" customFormat="1" ht="1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</row>
    <row r="519" spans="1:19" s="1" customFormat="1" ht="1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</row>
    <row r="520" spans="1:19" s="1" customFormat="1" ht="1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</row>
    <row r="521" spans="1:19" s="1" customFormat="1" ht="1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</row>
    <row r="522" spans="1:19" s="1" customFormat="1" ht="1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</row>
    <row r="523" spans="1:19" s="1" customFormat="1" ht="1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</row>
    <row r="524" spans="1:19" s="1" customFormat="1" ht="1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</row>
    <row r="525" spans="1:19" s="1" customFormat="1" ht="1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</row>
    <row r="526" spans="1:19" s="1" customFormat="1" ht="1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</row>
    <row r="527" spans="1:19" s="1" customFormat="1" ht="1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</row>
    <row r="528" spans="1:19" s="1" customFormat="1" ht="1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</row>
    <row r="529" spans="1:19" s="1" customFormat="1" ht="1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</row>
    <row r="530" spans="1:19" s="1" customFormat="1" ht="1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</row>
    <row r="531" spans="1:19" s="1" customFormat="1" ht="1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</row>
    <row r="532" spans="1:19" s="1" customFormat="1" ht="1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</row>
    <row r="533" spans="1:19" s="1" customFormat="1" ht="1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</row>
    <row r="534" spans="1:19" s="1" customFormat="1" ht="1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</row>
    <row r="535" spans="1:19" s="1" customFormat="1" ht="1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</row>
    <row r="536" spans="1:19" s="1" customFormat="1" ht="1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</row>
    <row r="537" spans="1:19" s="1" customFormat="1" ht="1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</row>
    <row r="538" spans="1:19" s="1" customFormat="1" ht="1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</row>
    <row r="539" spans="1:19" s="1" customFormat="1" ht="1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</row>
    <row r="540" spans="1:19" s="1" customFormat="1" ht="1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</row>
    <row r="541" spans="1:19" s="1" customFormat="1" ht="1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</row>
    <row r="542" spans="1:19" s="1" customFormat="1" ht="1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</row>
    <row r="543" spans="1:19" s="1" customFormat="1" ht="1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</row>
    <row r="544" spans="1:19" s="1" customFormat="1" ht="1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</row>
    <row r="545" spans="1:19" s="1" customFormat="1" ht="1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</row>
    <row r="546" spans="1:19" s="1" customFormat="1" ht="1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</row>
    <row r="547" spans="1:19" s="1" customFormat="1" ht="1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</row>
    <row r="548" spans="1:19" s="1" customFormat="1" ht="1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</row>
    <row r="549" spans="1:19" s="1" customFormat="1" ht="1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</row>
    <row r="550" spans="1:19" s="1" customFormat="1" ht="1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</row>
    <row r="551" spans="1:19" s="1" customFormat="1" ht="1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</row>
    <row r="552" spans="1:19" s="1" customFormat="1" ht="1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</row>
    <row r="553" spans="1:19" s="1" customFormat="1" ht="1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</row>
    <row r="554" spans="1:19" s="1" customFormat="1" ht="1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</row>
    <row r="555" spans="1:19" s="1" customFormat="1" ht="1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</row>
    <row r="556" spans="1:19" s="1" customFormat="1" ht="1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</row>
    <row r="557" spans="1:19" s="1" customFormat="1" ht="1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</row>
    <row r="558" spans="1:19" s="1" customFormat="1" ht="1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</row>
    <row r="559" spans="1:19" s="1" customFormat="1" ht="1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</row>
    <row r="560" spans="1:19" s="1" customFormat="1" ht="1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</row>
    <row r="561" spans="1:19" s="1" customFormat="1" ht="1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</row>
    <row r="562" spans="1:19" s="1" customFormat="1" ht="1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</row>
    <row r="563" spans="1:19" s="1" customFormat="1" ht="1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</row>
    <row r="564" spans="1:19" s="1" customFormat="1" ht="1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</row>
    <row r="565" spans="1:19" s="1" customFormat="1" ht="1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</row>
    <row r="566" spans="1:19" s="1" customFormat="1" ht="1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</row>
    <row r="567" spans="1:19" s="1" customFormat="1" ht="1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</row>
    <row r="568" spans="1:19" s="1" customFormat="1" ht="1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</row>
    <row r="569" spans="1:19" s="1" customFormat="1" ht="1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</row>
    <row r="570" spans="1:19" s="1" customFormat="1" ht="1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</row>
    <row r="571" spans="1:19" s="1" customFormat="1" ht="1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</row>
    <row r="572" spans="1:19" s="1" customFormat="1" ht="1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</row>
    <row r="573" spans="1:19" s="1" customFormat="1" ht="1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</row>
    <row r="574" spans="1:19" s="1" customFormat="1" ht="1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</row>
    <row r="575" spans="1:19" s="1" customFormat="1" ht="1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</row>
    <row r="576" spans="1:19" s="1" customFormat="1" ht="1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</row>
    <row r="577" spans="1:19" s="1" customFormat="1" ht="1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</row>
    <row r="578" spans="1:19" s="1" customFormat="1" ht="1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</row>
    <row r="579" spans="1:19" s="1" customFormat="1" ht="1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</row>
    <row r="580" spans="1:19" s="1" customFormat="1" ht="1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</row>
    <row r="581" spans="1:19" s="1" customFormat="1" ht="1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</row>
    <row r="582" spans="1:19" s="1" customFormat="1" ht="1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</row>
    <row r="583" spans="1:19" s="1" customFormat="1" ht="1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</row>
    <row r="584" spans="1:19" s="1" customFormat="1" ht="1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</row>
    <row r="585" spans="1:19" s="1" customFormat="1" ht="1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</row>
    <row r="586" spans="1:19" s="1" customFormat="1" ht="1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</row>
    <row r="587" spans="1:19" s="1" customFormat="1" ht="1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</row>
    <row r="588" spans="1:19" s="1" customFormat="1" ht="1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</row>
    <row r="589" spans="1:19" s="1" customFormat="1" ht="1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</row>
    <row r="590" spans="1:19" s="1" customFormat="1" ht="1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</row>
    <row r="591" spans="1:19" s="1" customFormat="1" ht="1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</row>
    <row r="592" spans="1:19" s="1" customFormat="1" ht="1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</row>
    <row r="593" spans="1:19" s="1" customFormat="1" ht="1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</row>
    <row r="594" spans="1:19" s="1" customFormat="1" ht="1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</row>
    <row r="595" spans="1:19" s="1" customFormat="1" ht="1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</row>
    <row r="596" spans="1:19" s="1" customFormat="1" ht="1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</row>
    <row r="597" spans="1:19" s="1" customFormat="1" ht="1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</row>
    <row r="598" spans="1:19" s="1" customFormat="1" ht="1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</row>
    <row r="599" spans="1:19" s="1" customFormat="1" ht="1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</row>
    <row r="600" spans="1:19" s="1" customFormat="1" ht="1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</row>
    <row r="601" spans="1:19" s="1" customFormat="1" ht="1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</row>
    <row r="602" spans="1:19" s="1" customFormat="1" ht="1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</row>
    <row r="603" spans="1:19" s="1" customFormat="1" ht="1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</row>
    <row r="604" spans="1:19" s="1" customFormat="1" ht="1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</row>
    <row r="605" spans="1:19" s="1" customFormat="1" ht="1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</row>
    <row r="606" spans="1:19" s="1" customFormat="1" ht="1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</row>
    <row r="607" spans="1:19" s="1" customFormat="1" ht="1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</row>
    <row r="608" spans="1:19" s="1" customFormat="1" ht="1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</row>
    <row r="609" spans="1:19" s="1" customFormat="1" ht="1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</row>
    <row r="610" spans="1:19" s="1" customFormat="1" ht="1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</row>
    <row r="611" spans="1:19" s="1" customFormat="1" ht="1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</row>
    <row r="612" spans="1:19" s="1" customFormat="1" ht="1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</row>
    <row r="613" spans="1:19" s="1" customFormat="1" ht="1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</row>
    <row r="614" spans="1:19" s="1" customFormat="1" ht="1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</row>
    <row r="615" spans="1:19" s="1" customFormat="1" ht="1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</row>
    <row r="616" spans="1:19" s="1" customFormat="1" ht="1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</row>
    <row r="617" spans="1:19" s="1" customFormat="1" ht="1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</row>
    <row r="618" spans="1:19" s="1" customFormat="1" ht="1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</row>
    <row r="619" spans="1:19" s="1" customFormat="1" ht="1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</row>
    <row r="620" spans="1:19" s="1" customFormat="1" ht="1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</row>
    <row r="621" spans="1:19" s="1" customFormat="1" ht="1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</row>
    <row r="622" spans="1:19" s="1" customFormat="1" ht="1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</row>
    <row r="623" spans="1:19" s="1" customFormat="1" ht="1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</row>
    <row r="624" spans="1:19" s="1" customFormat="1" ht="1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</row>
    <row r="625" spans="1:19" s="1" customFormat="1" ht="1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</row>
    <row r="626" spans="1:19" s="1" customFormat="1" ht="1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</row>
    <row r="627" spans="1:19" s="1" customFormat="1" ht="1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</row>
    <row r="628" spans="1:19" s="1" customFormat="1" ht="1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</row>
    <row r="629" spans="1:19" s="1" customFormat="1" ht="1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</row>
    <row r="630" spans="1:19" s="1" customFormat="1" ht="1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</row>
    <row r="631" spans="1:19" s="1" customFormat="1" ht="1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</row>
    <row r="632" spans="1:19" s="1" customFormat="1" ht="1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</row>
    <row r="633" spans="1:19" s="1" customFormat="1" ht="1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</row>
    <row r="634" spans="1:19" s="1" customFormat="1" ht="1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</row>
    <row r="635" spans="1:19" s="1" customFormat="1" ht="1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</row>
    <row r="636" spans="1:19" s="1" customFormat="1" ht="1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</row>
    <row r="637" spans="1:19" s="1" customFormat="1" ht="1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</row>
    <row r="638" spans="1:19" s="1" customFormat="1" ht="1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</row>
    <row r="639" spans="1:19" s="1" customFormat="1" ht="1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</row>
    <row r="640" spans="1:19" s="1" customFormat="1" ht="1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</row>
    <row r="641" spans="1:19" s="1" customFormat="1" ht="1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</row>
    <row r="642" spans="1:19" s="1" customFormat="1" ht="1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</row>
    <row r="643" spans="1:19" s="1" customFormat="1" ht="1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</row>
    <row r="644" spans="1:19" s="1" customFormat="1" ht="1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</row>
    <row r="645" spans="1:19" s="1" customFormat="1" ht="1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</row>
    <row r="646" spans="1:19" s="1" customFormat="1" ht="1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</row>
    <row r="647" spans="1:19" s="1" customFormat="1" ht="1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</row>
    <row r="648" spans="1:19" s="1" customFormat="1" ht="1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</row>
    <row r="649" spans="1:19" s="1" customFormat="1" ht="1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</row>
    <row r="650" spans="1:19" s="1" customFormat="1" ht="1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</row>
    <row r="651" spans="1:19" s="1" customFormat="1" ht="1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</row>
    <row r="652" spans="1:19" s="1" customFormat="1" ht="1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</row>
    <row r="653" spans="1:19" s="1" customFormat="1" ht="1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</row>
    <row r="654" spans="1:19" s="1" customFormat="1" ht="1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</row>
    <row r="655" spans="1:19" s="1" customFormat="1" ht="1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</row>
    <row r="656" spans="1:19" s="1" customFormat="1" ht="1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</row>
    <row r="657" spans="1:19" s="1" customFormat="1" ht="1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</row>
    <row r="658" spans="1:19" s="1" customFormat="1" ht="1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</row>
    <row r="659" spans="1:19" s="1" customFormat="1" ht="1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</row>
    <row r="660" spans="1:19" s="1" customFormat="1" ht="1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</row>
    <row r="661" spans="1:19" s="1" customFormat="1" ht="1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</row>
    <row r="662" spans="1:19" s="1" customFormat="1" ht="1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</row>
    <row r="663" spans="1:19" s="1" customFormat="1" ht="1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</row>
    <row r="664" spans="1:19" s="1" customFormat="1" ht="1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</row>
    <row r="665" spans="1:19" s="1" customFormat="1" ht="1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</row>
    <row r="666" spans="1:19" s="1" customFormat="1" ht="1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</row>
    <row r="667" spans="1:19" s="1" customFormat="1" ht="1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</row>
    <row r="668" spans="1:19" s="1" customFormat="1" ht="1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</row>
    <row r="669" spans="1:19" s="1" customFormat="1" ht="1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</row>
    <row r="670" spans="1:19" s="1" customFormat="1" ht="1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</row>
    <row r="671" spans="1:19" s="1" customFormat="1" ht="1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</row>
    <row r="672" spans="1:19" s="1" customFormat="1" ht="1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</row>
    <row r="673" spans="1:19" s="1" customFormat="1" ht="1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</row>
    <row r="674" spans="1:19" s="1" customFormat="1" ht="1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</row>
    <row r="675" spans="1:19" s="1" customFormat="1" ht="1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</row>
    <row r="676" spans="1:19" s="1" customFormat="1" ht="1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</row>
    <row r="677" spans="1:19" s="1" customFormat="1" ht="1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</row>
    <row r="678" spans="1:19" s="1" customFormat="1" ht="1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</row>
    <row r="679" spans="1:19" s="1" customFormat="1" ht="1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</row>
    <row r="680" spans="1:19" s="1" customFormat="1" ht="1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</row>
    <row r="681" spans="1:19" s="1" customFormat="1" ht="1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</row>
    <row r="682" spans="1:19" s="1" customFormat="1" ht="1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</row>
    <row r="683" spans="1:19" s="1" customFormat="1" ht="1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</row>
    <row r="684" spans="1:19" s="1" customFormat="1" ht="1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</row>
    <row r="685" spans="1:19" s="1" customFormat="1" ht="1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</row>
    <row r="686" spans="1:19" s="1" customFormat="1" ht="1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</row>
    <row r="687" spans="1:19" s="1" customFormat="1" ht="1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</row>
    <row r="688" spans="1:19" s="1" customFormat="1" ht="1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</row>
    <row r="689" spans="1:19" s="1" customFormat="1" ht="1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</row>
    <row r="690" spans="1:19" s="1" customFormat="1" ht="1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</row>
    <row r="691" spans="1:19" s="1" customFormat="1" ht="1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</row>
    <row r="692" spans="1:19" s="1" customFormat="1" ht="1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</row>
    <row r="693" spans="1:19" s="1" customFormat="1" ht="1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</row>
    <row r="694" spans="1:19" s="1" customFormat="1" ht="1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</row>
    <row r="695" spans="1:19" s="1" customFormat="1" ht="1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</row>
    <row r="696" spans="1:19" s="1" customFormat="1" ht="1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</row>
    <row r="697" spans="1:19" s="1" customFormat="1" ht="1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</row>
    <row r="698" spans="1:19" s="1" customFormat="1" ht="1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</row>
    <row r="699" spans="1:19" s="1" customFormat="1" ht="1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</row>
    <row r="700" spans="1:19" s="1" customFormat="1" ht="1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</row>
    <row r="701" spans="1:19" s="1" customFormat="1" ht="1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</row>
    <row r="702" spans="1:19" s="1" customFormat="1" ht="1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</row>
    <row r="703" spans="1:19" s="1" customFormat="1" ht="1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</row>
    <row r="704" spans="1:19" s="1" customFormat="1" ht="1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</row>
    <row r="705" spans="1:19" s="1" customFormat="1" ht="1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</row>
    <row r="706" spans="1:19" s="1" customFormat="1" ht="1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</row>
    <row r="707" spans="1:19" s="1" customFormat="1" ht="1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</row>
    <row r="708" spans="1:19" s="1" customFormat="1" ht="1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</row>
    <row r="709" spans="1:19" s="1" customFormat="1" ht="1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</row>
    <row r="710" spans="1:19" s="1" customFormat="1" ht="1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</row>
    <row r="711" spans="1:19" s="1" customFormat="1" ht="1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</row>
    <row r="712" spans="1:19" s="1" customFormat="1" ht="1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</row>
    <row r="713" spans="1:19" s="1" customFormat="1" ht="1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</row>
    <row r="714" spans="1:19" s="1" customFormat="1" ht="1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</row>
    <row r="715" spans="1:19" s="1" customFormat="1" ht="1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</row>
    <row r="716" spans="1:19" s="1" customFormat="1" ht="1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</row>
    <row r="717" spans="1:19" s="1" customFormat="1" ht="1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</row>
    <row r="718" spans="1:19" s="1" customFormat="1" ht="1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</row>
    <row r="719" spans="1:19" s="1" customFormat="1" ht="1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</row>
    <row r="720" spans="1:19" s="1" customFormat="1" ht="1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</row>
    <row r="721" spans="1:19" s="1" customFormat="1" ht="1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</row>
    <row r="722" spans="1:19" s="1" customFormat="1" ht="1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</row>
    <row r="723" spans="1:19" s="1" customFormat="1" ht="1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</row>
    <row r="724" spans="1:19" s="1" customFormat="1" ht="1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</row>
    <row r="725" spans="1:19" s="1" customFormat="1" ht="1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</row>
    <row r="726" spans="1:19" s="1" customFormat="1" ht="1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</row>
    <row r="727" spans="1:19" s="1" customFormat="1" ht="1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</row>
    <row r="728" spans="1:19" s="1" customFormat="1" ht="1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</row>
    <row r="729" spans="1:19" s="1" customFormat="1" ht="1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</row>
    <row r="730" spans="1:19" s="1" customFormat="1" ht="1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</row>
    <row r="731" spans="1:19" s="1" customFormat="1" ht="1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</row>
    <row r="732" spans="1:19" s="1" customFormat="1" ht="1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</row>
    <row r="733" spans="1:19" s="1" customFormat="1" ht="1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</row>
    <row r="734" spans="1:19" s="1" customFormat="1" ht="1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</row>
    <row r="735" spans="1:19" s="1" customFormat="1" ht="1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</row>
    <row r="736" spans="1:19" s="1" customFormat="1" ht="1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</row>
    <row r="737" spans="1:19" s="1" customFormat="1" ht="1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</row>
    <row r="738" spans="1:19" s="1" customFormat="1" ht="1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</row>
    <row r="739" spans="1:19" s="1" customFormat="1" ht="1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</row>
    <row r="740" spans="1:19" s="1" customFormat="1" ht="1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</row>
    <row r="741" spans="1:19" s="1" customFormat="1" ht="1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</row>
    <row r="742" spans="1:19" s="1" customFormat="1" ht="1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</row>
    <row r="743" spans="1:19" s="1" customFormat="1" ht="1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</row>
    <row r="744" spans="1:19" s="1" customFormat="1" ht="1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</row>
    <row r="745" spans="1:19" s="1" customFormat="1" ht="1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</row>
    <row r="746" spans="1:19" s="1" customFormat="1" ht="1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</row>
    <row r="747" spans="1:19" s="1" customFormat="1" ht="1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</row>
    <row r="748" spans="1:19" s="1" customFormat="1" ht="1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</row>
    <row r="749" spans="1:19" s="1" customFormat="1" ht="1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</row>
    <row r="750" spans="1:19" s="1" customFormat="1" ht="1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</row>
    <row r="751" spans="1:19" s="1" customFormat="1" ht="1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</row>
    <row r="752" spans="1:19" s="1" customFormat="1" ht="1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</row>
    <row r="753" spans="1:19" s="1" customFormat="1" ht="1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</row>
    <row r="754" spans="1:19" s="1" customFormat="1" ht="1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</row>
    <row r="755" spans="1:19" s="1" customFormat="1" ht="1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</row>
    <row r="756" spans="1:19" s="1" customFormat="1" ht="1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</row>
    <row r="757" spans="1:19" s="1" customFormat="1" ht="1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</row>
    <row r="758" spans="1:19" s="1" customFormat="1" ht="1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</row>
    <row r="759" spans="1:19" s="1" customFormat="1" ht="1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</row>
    <row r="760" spans="1:19" s="1" customFormat="1" ht="1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</row>
    <row r="761" spans="1:19" s="1" customFormat="1" ht="1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</row>
    <row r="762" spans="1:19" s="1" customFormat="1" ht="1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</row>
    <row r="763" spans="1:19" s="1" customFormat="1" ht="1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</row>
    <row r="764" spans="1:19" s="1" customFormat="1" ht="1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</row>
    <row r="765" spans="1:19" s="1" customFormat="1" ht="1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</row>
    <row r="766" spans="1:19" s="1" customFormat="1" ht="1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</row>
    <row r="767" spans="1:19" s="1" customFormat="1" ht="1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</row>
    <row r="768" spans="1:19" s="1" customFormat="1" ht="1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</row>
    <row r="769" spans="1:19" s="1" customFormat="1" ht="1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</row>
    <row r="770" spans="1:19" s="1" customFormat="1" ht="1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</row>
    <row r="771" spans="1:19" s="1" customFormat="1" ht="1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</row>
    <row r="772" spans="1:19" s="1" customFormat="1" ht="1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</row>
    <row r="773" spans="1:19" s="1" customFormat="1" ht="1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</row>
    <row r="774" spans="1:19" s="1" customFormat="1" ht="1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</row>
    <row r="775" spans="1:19" s="1" customFormat="1" ht="1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</row>
    <row r="776" spans="1:19" s="1" customFormat="1" ht="1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</row>
    <row r="777" spans="1:19" s="1" customFormat="1" ht="1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</row>
    <row r="778" spans="1:19" s="1" customFormat="1" ht="1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</row>
    <row r="779" spans="1:19" s="1" customFormat="1" ht="1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</row>
    <row r="780" spans="1:19" s="1" customFormat="1" ht="1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</row>
    <row r="781" spans="1:19" s="1" customFormat="1" ht="1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</row>
    <row r="782" spans="1:19" s="1" customFormat="1" ht="1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</row>
    <row r="783" spans="1:19" s="1" customFormat="1" ht="1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</row>
    <row r="784" spans="1:19" s="1" customFormat="1" ht="1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</row>
    <row r="785" spans="1:19" s="1" customFormat="1" ht="1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</row>
    <row r="786" spans="1:19" s="1" customFormat="1" ht="1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</row>
    <row r="787" spans="1:19" s="1" customFormat="1" ht="1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</row>
    <row r="788" spans="1:19" s="1" customFormat="1" ht="1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</row>
    <row r="789" spans="1:19" s="1" customFormat="1" ht="1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</row>
    <row r="790" spans="1:19" s="1" customFormat="1" ht="1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</row>
    <row r="791" spans="1:19" s="1" customFormat="1" ht="1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</row>
    <row r="792" spans="1:19" s="1" customFormat="1" ht="1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</row>
    <row r="793" spans="1:19" s="1" customFormat="1" ht="1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</row>
    <row r="794" spans="1:19" s="1" customFormat="1" ht="1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</row>
    <row r="795" spans="1:19" s="1" customFormat="1" ht="1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</row>
    <row r="796" spans="1:19" s="1" customFormat="1" ht="1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</row>
    <row r="797" spans="1:19" s="1" customFormat="1" ht="1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</row>
    <row r="798" spans="1:19" s="1" customFormat="1" ht="1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</row>
    <row r="799" spans="1:19" s="1" customFormat="1" ht="1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</row>
    <row r="800" spans="1:19" s="1" customFormat="1" ht="1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</row>
    <row r="801" spans="1:19" s="1" customFormat="1" ht="1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</row>
    <row r="802" spans="1:19" s="1" customFormat="1" ht="1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</row>
    <row r="803" spans="1:19" s="1" customFormat="1" ht="1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</row>
    <row r="804" spans="1:19" s="1" customFormat="1" ht="1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</row>
    <row r="805" spans="1:19" s="1" customFormat="1" ht="1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</row>
    <row r="806" spans="1:19" s="1" customFormat="1" ht="1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</row>
    <row r="807" spans="1:19" s="1" customFormat="1" ht="1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</row>
    <row r="808" spans="1:19" s="1" customFormat="1" ht="1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</row>
    <row r="809" spans="1:19" s="1" customFormat="1" ht="1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</row>
    <row r="810" spans="1:19" s="1" customFormat="1" ht="1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</row>
    <row r="811" spans="1:19" s="1" customFormat="1" ht="1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</row>
    <row r="812" spans="1:19" s="1" customFormat="1" ht="1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</row>
    <row r="813" spans="1:19" s="1" customFormat="1" ht="1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</row>
    <row r="814" spans="1:19" s="1" customFormat="1" ht="1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</row>
    <row r="815" spans="1:19" s="1" customFormat="1" ht="1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</row>
    <row r="816" spans="1:19" s="1" customFormat="1" ht="1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</row>
    <row r="817" spans="1:19" s="1" customFormat="1" ht="1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</row>
    <row r="818" spans="1:19" s="1" customFormat="1" ht="1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</row>
    <row r="819" spans="1:19" s="1" customFormat="1" ht="1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</row>
    <row r="820" spans="1:19" s="1" customFormat="1" ht="1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</row>
    <row r="821" spans="1:19" s="1" customFormat="1" ht="1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</row>
    <row r="822" spans="1:19" s="1" customFormat="1" ht="1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</row>
    <row r="823" spans="1:19" s="1" customFormat="1" ht="1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</row>
    <row r="824" spans="1:19" s="1" customFormat="1" ht="1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</row>
    <row r="825" spans="1:19" s="1" customFormat="1" ht="1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</row>
    <row r="826" spans="1:19" s="1" customFormat="1" ht="1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</row>
    <row r="827" spans="1:19" s="1" customFormat="1" ht="1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</row>
    <row r="828" spans="1:19" s="1" customFormat="1" ht="1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</row>
    <row r="829" spans="1:19" s="1" customFormat="1" ht="1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</row>
    <row r="830" spans="1:19" s="1" customFormat="1" ht="1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</row>
    <row r="831" spans="1:19" s="1" customFormat="1" ht="1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</row>
    <row r="832" spans="1:19" s="1" customFormat="1" ht="1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</row>
    <row r="833" spans="1:19" s="1" customFormat="1" ht="1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</row>
    <row r="834" spans="1:19" s="1" customFormat="1" ht="1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</row>
    <row r="835" spans="1:19" s="1" customFormat="1" ht="1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</row>
    <row r="836" spans="1:19" s="1" customFormat="1" ht="1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</row>
    <row r="837" spans="1:19" s="1" customFormat="1" ht="1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</row>
    <row r="838" spans="1:19" s="1" customFormat="1" ht="1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</row>
    <row r="839" spans="1:19" s="1" customFormat="1" ht="1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</row>
    <row r="840" spans="1:19" s="1" customFormat="1" ht="1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</row>
    <row r="841" spans="1:19" s="1" customFormat="1" ht="1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</row>
    <row r="842" spans="1:19" s="1" customFormat="1" ht="1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</row>
    <row r="843" spans="1:19" s="1" customFormat="1" ht="1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</row>
    <row r="844" spans="1:19" s="1" customFormat="1" ht="1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</row>
    <row r="845" spans="1:19" s="1" customFormat="1" ht="1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</row>
    <row r="846" spans="1:19" s="1" customFormat="1" ht="1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</row>
    <row r="847" spans="1:19" s="1" customFormat="1" ht="1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</row>
    <row r="848" spans="1:19" s="1" customFormat="1" ht="1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</row>
    <row r="849" spans="1:19" s="1" customFormat="1" ht="1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</row>
    <row r="850" spans="1:19" s="1" customFormat="1" ht="1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</row>
    <row r="851" spans="1:19" s="1" customFormat="1" ht="1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</row>
    <row r="852" spans="1:19" s="1" customFormat="1" ht="1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</row>
    <row r="853" spans="1:19" s="1" customFormat="1" ht="1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</row>
    <row r="854" spans="1:19" s="1" customFormat="1" ht="1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</row>
    <row r="855" spans="1:19" s="1" customFormat="1" ht="1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</row>
    <row r="856" spans="1:19" s="1" customFormat="1" ht="1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</row>
    <row r="857" spans="1:19" s="1" customFormat="1" ht="1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</row>
    <row r="858" spans="1:19" s="1" customFormat="1" ht="1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</row>
    <row r="859" spans="1:19" s="1" customFormat="1" ht="1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</row>
    <row r="860" spans="1:19" s="1" customFormat="1" ht="1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</row>
    <row r="861" spans="1:19" s="1" customFormat="1" ht="1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</row>
    <row r="862" spans="1:19" s="1" customFormat="1" ht="1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</row>
    <row r="863" spans="1:19" s="1" customFormat="1" ht="1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</row>
    <row r="864" spans="1:19" s="1" customFormat="1" ht="1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</row>
    <row r="865" spans="1:19" s="1" customFormat="1" ht="1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</row>
    <row r="866" spans="1:19" s="1" customFormat="1" ht="1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</row>
    <row r="867" spans="1:19" s="1" customFormat="1" ht="1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</row>
    <row r="868" spans="1:19" s="1" customFormat="1" ht="1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</row>
    <row r="869" spans="1:19" s="1" customFormat="1" ht="1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</row>
    <row r="870" spans="1:19" s="1" customFormat="1" ht="1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</row>
    <row r="871" spans="1:19" s="1" customFormat="1" ht="1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</row>
    <row r="872" spans="1:19" s="1" customFormat="1" ht="1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</row>
    <row r="873" spans="1:19" s="1" customFormat="1" ht="1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</row>
    <row r="874" spans="1:19" s="1" customFormat="1" ht="1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</row>
    <row r="875" spans="1:19" s="1" customFormat="1" ht="1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</row>
    <row r="876" spans="1:19" s="1" customFormat="1" ht="1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</row>
    <row r="877" spans="1:19" s="1" customFormat="1" ht="1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</row>
    <row r="878" spans="1:19" s="1" customFormat="1" ht="1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</row>
    <row r="879" spans="1:19" s="1" customFormat="1" ht="1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</row>
    <row r="880" spans="1:19" s="1" customFormat="1" ht="1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</row>
    <row r="881" spans="1:19" s="1" customFormat="1" ht="1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</row>
    <row r="882" spans="1:19" s="1" customFormat="1" ht="1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</row>
    <row r="883" spans="1:19" s="1" customFormat="1" ht="1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</row>
    <row r="884" spans="1:19" s="1" customFormat="1" ht="1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</row>
    <row r="885" spans="1:19" s="1" customFormat="1" ht="1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</row>
    <row r="886" spans="1:19" s="1" customFormat="1" ht="1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</row>
    <row r="887" spans="1:19" s="1" customFormat="1" ht="1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</row>
    <row r="888" spans="1:19" s="1" customFormat="1" ht="1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</row>
    <row r="889" spans="1:19" s="1" customFormat="1" ht="1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</row>
    <row r="890" spans="1:19" s="1" customFormat="1" ht="1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</row>
    <row r="891" spans="1:19" s="1" customFormat="1" ht="1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</row>
    <row r="892" spans="1:19" s="1" customFormat="1" ht="1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</row>
    <row r="893" spans="1:19" s="1" customFormat="1" ht="1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</row>
    <row r="894" spans="1:19" s="1" customFormat="1" ht="1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</row>
    <row r="895" spans="1:19" s="1" customFormat="1" ht="1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</row>
    <row r="896" spans="1:19" s="1" customFormat="1" ht="1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</row>
    <row r="897" spans="1:19" s="1" customFormat="1" ht="1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</row>
    <row r="898" spans="1:19" s="1" customFormat="1" ht="1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</row>
    <row r="899" spans="1:19" s="1" customFormat="1" ht="1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</row>
    <row r="900" spans="1:19" s="1" customFormat="1" ht="1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</row>
    <row r="901" spans="1:19" s="1" customFormat="1" ht="1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</row>
    <row r="902" spans="1:19" s="1" customFormat="1" ht="1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</row>
    <row r="903" spans="1:19" s="1" customFormat="1" ht="1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</row>
    <row r="904" spans="1:19" s="1" customFormat="1" ht="1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</row>
    <row r="905" spans="1:19" s="1" customFormat="1" ht="1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</row>
    <row r="906" spans="1:19" s="1" customFormat="1" ht="1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</row>
    <row r="907" spans="1:19" s="1" customFormat="1" ht="1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</row>
    <row r="908" spans="1:19" s="1" customFormat="1" ht="1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</row>
    <row r="909" spans="1:19" s="1" customFormat="1" ht="1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</row>
    <row r="910" spans="1:19" s="1" customFormat="1" ht="1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</row>
    <row r="911" spans="1:19" s="1" customFormat="1" ht="1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</row>
    <row r="912" spans="1:19" s="1" customFormat="1" ht="1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</row>
    <row r="913" spans="1:19" s="1" customFormat="1" ht="1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</row>
    <row r="914" spans="1:19" s="1" customFormat="1" ht="1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</row>
    <row r="915" spans="1:19" s="1" customFormat="1" ht="1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</row>
    <row r="916" spans="1:19" s="1" customFormat="1" ht="1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</row>
    <row r="917" spans="1:19" s="1" customFormat="1" ht="1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</row>
    <row r="918" spans="1:19" s="1" customFormat="1" ht="1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</row>
    <row r="919" spans="1:19" s="1" customFormat="1" ht="1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</row>
    <row r="920" spans="1:19" s="1" customFormat="1" ht="1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</row>
    <row r="921" spans="1:19" s="1" customFormat="1" ht="1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</row>
    <row r="922" spans="1:19" s="1" customFormat="1" ht="1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</row>
    <row r="923" spans="1:19" s="1" customFormat="1" ht="1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</row>
    <row r="924" spans="1:19" s="1" customFormat="1" ht="1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</row>
    <row r="925" spans="1:19" s="1" customFormat="1" ht="1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</row>
    <row r="926" spans="1:19" s="1" customFormat="1" ht="1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</row>
    <row r="927" spans="1:19" s="1" customFormat="1" ht="1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</row>
    <row r="928" spans="1:19" s="1" customFormat="1" ht="1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</row>
    <row r="929" spans="1:19" s="1" customFormat="1" ht="1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</row>
    <row r="930" spans="1:19" s="1" customFormat="1" ht="1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</row>
    <row r="931" spans="1:19" s="1" customFormat="1" ht="1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</row>
    <row r="932" spans="1:19" s="1" customFormat="1" ht="1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</row>
    <row r="933" spans="1:19" s="1" customFormat="1" ht="1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</row>
    <row r="934" spans="1:19" s="1" customFormat="1" ht="1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</row>
    <row r="935" spans="1:19" s="1" customFormat="1" ht="1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</row>
    <row r="936" spans="1:19" s="1" customFormat="1" ht="1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</row>
    <row r="937" spans="1:19" s="1" customFormat="1" ht="1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</row>
    <row r="938" spans="1:19" s="1" customFormat="1" ht="1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</row>
    <row r="939" spans="1:19" s="1" customFormat="1" ht="1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</row>
    <row r="940" spans="1:19" s="1" customFormat="1" ht="1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</row>
    <row r="941" spans="1:19" s="1" customFormat="1" ht="1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</row>
    <row r="942" spans="1:19" s="1" customFormat="1" ht="1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</row>
    <row r="943" spans="1:19" s="1" customFormat="1" ht="1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</row>
    <row r="944" spans="1:19" s="1" customFormat="1" ht="1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</row>
    <row r="945" spans="1:19" s="1" customFormat="1" ht="1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</row>
    <row r="946" spans="1:19" s="1" customFormat="1" ht="1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</row>
    <row r="947" spans="1:19" s="1" customFormat="1" ht="1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</row>
    <row r="948" spans="1:19" s="1" customFormat="1" ht="1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</row>
    <row r="949" spans="1:19" s="1" customFormat="1" ht="1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</row>
    <row r="950" spans="1:19" s="1" customFormat="1" ht="1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</row>
    <row r="951" spans="1:19" s="1" customFormat="1" ht="1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</row>
    <row r="952" spans="1:19" s="1" customFormat="1" ht="1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</row>
    <row r="953" spans="1:19" s="1" customFormat="1" ht="1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</row>
    <row r="954" spans="1:19" s="1" customFormat="1" ht="1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</row>
    <row r="955" spans="1:19" s="1" customFormat="1" ht="1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</row>
    <row r="956" spans="1:19" s="1" customFormat="1" ht="1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</row>
    <row r="957" spans="1:19" s="1" customFormat="1" ht="1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</row>
    <row r="958" spans="1:19" s="1" customFormat="1" ht="1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</row>
    <row r="959" spans="1:19" s="1" customFormat="1" ht="1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</row>
    <row r="960" spans="1:19" s="1" customFormat="1" ht="1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</row>
    <row r="961" spans="1:19" s="1" customFormat="1" ht="1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</row>
    <row r="962" spans="1:19" s="1" customFormat="1" ht="1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</row>
    <row r="963" spans="1:19" s="1" customFormat="1" ht="1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</row>
    <row r="964" spans="1:19" s="1" customFormat="1" ht="1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</row>
    <row r="965" spans="1:19" s="1" customFormat="1" ht="1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</row>
    <row r="966" spans="1:19" s="1" customFormat="1" ht="1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</row>
    <row r="967" spans="1:19" s="1" customFormat="1" ht="1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</row>
    <row r="968" spans="1:19" s="1" customFormat="1" ht="1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</row>
    <row r="969" spans="1:19" s="1" customFormat="1" ht="1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</row>
    <row r="970" spans="1:19" s="1" customFormat="1" ht="1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</row>
    <row r="971" spans="1:19" s="1" customFormat="1" ht="1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</row>
    <row r="972" spans="1:19" s="1" customFormat="1" ht="1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</row>
    <row r="973" spans="1:19" s="1" customFormat="1" ht="1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</row>
    <row r="974" spans="1:19" s="1" customFormat="1" ht="1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</row>
    <row r="975" spans="1:19" s="1" customFormat="1" ht="1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</row>
    <row r="976" spans="1:19" s="1" customFormat="1" ht="1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</row>
    <row r="977" spans="1:19" s="1" customFormat="1" ht="1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</row>
    <row r="978" spans="1:19" s="1" customFormat="1" ht="1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</row>
    <row r="979" spans="1:19" s="1" customFormat="1" ht="1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</row>
    <row r="980" spans="1:19" s="1" customFormat="1" ht="1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</row>
    <row r="981" spans="1:19" s="1" customFormat="1" ht="1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</row>
    <row r="982" spans="1:19" s="1" customFormat="1" ht="1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</row>
    <row r="983" spans="1:19" s="1" customFormat="1" ht="1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</row>
    <row r="984" spans="1:19" s="1" customFormat="1" ht="1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</row>
    <row r="985" spans="1:19" s="1" customFormat="1" ht="1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</row>
    <row r="986" spans="1:19" s="1" customFormat="1" ht="1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</row>
    <row r="987" spans="1:19" s="1" customFormat="1" ht="1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</row>
    <row r="988" spans="1:19" s="1" customFormat="1" ht="1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</row>
    <row r="989" spans="1:19" s="1" customFormat="1" ht="1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</row>
    <row r="990" spans="1:19" s="1" customFormat="1" ht="1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</row>
    <row r="991" spans="1:19" s="1" customFormat="1" ht="1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</row>
    <row r="992" spans="1:19" s="1" customFormat="1" ht="1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</row>
    <row r="993" spans="1:19" s="1" customFormat="1" ht="1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</row>
    <row r="994" spans="1:19" s="1" customFormat="1" ht="1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</row>
    <row r="995" spans="1:19" s="1" customFormat="1" ht="1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</row>
    <row r="996" spans="1:19" s="1" customFormat="1" ht="1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</row>
    <row r="997" spans="1:19" s="1" customFormat="1" ht="1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</row>
    <row r="998" spans="1:19" s="1" customFormat="1" ht="1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</row>
    <row r="999" spans="1:19" s="1" customFormat="1" ht="1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</row>
    <row r="1000" spans="1:19" s="1" customFormat="1" ht="1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</row>
    <row r="1001" spans="1:19" s="1" customFormat="1" ht="15" customHeight="1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</row>
    <row r="1002" spans="1:19" s="1" customFormat="1" ht="15" customHeight="1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</row>
    <row r="1003" spans="1:19" s="1" customFormat="1" ht="15" customHeight="1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</row>
    <row r="1004" spans="1:19" s="1" customFormat="1" ht="15" customHeight="1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</row>
    <row r="1005" spans="1:19" s="1" customFormat="1" ht="15" customHeight="1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</row>
    <row r="1006" spans="1:19" s="1" customFormat="1" ht="15" customHeight="1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</row>
    <row r="1007" spans="1:19" s="1" customFormat="1" ht="15" customHeight="1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</row>
    <row r="1008" spans="1:19" s="1" customFormat="1" ht="15" customHeight="1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</row>
    <row r="1009" spans="1:19" s="1" customFormat="1" ht="15" customHeight="1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</row>
    <row r="1010" spans="1:19" s="1" customFormat="1" ht="15" customHeight="1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</row>
    <row r="1011" spans="1:19" s="1" customFormat="1" ht="15" customHeight="1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</row>
    <row r="1012" spans="1:19" s="1" customFormat="1" ht="15" customHeight="1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</row>
    <row r="1013" spans="1:19" s="1" customFormat="1" ht="15" customHeight="1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</row>
    <row r="1014" spans="1:19" s="1" customFormat="1" ht="15" customHeight="1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</row>
    <row r="1015" spans="1:19" s="1" customFormat="1" ht="15" customHeight="1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</row>
    <row r="1016" spans="1:19" s="1" customFormat="1" ht="15" customHeight="1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</row>
    <row r="1017" spans="1:19" s="1" customFormat="1" ht="15" customHeight="1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</row>
    <row r="1018" spans="1:19" s="1" customFormat="1" ht="15" customHeight="1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</row>
    <row r="1019" spans="1:19" s="1" customFormat="1" ht="15" customHeight="1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</row>
    <row r="1020" spans="1:19" s="1" customFormat="1" ht="15" customHeight="1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</row>
    <row r="1021" spans="1:19" s="1" customFormat="1" ht="15" customHeight="1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</row>
    <row r="1022" spans="1:19" s="1" customFormat="1" ht="15" customHeight="1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</row>
    <row r="1023" spans="1:19" s="1" customFormat="1" ht="15" customHeight="1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</row>
    <row r="1024" spans="1:19" s="1" customFormat="1" ht="15" customHeight="1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</row>
    <row r="1025" spans="1:19" s="1" customFormat="1" ht="15" customHeight="1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</row>
    <row r="1026" spans="1:19" s="1" customFormat="1" ht="15" customHeight="1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</row>
    <row r="1027" spans="1:19" s="1" customFormat="1" ht="15" customHeight="1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</row>
    <row r="1028" spans="1:19" s="1" customFormat="1" ht="15" customHeight="1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</row>
    <row r="1029" spans="1:19" s="1" customFormat="1" ht="15" customHeight="1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</row>
    <row r="1030" spans="1:19" s="1" customFormat="1" ht="15" customHeight="1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</row>
    <row r="1031" spans="1:19" s="1" customFormat="1" ht="15" customHeight="1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</row>
    <row r="1032" spans="1:19" s="1" customFormat="1" ht="15" customHeight="1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</row>
    <row r="1033" spans="1:19" s="1" customFormat="1" ht="15" customHeight="1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</row>
    <row r="1034" spans="1:19" s="1" customFormat="1" ht="15" customHeight="1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</row>
    <row r="1035" spans="1:19" s="1" customFormat="1" ht="15" customHeight="1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</row>
    <row r="1036" spans="1:19" s="1" customFormat="1" ht="15" customHeight="1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</row>
    <row r="1037" spans="1:19" s="1" customFormat="1" ht="15" customHeight="1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</row>
    <row r="1038" spans="1:19" s="1" customFormat="1" ht="15" customHeight="1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</row>
    <row r="1039" spans="1:19" s="1" customFormat="1" ht="15" customHeight="1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</row>
    <row r="1040" spans="1:19" s="1" customFormat="1" ht="15" customHeight="1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</row>
    <row r="1041" spans="1:19" s="1" customFormat="1" ht="15" customHeight="1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</row>
    <row r="1042" spans="1:19" s="1" customFormat="1" ht="15" customHeight="1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</row>
    <row r="1043" spans="1:19" s="1" customFormat="1" ht="15" customHeight="1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</row>
    <row r="1044" spans="1:19" s="1" customFormat="1" ht="15" customHeight="1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</row>
    <row r="1045" spans="1:19" s="1" customFormat="1" ht="15" customHeight="1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</row>
    <row r="1046" spans="1:19" s="1" customFormat="1" ht="15" customHeight="1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</row>
    <row r="1047" spans="1:19" s="1" customFormat="1" ht="15" customHeight="1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</row>
    <row r="1048" spans="1:19" s="1" customFormat="1" ht="15" customHeight="1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</row>
    <row r="1049" spans="1:19" s="1" customFormat="1" ht="15" customHeight="1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</row>
    <row r="1050" spans="1:19" s="1" customFormat="1" ht="15" customHeight="1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</row>
    <row r="1051" spans="1:19" s="1" customFormat="1" ht="15" customHeight="1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</row>
    <row r="1052" spans="1:19" s="1" customFormat="1" ht="15" customHeight="1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</row>
    <row r="1053" spans="1:19" s="1" customFormat="1" ht="15" customHeight="1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</row>
    <row r="1054" spans="1:19" s="1" customFormat="1" ht="15" customHeight="1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</row>
    <row r="1055" spans="1:19" s="1" customFormat="1" ht="15" customHeight="1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</row>
    <row r="1056" spans="1:19" s="1" customFormat="1" ht="15" customHeight="1">
      <c r="A1056" s="35"/>
      <c r="B1056" s="35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</row>
    <row r="1057" spans="1:19" s="1" customFormat="1" ht="15" customHeight="1">
      <c r="A1057" s="35"/>
      <c r="B1057" s="35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</row>
    <row r="1058" spans="1:19" s="1" customFormat="1" ht="15" customHeight="1">
      <c r="A1058" s="35"/>
      <c r="B1058" s="35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</row>
    <row r="1059" spans="1:19" s="1" customFormat="1" ht="15" customHeight="1">
      <c r="A1059" s="35"/>
      <c r="B1059" s="35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</row>
    <row r="1060" spans="1:19" s="1" customFormat="1" ht="15" customHeight="1">
      <c r="A1060" s="35"/>
      <c r="B1060" s="35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</row>
    <row r="1061" spans="1:19" s="1" customFormat="1" ht="15" customHeight="1">
      <c r="A1061" s="35"/>
      <c r="B1061" s="35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</row>
    <row r="1062" spans="1:19" s="1" customFormat="1" ht="15" customHeight="1">
      <c r="A1062" s="35"/>
      <c r="B1062" s="35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</row>
    <row r="1063" spans="1:19" s="1" customFormat="1" ht="15" customHeight="1">
      <c r="A1063" s="35"/>
      <c r="B1063" s="35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</row>
    <row r="1064" spans="1:19" s="1" customFormat="1" ht="15" customHeight="1">
      <c r="A1064" s="35"/>
      <c r="B1064" s="35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</row>
    <row r="1065" spans="1:19" s="1" customFormat="1" ht="15" customHeight="1">
      <c r="A1065" s="35"/>
      <c r="B1065" s="35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</row>
    <row r="1066" spans="1:19" s="1" customFormat="1" ht="15" customHeight="1">
      <c r="A1066" s="35"/>
      <c r="B1066" s="35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</row>
    <row r="1067" spans="1:19" s="1" customFormat="1" ht="15" customHeight="1">
      <c r="A1067" s="35"/>
      <c r="B1067" s="35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</row>
    <row r="1068" spans="1:19" s="1" customFormat="1" ht="15" customHeight="1">
      <c r="A1068" s="35"/>
      <c r="B1068" s="35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</row>
    <row r="1069" spans="1:19" s="1" customFormat="1" ht="15" customHeight="1">
      <c r="A1069" s="35"/>
      <c r="B1069" s="35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</row>
    <row r="1070" spans="1:19" s="1" customFormat="1" ht="15" customHeight="1">
      <c r="A1070" s="35"/>
      <c r="B1070" s="35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</row>
    <row r="1071" spans="1:19" s="1" customFormat="1" ht="15" customHeight="1">
      <c r="A1071" s="35"/>
      <c r="B1071" s="35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</row>
    <row r="1072" spans="1:19" s="1" customFormat="1" ht="15" customHeight="1">
      <c r="A1072" s="35"/>
      <c r="B1072" s="35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</row>
    <row r="1073" spans="1:19" s="1" customFormat="1" ht="15" customHeight="1">
      <c r="A1073" s="35"/>
      <c r="B1073" s="35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</row>
    <row r="1074" spans="1:19" s="1" customFormat="1" ht="15" customHeight="1">
      <c r="A1074" s="35"/>
      <c r="B1074" s="35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</row>
    <row r="1075" spans="1:19" s="1" customFormat="1" ht="15" customHeight="1">
      <c r="A1075" s="35"/>
      <c r="B1075" s="35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</row>
    <row r="1076" spans="1:19" s="1" customFormat="1" ht="15" customHeight="1">
      <c r="A1076" s="35"/>
      <c r="B1076" s="35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</row>
    <row r="1077" spans="1:19" s="1" customFormat="1" ht="15" customHeight="1">
      <c r="A1077" s="35"/>
      <c r="B1077" s="35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</row>
    <row r="1078" spans="1:19" s="1" customFormat="1" ht="15" customHeight="1">
      <c r="A1078" s="35"/>
      <c r="B1078" s="35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</row>
    <row r="1079" spans="1:19" s="1" customFormat="1" ht="15" customHeight="1">
      <c r="A1079" s="35"/>
      <c r="B1079" s="35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</row>
    <row r="1080" spans="1:19" s="1" customFormat="1" ht="15" customHeight="1">
      <c r="A1080" s="35"/>
      <c r="B1080" s="35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</row>
    <row r="1081" spans="1:19" s="1" customFormat="1" ht="15" customHeight="1">
      <c r="A1081" s="35"/>
      <c r="B1081" s="35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</row>
    <row r="1082" spans="1:19" s="1" customFormat="1" ht="15" customHeight="1">
      <c r="A1082" s="35"/>
      <c r="B1082" s="35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</row>
    <row r="1083" spans="1:19" s="1" customFormat="1" ht="15" customHeight="1">
      <c r="A1083" s="35"/>
      <c r="B1083" s="35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</row>
    <row r="1084" spans="1:19" s="1" customFormat="1" ht="15" customHeight="1">
      <c r="A1084" s="35"/>
      <c r="B1084" s="35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</row>
    <row r="1085" spans="1:19" s="1" customFormat="1" ht="15" customHeight="1">
      <c r="A1085" s="35"/>
      <c r="B1085" s="35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</row>
    <row r="1086" spans="1:19" s="1" customFormat="1" ht="15" customHeight="1">
      <c r="A1086" s="35"/>
      <c r="B1086" s="35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</row>
    <row r="1087" spans="1:19" s="1" customFormat="1" ht="15" customHeight="1">
      <c r="A1087" s="35"/>
      <c r="B1087" s="35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</row>
    <row r="1088" spans="1:19" s="1" customFormat="1" ht="15" customHeight="1">
      <c r="A1088" s="35"/>
      <c r="B1088" s="35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</row>
    <row r="1089" spans="1:19" s="1" customFormat="1" ht="15" customHeight="1">
      <c r="A1089" s="35"/>
      <c r="B1089" s="35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</row>
    <row r="1090" spans="1:19" s="1" customFormat="1" ht="15" customHeight="1">
      <c r="A1090" s="35"/>
      <c r="B1090" s="35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</row>
    <row r="1091" spans="1:19" s="1" customFormat="1" ht="15" customHeight="1">
      <c r="A1091" s="35"/>
      <c r="B1091" s="35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</row>
    <row r="1092" spans="1:19" s="1" customFormat="1" ht="15" customHeight="1">
      <c r="A1092" s="35"/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</row>
    <row r="1093" spans="1:19" s="1" customFormat="1" ht="15" customHeight="1">
      <c r="A1093" s="35"/>
      <c r="B1093" s="35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</row>
    <row r="1094" spans="1:19" s="1" customFormat="1" ht="15" customHeight="1">
      <c r="A1094" s="35"/>
      <c r="B1094" s="35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</row>
    <row r="1095" spans="1:19" s="1" customFormat="1" ht="15" customHeight="1">
      <c r="A1095" s="35"/>
      <c r="B1095" s="35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</row>
    <row r="1096" spans="1:19" s="1" customFormat="1" ht="15" customHeight="1">
      <c r="A1096" s="35"/>
      <c r="B1096" s="35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</row>
    <row r="1097" spans="1:19" s="1" customFormat="1" ht="15" customHeight="1">
      <c r="A1097" s="35"/>
      <c r="B1097" s="35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</row>
    <row r="1098" spans="1:19" s="1" customFormat="1" ht="15" customHeight="1">
      <c r="A1098" s="35"/>
      <c r="B1098" s="35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</row>
    <row r="1099" spans="1:19" s="1" customFormat="1" ht="15" customHeight="1">
      <c r="A1099" s="35"/>
      <c r="B1099" s="35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</row>
    <row r="1100" spans="1:19" s="1" customFormat="1" ht="15" customHeight="1">
      <c r="A1100" s="35"/>
      <c r="B1100" s="35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</row>
    <row r="1101" spans="1:19" s="1" customFormat="1" ht="15" customHeight="1">
      <c r="A1101" s="35"/>
      <c r="B1101" s="35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</row>
    <row r="1102" spans="1:19" s="1" customFormat="1" ht="15" customHeight="1">
      <c r="A1102" s="35"/>
      <c r="B1102" s="35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</row>
    <row r="1103" spans="1:19" s="1" customFormat="1" ht="15" customHeight="1">
      <c r="A1103" s="35"/>
      <c r="B1103" s="35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</row>
    <row r="1104" spans="1:19" s="1" customFormat="1" ht="15" customHeight="1">
      <c r="A1104" s="35"/>
      <c r="B1104" s="35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</row>
    <row r="1105" spans="1:19" s="1" customFormat="1" ht="15" customHeight="1">
      <c r="A1105" s="35"/>
      <c r="B1105" s="35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</row>
    <row r="1106" spans="1:19" s="1" customFormat="1" ht="15" customHeight="1">
      <c r="A1106" s="35"/>
      <c r="B1106" s="35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</row>
    <row r="1107" spans="1:19" s="1" customFormat="1" ht="15" customHeight="1">
      <c r="A1107" s="35"/>
      <c r="B1107" s="35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</row>
    <row r="1108" spans="1:19" s="1" customFormat="1" ht="15" customHeight="1">
      <c r="A1108" s="35"/>
      <c r="B1108" s="35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</row>
    <row r="1109" spans="1:19" s="1" customFormat="1" ht="15" customHeight="1">
      <c r="A1109" s="35"/>
      <c r="B1109" s="35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</row>
    <row r="1110" spans="1:19" s="1" customFormat="1" ht="15" customHeight="1">
      <c r="A1110" s="35"/>
      <c r="B1110" s="35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</row>
    <row r="1111" spans="1:19" s="1" customFormat="1" ht="15" customHeight="1">
      <c r="A1111" s="35"/>
      <c r="B1111" s="35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</row>
    <row r="1112" spans="1:19" s="1" customFormat="1" ht="15" customHeight="1">
      <c r="A1112" s="35"/>
      <c r="B1112" s="35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</row>
    <row r="1113" spans="1:19" s="1" customFormat="1" ht="15" customHeight="1">
      <c r="A1113" s="35"/>
      <c r="B1113" s="35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</row>
    <row r="1114" spans="1:19" s="1" customFormat="1" ht="15" customHeight="1">
      <c r="A1114" s="35"/>
      <c r="B1114" s="35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</row>
    <row r="1115" spans="1:19" s="1" customFormat="1" ht="15" customHeight="1">
      <c r="A1115" s="35"/>
      <c r="B1115" s="35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</row>
    <row r="1116" spans="1:19" s="1" customFormat="1" ht="15" customHeight="1">
      <c r="A1116" s="35"/>
      <c r="B1116" s="35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</row>
    <row r="1117" spans="1:19" s="1" customFormat="1" ht="15" customHeight="1">
      <c r="A1117" s="35"/>
      <c r="B1117" s="35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</row>
    <row r="1118" spans="1:19" s="1" customFormat="1" ht="15" customHeight="1">
      <c r="A1118" s="35"/>
      <c r="B1118" s="35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</row>
    <row r="1119" spans="1:19" s="1" customFormat="1" ht="15" customHeight="1">
      <c r="A1119" s="35"/>
      <c r="B1119" s="35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</row>
    <row r="1120" spans="1:19" s="1" customFormat="1" ht="15" customHeight="1">
      <c r="A1120" s="35"/>
      <c r="B1120" s="35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</row>
    <row r="1121" spans="1:19" s="1" customFormat="1" ht="15" customHeight="1">
      <c r="A1121" s="35"/>
      <c r="B1121" s="35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</row>
    <row r="1122" spans="1:19" s="1" customFormat="1" ht="15" customHeight="1">
      <c r="A1122" s="35"/>
      <c r="B1122" s="35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</row>
    <row r="1123" spans="1:19" s="1" customFormat="1" ht="15" customHeight="1">
      <c r="A1123" s="35"/>
      <c r="B1123" s="35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</row>
    <row r="1124" spans="1:19" s="1" customFormat="1" ht="15" customHeight="1">
      <c r="A1124" s="35"/>
      <c r="B1124" s="35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</row>
    <row r="1125" spans="1:19" s="1" customFormat="1" ht="15" customHeight="1">
      <c r="A1125" s="35"/>
      <c r="B1125" s="35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</row>
    <row r="1126" spans="1:19" s="1" customFormat="1" ht="15" customHeight="1">
      <c r="A1126" s="35"/>
      <c r="B1126" s="35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</row>
    <row r="1127" spans="1:19" s="1" customFormat="1" ht="15" customHeight="1">
      <c r="A1127" s="35"/>
      <c r="B1127" s="35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</row>
    <row r="1128" spans="1:19" s="1" customFormat="1" ht="15" customHeight="1">
      <c r="A1128" s="35"/>
      <c r="B1128" s="35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</row>
    <row r="1129" spans="1:19" s="1" customFormat="1" ht="15" customHeight="1">
      <c r="A1129" s="35"/>
      <c r="B1129" s="35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</row>
    <row r="1130" spans="1:19" s="1" customFormat="1" ht="15" customHeight="1">
      <c r="A1130" s="35"/>
      <c r="B1130" s="35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</row>
    <row r="1131" spans="1:19" s="1" customFormat="1" ht="15" customHeight="1">
      <c r="A1131" s="35"/>
      <c r="B1131" s="35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</row>
    <row r="1132" spans="1:19" s="1" customFormat="1" ht="15" customHeight="1">
      <c r="A1132" s="35"/>
      <c r="B1132" s="35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</row>
    <row r="1133" spans="1:19" s="1" customFormat="1" ht="15" customHeight="1">
      <c r="A1133" s="35"/>
      <c r="B1133" s="35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</row>
    <row r="1134" spans="1:19" s="1" customFormat="1" ht="15" customHeight="1">
      <c r="A1134" s="35"/>
      <c r="B1134" s="35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</row>
    <row r="1135" spans="1:19" s="1" customFormat="1" ht="15" customHeight="1">
      <c r="A1135" s="35"/>
      <c r="B1135" s="35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</row>
    <row r="1136" spans="1:19" s="1" customFormat="1" ht="15" customHeight="1">
      <c r="A1136" s="35"/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</row>
    <row r="1137" spans="1:19" s="1" customFormat="1" ht="15" customHeight="1">
      <c r="A1137" s="35"/>
      <c r="B1137" s="35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</row>
    <row r="1138" spans="1:19" s="1" customFormat="1" ht="15" customHeight="1">
      <c r="A1138" s="35"/>
      <c r="B1138" s="35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</row>
    <row r="1139" spans="1:19" s="1" customFormat="1" ht="15" customHeight="1">
      <c r="A1139" s="35"/>
      <c r="B1139" s="35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</row>
    <row r="1140" spans="1:19" s="1" customFormat="1" ht="15" customHeight="1">
      <c r="A1140" s="35"/>
      <c r="B1140" s="35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</row>
    <row r="1141" spans="1:19" s="1" customFormat="1" ht="15" customHeight="1">
      <c r="A1141" s="35"/>
      <c r="B1141" s="35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</row>
    <row r="1142" spans="1:19" s="1" customFormat="1" ht="15" customHeight="1">
      <c r="A1142" s="35"/>
      <c r="B1142" s="35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</row>
    <row r="1143" spans="1:19" s="1" customFormat="1" ht="15" customHeight="1">
      <c r="A1143" s="35"/>
      <c r="B1143" s="35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</row>
    <row r="1144" spans="1:19" s="1" customFormat="1" ht="15" customHeight="1">
      <c r="A1144" s="35"/>
      <c r="B1144" s="35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</row>
    <row r="1145" spans="1:19" s="1" customFormat="1" ht="15" customHeight="1">
      <c r="A1145" s="35"/>
      <c r="B1145" s="35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</row>
    <row r="1146" spans="1:19" s="1" customFormat="1" ht="15" customHeight="1">
      <c r="A1146" s="35"/>
      <c r="B1146" s="35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</row>
    <row r="1147" spans="1:19" s="1" customFormat="1" ht="15" customHeight="1">
      <c r="A1147" s="35"/>
      <c r="B1147" s="35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</row>
    <row r="1148" spans="1:19" s="1" customFormat="1" ht="15" customHeight="1">
      <c r="A1148" s="35"/>
      <c r="B1148" s="35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</row>
    <row r="1149" spans="1:19" s="1" customFormat="1" ht="15" customHeight="1">
      <c r="A1149" s="35"/>
      <c r="B1149" s="35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</row>
    <row r="1150" spans="1:19" s="1" customFormat="1" ht="15" customHeight="1">
      <c r="A1150" s="35"/>
      <c r="B1150" s="35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</row>
    <row r="1151" spans="1:19" s="1" customFormat="1" ht="15" customHeight="1">
      <c r="A1151" s="35"/>
      <c r="B1151" s="35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</row>
    <row r="1152" spans="1:19" s="1" customFormat="1" ht="15" customHeight="1">
      <c r="A1152" s="35"/>
      <c r="B1152" s="35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</row>
    <row r="1153" spans="1:19" s="1" customFormat="1" ht="15" customHeight="1">
      <c r="A1153" s="35"/>
      <c r="B1153" s="35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</row>
    <row r="1154" spans="1:19" s="1" customFormat="1" ht="15" customHeight="1">
      <c r="A1154" s="35"/>
      <c r="B1154" s="35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</row>
    <row r="1155" spans="1:19" s="1" customFormat="1" ht="15" customHeight="1">
      <c r="A1155" s="35"/>
      <c r="B1155" s="35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</row>
    <row r="1156" spans="1:19" s="1" customFormat="1" ht="15" customHeight="1">
      <c r="A1156" s="35"/>
      <c r="B1156" s="35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</row>
    <row r="1157" spans="1:19" s="1" customFormat="1" ht="15" customHeight="1">
      <c r="A1157" s="35"/>
      <c r="B1157" s="35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</row>
    <row r="1158" spans="1:19" s="1" customFormat="1" ht="15" customHeight="1">
      <c r="A1158" s="35"/>
      <c r="B1158" s="35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</row>
    <row r="1159" spans="1:19" s="1" customFormat="1" ht="15" customHeight="1">
      <c r="A1159" s="35"/>
      <c r="B1159" s="35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</row>
    <row r="1160" spans="1:19" s="1" customFormat="1" ht="15" customHeight="1">
      <c r="A1160" s="35"/>
      <c r="B1160" s="35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</row>
    <row r="1161" spans="1:19" s="1" customFormat="1" ht="15" customHeight="1">
      <c r="A1161" s="35"/>
      <c r="B1161" s="35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</row>
    <row r="1162" spans="1:19" s="1" customFormat="1" ht="15" customHeight="1">
      <c r="A1162" s="35"/>
      <c r="B1162" s="35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</row>
    <row r="1163" spans="1:19" s="1" customFormat="1" ht="15" customHeight="1">
      <c r="A1163" s="35"/>
      <c r="B1163" s="35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</row>
    <row r="1164" spans="1:19" s="1" customFormat="1" ht="15" customHeight="1">
      <c r="A1164" s="35"/>
      <c r="B1164" s="35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</row>
    <row r="1165" spans="1:19" s="1" customFormat="1" ht="15" customHeight="1">
      <c r="A1165" s="35"/>
      <c r="B1165" s="35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</row>
    <row r="1166" spans="1:19" s="1" customFormat="1" ht="15" customHeight="1">
      <c r="A1166" s="35"/>
      <c r="B1166" s="35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</row>
    <row r="1167" spans="1:19" s="1" customFormat="1" ht="15" customHeight="1">
      <c r="A1167" s="35"/>
      <c r="B1167" s="35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</row>
    <row r="1168" spans="1:19" s="1" customFormat="1" ht="15" customHeight="1">
      <c r="A1168" s="35"/>
      <c r="B1168" s="35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</row>
    <row r="1169" spans="1:19" s="1" customFormat="1" ht="15" customHeight="1">
      <c r="A1169" s="35"/>
      <c r="B1169" s="35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</row>
    <row r="1170" spans="1:19" s="1" customFormat="1" ht="15" customHeight="1">
      <c r="A1170" s="35"/>
      <c r="B1170" s="35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</row>
    <row r="1171" spans="1:19" s="1" customFormat="1" ht="15" customHeight="1">
      <c r="A1171" s="35"/>
      <c r="B1171" s="35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</row>
    <row r="1172" spans="1:19" s="1" customFormat="1" ht="15" customHeight="1">
      <c r="A1172" s="35"/>
      <c r="B1172" s="35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</row>
    <row r="1173" spans="1:19" s="1" customFormat="1" ht="15" customHeight="1">
      <c r="A1173" s="35"/>
      <c r="B1173" s="35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</row>
    <row r="1174" spans="1:19" s="1" customFormat="1" ht="15" customHeight="1">
      <c r="A1174" s="35"/>
      <c r="B1174" s="35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</row>
    <row r="1175" spans="1:19" s="1" customFormat="1" ht="15" customHeight="1">
      <c r="A1175" s="35"/>
      <c r="B1175" s="35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</row>
    <row r="1176" spans="1:19" s="1" customFormat="1" ht="15" customHeight="1">
      <c r="A1176" s="35"/>
      <c r="B1176" s="35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</row>
    <row r="1177" spans="1:19" s="1" customFormat="1" ht="15" customHeight="1">
      <c r="A1177" s="35"/>
      <c r="B1177" s="35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</row>
    <row r="1178" spans="1:19" s="1" customFormat="1" ht="15" customHeight="1">
      <c r="A1178" s="35"/>
      <c r="B1178" s="35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</row>
    <row r="1179" spans="1:19" s="1" customFormat="1" ht="15" customHeight="1">
      <c r="A1179" s="35"/>
      <c r="B1179" s="35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</row>
    <row r="1180" spans="1:19" s="1" customFormat="1" ht="15" customHeight="1">
      <c r="A1180" s="35"/>
      <c r="B1180" s="35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</row>
    <row r="1181" spans="1:19" s="1" customFormat="1" ht="15" customHeight="1">
      <c r="A1181" s="35"/>
      <c r="B1181" s="35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</row>
    <row r="1182" spans="1:19" s="1" customFormat="1" ht="15" customHeight="1">
      <c r="A1182" s="35"/>
      <c r="B1182" s="35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</row>
    <row r="1183" spans="1:19" s="1" customFormat="1" ht="15" customHeight="1">
      <c r="A1183" s="35"/>
      <c r="B1183" s="35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</row>
    <row r="1184" spans="1:19" s="1" customFormat="1" ht="15" customHeight="1">
      <c r="A1184" s="35"/>
      <c r="B1184" s="35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</row>
    <row r="1185" spans="1:19" s="1" customFormat="1" ht="15" customHeight="1">
      <c r="A1185" s="35"/>
      <c r="B1185" s="35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</row>
    <row r="1186" spans="1:19" s="1" customFormat="1" ht="15" customHeight="1">
      <c r="A1186" s="35"/>
      <c r="B1186" s="35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</row>
    <row r="1187" spans="1:19" s="1" customFormat="1" ht="15" customHeight="1">
      <c r="A1187" s="35"/>
      <c r="B1187" s="35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</row>
    <row r="1188" spans="1:19" s="1" customFormat="1" ht="15" customHeight="1">
      <c r="A1188" s="35"/>
      <c r="B1188" s="35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</row>
    <row r="1189" spans="1:19" s="1" customFormat="1" ht="15" customHeight="1">
      <c r="A1189" s="35"/>
      <c r="B1189" s="35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</row>
    <row r="1190" spans="1:19" s="1" customFormat="1" ht="15" customHeight="1">
      <c r="A1190" s="35"/>
      <c r="B1190" s="35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</row>
    <row r="1191" spans="1:19" s="1" customFormat="1" ht="15" customHeight="1">
      <c r="A1191" s="35"/>
      <c r="B1191" s="35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</row>
    <row r="1192" spans="1:19" s="1" customFormat="1" ht="15" customHeight="1">
      <c r="A1192" s="35"/>
      <c r="B1192" s="35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</row>
    <row r="1193" spans="1:19" s="1" customFormat="1" ht="15" customHeight="1">
      <c r="A1193" s="35"/>
      <c r="B1193" s="35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</row>
    <row r="1194" spans="1:19" s="1" customFormat="1" ht="15" customHeight="1">
      <c r="A1194" s="35"/>
      <c r="B1194" s="35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</row>
    <row r="1195" spans="1:19" s="1" customFormat="1" ht="15" customHeight="1">
      <c r="A1195" s="35"/>
      <c r="B1195" s="35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</row>
    <row r="1196" spans="1:19" s="1" customFormat="1" ht="15" customHeight="1">
      <c r="A1196" s="35"/>
      <c r="B1196" s="35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</row>
    <row r="1197" spans="1:19" s="1" customFormat="1" ht="15" customHeight="1">
      <c r="A1197" s="35"/>
      <c r="B1197" s="35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</row>
    <row r="1198" spans="1:19" s="1" customFormat="1" ht="15" customHeight="1">
      <c r="A1198" s="35"/>
      <c r="B1198" s="35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</row>
    <row r="1199" spans="1:19" s="1" customFormat="1" ht="15" customHeight="1">
      <c r="A1199" s="35"/>
      <c r="B1199" s="35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</row>
    <row r="1200" spans="1:19" s="1" customFormat="1" ht="15" customHeight="1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</row>
    <row r="1201" spans="1:19" s="1" customFormat="1" ht="15" customHeight="1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</row>
    <row r="1202" spans="1:19" s="1" customFormat="1" ht="15" customHeight="1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</row>
    <row r="1203" spans="1:19" s="1" customFormat="1" ht="15" customHeight="1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</row>
    <row r="1204" spans="1:19" s="1" customFormat="1" ht="15" customHeight="1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</row>
    <row r="1205" spans="1:19" s="1" customFormat="1" ht="15" customHeight="1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</row>
    <row r="1206" spans="1:19" s="1" customFormat="1" ht="15" customHeight="1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</row>
    <row r="1207" spans="1:19" s="1" customFormat="1" ht="15" customHeight="1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</row>
    <row r="1208" spans="1:19" s="1" customFormat="1" ht="15" customHeight="1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</row>
    <row r="1209" spans="1:19" s="1" customFormat="1" ht="15" customHeight="1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</row>
    <row r="1210" spans="1:19" s="1" customFormat="1" ht="15" customHeight="1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</row>
    <row r="1211" spans="1:19" s="1" customFormat="1" ht="15" customHeight="1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</row>
    <row r="1212" spans="1:19" s="1" customFormat="1" ht="15" customHeight="1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</row>
    <row r="1213" spans="1:19" s="1" customFormat="1" ht="15" customHeight="1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</row>
    <row r="1214" spans="1:19" s="1" customFormat="1" ht="15" customHeight="1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</row>
    <row r="1215" spans="1:19" s="1" customFormat="1" ht="15" customHeight="1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</row>
    <row r="1216" spans="1:19" s="1" customFormat="1" ht="15" customHeight="1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</row>
    <row r="1217" spans="1:19" s="1" customFormat="1" ht="15" customHeight="1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</row>
    <row r="1218" spans="1:19" s="1" customFormat="1" ht="15" customHeight="1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</row>
    <row r="1219" spans="1:19" s="1" customFormat="1" ht="15" customHeight="1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</row>
    <row r="1220" spans="1:19" s="1" customFormat="1" ht="15" customHeight="1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</row>
    <row r="1221" spans="1:19" s="1" customFormat="1" ht="15" customHeight="1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</row>
    <row r="1222" spans="1:19" s="1" customFormat="1" ht="15" customHeight="1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</row>
    <row r="1223" spans="1:19" s="1" customFormat="1" ht="15" customHeight="1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</row>
    <row r="1224" spans="1:19" s="1" customFormat="1" ht="15" customHeight="1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</row>
    <row r="1225" spans="1:19" s="1" customFormat="1" ht="15" customHeight="1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</row>
    <row r="1226" spans="1:19" s="1" customFormat="1" ht="15" customHeight="1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</row>
    <row r="1227" spans="1:19" s="1" customFormat="1" ht="15" customHeight="1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</row>
    <row r="1228" spans="1:19" s="1" customFormat="1" ht="15" customHeight="1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</row>
    <row r="1229" spans="1:19" s="1" customFormat="1" ht="15" customHeight="1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</row>
    <row r="1230" spans="1:19" s="1" customFormat="1" ht="15" customHeight="1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</row>
    <row r="1231" spans="1:19" s="1" customFormat="1" ht="15" customHeight="1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</row>
    <row r="1232" spans="1:19" s="1" customFormat="1" ht="15" customHeight="1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</row>
    <row r="1233" spans="1:19" s="1" customFormat="1" ht="15" customHeight="1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</row>
    <row r="1234" spans="1:19" s="1" customFormat="1" ht="15" customHeight="1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</row>
    <row r="1235" spans="1:19" s="1" customFormat="1" ht="15" customHeight="1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</row>
    <row r="1236" spans="1:19" s="1" customFormat="1" ht="15" customHeight="1">
      <c r="A1236" s="35"/>
      <c r="B1236" s="35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</row>
    <row r="1237" spans="1:19" s="1" customFormat="1" ht="15" customHeight="1">
      <c r="A1237" s="35"/>
      <c r="B1237" s="35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</row>
    <row r="1238" spans="1:19" s="1" customFormat="1" ht="15" customHeight="1">
      <c r="A1238" s="35"/>
      <c r="B1238" s="35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</row>
    <row r="1239" spans="1:19" s="1" customFormat="1" ht="15" customHeight="1">
      <c r="A1239" s="35"/>
      <c r="B1239" s="35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</row>
    <row r="1240" spans="1:19" s="1" customFormat="1" ht="15" customHeight="1">
      <c r="A1240" s="35"/>
      <c r="B1240" s="35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</row>
    <row r="1241" spans="1:19" s="1" customFormat="1" ht="15" customHeight="1">
      <c r="A1241" s="35"/>
      <c r="B1241" s="35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</row>
    <row r="1242" spans="1:19" s="1" customFormat="1" ht="15" customHeight="1">
      <c r="A1242" s="35"/>
      <c r="B1242" s="35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</row>
    <row r="1243" spans="1:19" s="1" customFormat="1" ht="15" customHeight="1">
      <c r="A1243" s="35"/>
      <c r="B1243" s="35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</row>
    <row r="1244" spans="1:19" s="1" customFormat="1" ht="15" customHeight="1">
      <c r="A1244" s="35"/>
      <c r="B1244" s="35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</row>
    <row r="1245" spans="1:19" s="1" customFormat="1" ht="15" customHeight="1">
      <c r="A1245" s="35"/>
      <c r="B1245" s="35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</row>
    <row r="1246" spans="1:19" s="1" customFormat="1" ht="15" customHeight="1">
      <c r="A1246" s="35"/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</row>
    <row r="1247" spans="1:19" s="1" customFormat="1" ht="15" customHeight="1">
      <c r="A1247" s="35"/>
      <c r="B1247" s="35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</row>
    <row r="1248" spans="1:19" s="1" customFormat="1" ht="15" customHeight="1">
      <c r="A1248" s="35"/>
      <c r="B1248" s="35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</row>
    <row r="1249" spans="1:19" s="1" customFormat="1" ht="15" customHeight="1">
      <c r="A1249" s="35"/>
      <c r="B1249" s="35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</row>
    <row r="1250" spans="1:19" s="1" customFormat="1" ht="15" customHeight="1">
      <c r="A1250" s="35"/>
      <c r="B1250" s="35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</row>
    <row r="1251" spans="1:19" s="1" customFormat="1" ht="15" customHeight="1">
      <c r="A1251" s="35"/>
      <c r="B1251" s="35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</row>
    <row r="1252" spans="1:19" s="1" customFormat="1" ht="15" customHeight="1">
      <c r="A1252" s="35"/>
      <c r="B1252" s="35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</row>
    <row r="1253" spans="1:19" s="1" customFormat="1" ht="15" customHeight="1">
      <c r="A1253" s="35"/>
      <c r="B1253" s="35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</row>
    <row r="1254" spans="1:19" s="1" customFormat="1" ht="15" customHeight="1">
      <c r="A1254" s="35"/>
      <c r="B1254" s="35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</row>
    <row r="1255" spans="1:19" s="1" customFormat="1" ht="15" customHeight="1">
      <c r="A1255" s="35"/>
      <c r="B1255" s="35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</row>
    <row r="1256" spans="1:19" s="1" customFormat="1" ht="15" customHeight="1">
      <c r="A1256" s="35"/>
      <c r="B1256" s="35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</row>
    <row r="1257" spans="1:19" s="1" customFormat="1" ht="15" customHeight="1">
      <c r="A1257" s="35"/>
      <c r="B1257" s="35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</row>
    <row r="1258" spans="1:19" s="1" customFormat="1" ht="15" customHeight="1">
      <c r="A1258" s="35"/>
      <c r="B1258" s="35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</row>
    <row r="1259" spans="1:19" s="1" customFormat="1" ht="15" customHeight="1">
      <c r="A1259" s="35"/>
      <c r="B1259" s="35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</row>
    <row r="1260" spans="1:19" s="1" customFormat="1" ht="15" customHeight="1">
      <c r="A1260" s="35"/>
      <c r="B1260" s="35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</row>
    <row r="1261" spans="1:19" s="1" customFormat="1" ht="15" customHeight="1">
      <c r="A1261" s="35"/>
      <c r="B1261" s="35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</row>
    <row r="1262" spans="1:19" s="1" customFormat="1" ht="15" customHeight="1">
      <c r="A1262" s="35"/>
      <c r="B1262" s="35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</row>
    <row r="1263" spans="1:19" s="1" customFormat="1" ht="15" customHeight="1">
      <c r="A1263" s="35"/>
      <c r="B1263" s="35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</row>
    <row r="1264" spans="1:19" s="1" customFormat="1" ht="15" customHeight="1">
      <c r="A1264" s="35"/>
      <c r="B1264" s="35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</row>
    <row r="1265" spans="1:19" s="1" customFormat="1" ht="15" customHeight="1">
      <c r="A1265" s="35"/>
      <c r="B1265" s="35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</row>
    <row r="1266" spans="1:19" s="1" customFormat="1" ht="15" customHeight="1">
      <c r="A1266" s="35"/>
      <c r="B1266" s="35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</row>
    <row r="1267" spans="1:19" s="1" customFormat="1" ht="15" customHeight="1">
      <c r="A1267" s="35"/>
      <c r="B1267" s="35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</row>
    <row r="1268" spans="1:19" s="1" customFormat="1" ht="15" customHeight="1">
      <c r="A1268" s="35"/>
      <c r="B1268" s="35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</row>
    <row r="1269" spans="1:19" s="1" customFormat="1" ht="15" customHeight="1">
      <c r="A1269" s="35"/>
      <c r="B1269" s="35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</row>
    <row r="1270" spans="1:19" s="1" customFormat="1" ht="15" customHeight="1">
      <c r="A1270" s="35"/>
      <c r="B1270" s="35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</row>
    <row r="1271" spans="1:19" s="1" customFormat="1" ht="15" customHeight="1">
      <c r="A1271" s="35"/>
      <c r="B1271" s="35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</row>
    <row r="1272" spans="1:19" s="1" customFormat="1" ht="15" customHeight="1">
      <c r="A1272" s="35"/>
      <c r="B1272" s="35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</row>
    <row r="1273" spans="1:19" s="1" customFormat="1" ht="15" customHeight="1">
      <c r="A1273" s="35"/>
      <c r="B1273" s="35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</row>
    <row r="1274" spans="1:19" s="1" customFormat="1" ht="15" customHeight="1">
      <c r="A1274" s="35"/>
      <c r="B1274" s="35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</row>
    <row r="1275" spans="1:19" s="1" customFormat="1" ht="15" customHeight="1">
      <c r="A1275" s="35"/>
      <c r="B1275" s="35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</row>
    <row r="1276" spans="1:19" s="1" customFormat="1" ht="15" customHeight="1">
      <c r="A1276" s="35"/>
      <c r="B1276" s="35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</row>
    <row r="1277" spans="1:19" s="1" customFormat="1" ht="15" customHeight="1">
      <c r="A1277" s="35"/>
      <c r="B1277" s="35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</row>
    <row r="1278" spans="1:19" s="1" customFormat="1" ht="15" customHeight="1">
      <c r="A1278" s="35"/>
      <c r="B1278" s="35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</row>
    <row r="1279" spans="1:19" s="1" customFormat="1" ht="15" customHeight="1">
      <c r="A1279" s="35"/>
      <c r="B1279" s="35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</row>
    <row r="1280" spans="1:19" s="1" customFormat="1" ht="15" customHeight="1">
      <c r="A1280" s="35"/>
      <c r="B1280" s="35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</row>
    <row r="1281" spans="1:19" s="1" customFormat="1" ht="15" customHeight="1">
      <c r="A1281" s="35"/>
      <c r="B1281" s="35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</row>
    <row r="1282" spans="1:19" s="1" customFormat="1" ht="15" customHeight="1">
      <c r="A1282" s="35"/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</row>
    <row r="1283" spans="1:19" s="1" customFormat="1" ht="15" customHeight="1">
      <c r="A1283" s="35"/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</row>
    <row r="1284" spans="1:19" s="1" customFormat="1" ht="15" customHeight="1">
      <c r="A1284" s="35"/>
      <c r="B1284" s="35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</row>
    <row r="1285" spans="1:19" s="1" customFormat="1" ht="15" customHeight="1">
      <c r="A1285" s="35"/>
      <c r="B1285" s="35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</row>
    <row r="1286" spans="1:19" s="1" customFormat="1" ht="15" customHeight="1">
      <c r="A1286" s="35"/>
      <c r="B1286" s="35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</row>
    <row r="1287" spans="1:19" s="1" customFormat="1" ht="15" customHeight="1">
      <c r="A1287" s="35"/>
      <c r="B1287" s="35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</row>
    <row r="1288" spans="1:19" s="1" customFormat="1" ht="15" customHeight="1">
      <c r="A1288" s="35"/>
      <c r="B1288" s="35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</row>
    <row r="1289" spans="1:19" s="1" customFormat="1" ht="15" customHeight="1">
      <c r="A1289" s="35"/>
      <c r="B1289" s="35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</row>
    <row r="1290" spans="1:19" s="1" customFormat="1" ht="15" customHeight="1">
      <c r="A1290" s="35"/>
      <c r="B1290" s="35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</row>
    <row r="1291" spans="1:19" s="1" customFormat="1" ht="15" customHeight="1">
      <c r="A1291" s="35"/>
      <c r="B1291" s="35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</row>
    <row r="1292" spans="1:19" s="1" customFormat="1" ht="15" customHeight="1">
      <c r="A1292" s="35"/>
      <c r="B1292" s="35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</row>
    <row r="1293" spans="1:19" s="1" customFormat="1" ht="15" customHeight="1">
      <c r="A1293" s="35"/>
      <c r="B1293" s="35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</row>
    <row r="1294" spans="1:19" s="1" customFormat="1" ht="15" customHeight="1">
      <c r="A1294" s="35"/>
      <c r="B1294" s="35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</row>
    <row r="1295" spans="1:19" s="1" customFormat="1" ht="15" customHeight="1">
      <c r="A1295" s="35"/>
      <c r="B1295" s="35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</row>
    <row r="1296" spans="1:19" s="1" customFormat="1" ht="15" customHeight="1">
      <c r="A1296" s="35"/>
      <c r="B1296" s="35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</row>
    <row r="1297" spans="1:19" s="1" customFormat="1" ht="15" customHeight="1">
      <c r="A1297" s="35"/>
      <c r="B1297" s="35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</row>
    <row r="1298" spans="1:19" s="1" customFormat="1" ht="15" customHeight="1">
      <c r="A1298" s="35"/>
      <c r="B1298" s="35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</row>
    <row r="1299" spans="1:19" s="1" customFormat="1" ht="15" customHeight="1">
      <c r="A1299" s="35"/>
      <c r="B1299" s="35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</row>
    <row r="1300" spans="1:19" s="1" customFormat="1" ht="15" customHeight="1">
      <c r="A1300" s="35"/>
      <c r="B1300" s="35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</row>
    <row r="1301" spans="1:19" s="1" customFormat="1" ht="15" customHeight="1">
      <c r="A1301" s="35"/>
      <c r="B1301" s="35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</row>
    <row r="1302" spans="1:19" s="1" customFormat="1" ht="15" customHeight="1">
      <c r="A1302" s="35"/>
      <c r="B1302" s="35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</row>
    <row r="1303" spans="1:19" s="1" customFormat="1" ht="15" customHeight="1">
      <c r="A1303" s="35"/>
      <c r="B1303" s="35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</row>
    <row r="1304" spans="1:19" s="1" customFormat="1" ht="15" customHeight="1">
      <c r="A1304" s="35"/>
      <c r="B1304" s="35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</row>
    <row r="1305" spans="1:19" s="1" customFormat="1" ht="15" customHeight="1">
      <c r="A1305" s="35"/>
      <c r="B1305" s="35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</row>
    <row r="1306" spans="1:19" s="1" customFormat="1" ht="15" customHeight="1">
      <c r="A1306" s="35"/>
      <c r="B1306" s="35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</row>
    <row r="1307" spans="1:19" s="1" customFormat="1" ht="15" customHeight="1">
      <c r="A1307" s="35"/>
      <c r="B1307" s="35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</row>
    <row r="1308" spans="1:19" s="1" customFormat="1" ht="15" customHeight="1">
      <c r="A1308" s="35"/>
      <c r="B1308" s="35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</row>
    <row r="1309" spans="1:19" s="1" customFormat="1" ht="15" customHeight="1">
      <c r="A1309" s="35"/>
      <c r="B1309" s="35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</row>
    <row r="1310" spans="1:19" s="1" customFormat="1" ht="15" customHeight="1">
      <c r="A1310" s="35"/>
      <c r="B1310" s="35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</row>
    <row r="1311" spans="1:19" s="1" customFormat="1" ht="15" customHeight="1">
      <c r="A1311" s="35"/>
      <c r="B1311" s="35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</row>
    <row r="1312" spans="1:19" s="1" customFormat="1" ht="15" customHeight="1">
      <c r="A1312" s="35"/>
      <c r="B1312" s="35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</row>
    <row r="1313" spans="1:19" s="1" customFormat="1" ht="15" customHeight="1">
      <c r="A1313" s="35"/>
      <c r="B1313" s="35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</row>
    <row r="1314" spans="1:19" s="1" customFormat="1" ht="15" customHeight="1">
      <c r="A1314" s="35"/>
      <c r="B1314" s="35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</row>
    <row r="1315" spans="1:19" s="1" customFormat="1" ht="15" customHeight="1">
      <c r="A1315" s="35"/>
      <c r="B1315" s="35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</row>
    <row r="1316" spans="1:19" s="1" customFormat="1" ht="15" customHeight="1">
      <c r="A1316" s="35"/>
      <c r="B1316" s="35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</row>
    <row r="1317" spans="1:19" s="1" customFormat="1" ht="15" customHeight="1">
      <c r="A1317" s="35"/>
      <c r="B1317" s="35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</row>
    <row r="1318" spans="1:19" s="1" customFormat="1" ht="15" customHeight="1">
      <c r="A1318" s="35"/>
      <c r="B1318" s="35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</row>
    <row r="1319" spans="1:19" s="1" customFormat="1" ht="15" customHeight="1">
      <c r="A1319" s="35"/>
      <c r="B1319" s="35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</row>
    <row r="1320" spans="1:19" s="1" customFormat="1" ht="15" customHeight="1">
      <c r="A1320" s="35"/>
      <c r="B1320" s="35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</row>
    <row r="1321" spans="1:19" s="1" customFormat="1" ht="15" customHeight="1">
      <c r="A1321" s="35"/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</row>
    <row r="1322" spans="1:19" s="1" customFormat="1" ht="15" customHeight="1">
      <c r="A1322" s="35"/>
      <c r="B1322" s="35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</row>
    <row r="1323" spans="1:19" s="1" customFormat="1" ht="15" customHeight="1">
      <c r="A1323" s="35"/>
      <c r="B1323" s="35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</row>
    <row r="1324" spans="1:19" s="1" customFormat="1" ht="15" customHeight="1">
      <c r="A1324" s="35"/>
      <c r="B1324" s="35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</row>
    <row r="1325" spans="1:19" s="1" customFormat="1" ht="15" customHeight="1">
      <c r="A1325" s="35"/>
      <c r="B1325" s="35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</row>
    <row r="1326" spans="1:19" s="1" customFormat="1" ht="15" customHeight="1">
      <c r="A1326" s="35"/>
      <c r="B1326" s="35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</row>
    <row r="1327" spans="1:19" s="1" customFormat="1" ht="15" customHeight="1">
      <c r="A1327" s="35"/>
      <c r="B1327" s="35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</row>
    <row r="1328" spans="1:19" s="1" customFormat="1" ht="15" customHeight="1">
      <c r="A1328" s="35"/>
      <c r="B1328" s="35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</row>
    <row r="1329" spans="1:19" s="1" customFormat="1" ht="15" customHeight="1">
      <c r="A1329" s="35"/>
      <c r="B1329" s="35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</row>
    <row r="1330" spans="1:19" s="1" customFormat="1" ht="15" customHeight="1">
      <c r="A1330" s="35"/>
      <c r="B1330" s="35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</row>
    <row r="1331" spans="1:19" s="1" customFormat="1" ht="15" customHeight="1">
      <c r="A1331" s="35"/>
      <c r="B1331" s="35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</row>
    <row r="1332" spans="1:19" s="1" customFormat="1" ht="15" customHeight="1">
      <c r="A1332" s="35"/>
      <c r="B1332" s="35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</row>
    <row r="1333" spans="1:19" s="1" customFormat="1" ht="15" customHeight="1">
      <c r="A1333" s="35"/>
      <c r="B1333" s="35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</row>
    <row r="1334" spans="1:19" s="1" customFormat="1" ht="15" customHeight="1">
      <c r="A1334" s="35"/>
      <c r="B1334" s="35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</row>
    <row r="1335" spans="1:19" s="1" customFormat="1" ht="15" customHeight="1">
      <c r="A1335" s="35"/>
      <c r="B1335" s="35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</row>
    <row r="1336" spans="1:19" s="1" customFormat="1" ht="15" customHeight="1">
      <c r="A1336" s="35"/>
      <c r="B1336" s="35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</row>
    <row r="1337" spans="1:19" s="1" customFormat="1" ht="15" customHeight="1">
      <c r="A1337" s="35"/>
      <c r="B1337" s="35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</row>
    <row r="1338" spans="1:19" s="1" customFormat="1" ht="15" customHeight="1">
      <c r="A1338" s="35"/>
      <c r="B1338" s="35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</row>
    <row r="1339" spans="1:19" s="1" customFormat="1" ht="15" customHeight="1">
      <c r="A1339" s="35"/>
      <c r="B1339" s="35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</row>
    <row r="1340" spans="1:19" s="1" customFormat="1" ht="15" customHeight="1">
      <c r="A1340" s="35"/>
      <c r="B1340" s="35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</row>
    <row r="1341" spans="1:19" s="1" customFormat="1" ht="15" customHeight="1">
      <c r="A1341" s="35"/>
      <c r="B1341" s="35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</row>
    <row r="1342" spans="1:19" s="1" customFormat="1" ht="15" customHeight="1">
      <c r="A1342" s="35"/>
      <c r="B1342" s="35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</row>
    <row r="1343" spans="1:19" s="1" customFormat="1" ht="15" customHeight="1">
      <c r="A1343" s="35"/>
      <c r="B1343" s="35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</row>
    <row r="1344" spans="1:19" s="1" customFormat="1" ht="15" customHeight="1">
      <c r="A1344" s="35"/>
      <c r="B1344" s="35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</row>
    <row r="1345" spans="1:19" s="1" customFormat="1" ht="15" customHeight="1">
      <c r="A1345" s="35"/>
      <c r="B1345" s="35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</row>
    <row r="1346" spans="1:19" s="1" customFormat="1" ht="15" customHeight="1">
      <c r="A1346" s="35"/>
      <c r="B1346" s="35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</row>
    <row r="1347" spans="1:19" s="1" customFormat="1" ht="15" customHeight="1">
      <c r="A1347" s="35"/>
      <c r="B1347" s="35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</row>
    <row r="1348" spans="1:19" s="1" customFormat="1" ht="15" customHeight="1">
      <c r="A1348" s="35"/>
      <c r="B1348" s="35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</row>
    <row r="1349" spans="1:19" s="1" customFormat="1" ht="15" customHeight="1">
      <c r="A1349" s="35"/>
      <c r="B1349" s="35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</row>
    <row r="1350" spans="1:19" s="1" customFormat="1" ht="15" customHeight="1">
      <c r="A1350" s="35"/>
      <c r="B1350" s="35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</row>
    <row r="1351" spans="1:19" s="1" customFormat="1" ht="15" customHeight="1">
      <c r="P1351" s="35"/>
      <c r="Q1351" s="35"/>
      <c r="R1351" s="35"/>
      <c r="S1351" s="35"/>
    </row>
    <row r="1352" spans="1:19" s="1" customFormat="1" ht="15" customHeight="1">
      <c r="P1352" s="35"/>
      <c r="Q1352" s="35"/>
      <c r="R1352" s="35"/>
      <c r="S1352" s="35"/>
    </row>
    <row r="1353" spans="1:19" s="1" customFormat="1" ht="15" customHeight="1">
      <c r="Q1353" s="35"/>
      <c r="R1353" s="35"/>
      <c r="S1353" s="35"/>
    </row>
    <row r="1354" spans="1:19" s="1" customFormat="1" ht="15" customHeight="1">
      <c r="Q1354" s="35"/>
      <c r="R1354" s="35"/>
      <c r="S1354" s="35"/>
    </row>
    <row r="1355" spans="1:19" s="1" customFormat="1" ht="15" customHeight="1">
      <c r="Q1355" s="35"/>
      <c r="R1355" s="35"/>
      <c r="S1355" s="35"/>
    </row>
    <row r="1356" spans="1:19" s="1" customFormat="1" ht="15" customHeight="1">
      <c r="Q1356" s="35"/>
      <c r="R1356" s="35"/>
      <c r="S1356" s="35"/>
    </row>
    <row r="1357" spans="1:19" s="1" customFormat="1" ht="15" customHeight="1">
      <c r="S1357" s="35"/>
    </row>
    <row r="1358" spans="1:19" s="1" customFormat="1" ht="15" customHeight="1">
      <c r="S1358" s="35"/>
    </row>
    <row r="1359" spans="1:19" s="1" customFormat="1" ht="15" customHeight="1">
      <c r="S1359" s="35"/>
    </row>
    <row r="1360" spans="1:19" s="1" customFormat="1" ht="15" customHeight="1">
      <c r="S1360" s="35"/>
    </row>
    <row r="1361" spans="19:19" s="1" customFormat="1" ht="15" customHeight="1">
      <c r="S1361" s="35"/>
    </row>
    <row r="1362" spans="19:19" s="1" customFormat="1" ht="15" customHeight="1"/>
    <row r="1363" spans="19:19" s="1" customFormat="1" ht="15" customHeight="1"/>
    <row r="1364" spans="19:19" s="1" customFormat="1" ht="15" customHeight="1"/>
    <row r="1365" spans="19:19" s="1" customFormat="1" ht="15" customHeight="1"/>
    <row r="1366" spans="19:19" s="1" customFormat="1" ht="15" customHeight="1"/>
    <row r="1367" spans="19:19" s="1" customFormat="1" ht="15" customHeight="1"/>
    <row r="1368" spans="19:19" s="1" customFormat="1" ht="15" customHeight="1"/>
    <row r="1369" spans="19:19" s="1" customFormat="1" ht="15" customHeight="1"/>
    <row r="1370" spans="19:19" s="1" customFormat="1" ht="15" customHeight="1"/>
    <row r="1371" spans="19:19" s="1" customFormat="1" ht="15" customHeight="1"/>
    <row r="1372" spans="19:19" s="1" customFormat="1" ht="15" customHeight="1"/>
    <row r="1373" spans="19:19" s="1" customFormat="1" ht="15" customHeight="1"/>
    <row r="1374" spans="19:19" s="1" customFormat="1" ht="15" customHeight="1"/>
    <row r="1375" spans="19:19" s="1" customFormat="1" ht="15" customHeight="1"/>
    <row r="1376" spans="19:19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/>
    <row r="1668" spans="1:24" s="1" customFormat="1" ht="15" customHeight="1"/>
    <row r="1669" spans="1:24" s="1" customFormat="1" ht="15" customHeight="1"/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X1678"/>
    </row>
    <row r="1679" spans="1:24" s="1" customFormat="1" ht="15" customHeight="1"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X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X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X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X1685"/>
      <c r="AI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I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</row>
    <row r="1688" spans="1:50" s="1" customFormat="1" ht="15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X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</row>
    <row r="1689" spans="1:50" s="1" customFormat="1" ht="15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X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</row>
    <row r="1690" spans="1:50" s="1" customFormat="1" ht="15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X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</row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</sheetData>
  <mergeCells count="42">
    <mergeCell ref="H99:I99"/>
    <mergeCell ref="M99:N99"/>
    <mergeCell ref="Q105:R105"/>
    <mergeCell ref="Q109:R109"/>
    <mergeCell ref="C100:D100"/>
    <mergeCell ref="H100:I100"/>
    <mergeCell ref="M100:N100"/>
    <mergeCell ref="Q106:R106"/>
    <mergeCell ref="C103:D103"/>
    <mergeCell ref="H103:I103"/>
    <mergeCell ref="J103:K103"/>
    <mergeCell ref="N103:O103"/>
    <mergeCell ref="A101:O101"/>
    <mergeCell ref="A102:O102"/>
    <mergeCell ref="C99:D99"/>
    <mergeCell ref="A98:O98"/>
    <mergeCell ref="A50:C50"/>
    <mergeCell ref="N50:O50"/>
    <mergeCell ref="A62:D62"/>
    <mergeCell ref="E62:F62"/>
    <mergeCell ref="K62:M62"/>
    <mergeCell ref="N62:O62"/>
    <mergeCell ref="J85:M85"/>
    <mergeCell ref="A70:C70"/>
    <mergeCell ref="A73:C73"/>
    <mergeCell ref="A74:C74"/>
    <mergeCell ref="D74:E74"/>
    <mergeCell ref="D78:E78"/>
    <mergeCell ref="D82:E82"/>
    <mergeCell ref="A11:O12"/>
    <mergeCell ref="A13:O13"/>
    <mergeCell ref="A54:O56"/>
    <mergeCell ref="A58:O58"/>
    <mergeCell ref="A59:O59"/>
    <mergeCell ref="A17:C17"/>
    <mergeCell ref="H37:L37"/>
    <mergeCell ref="A39:C39"/>
    <mergeCell ref="A44:C44"/>
    <mergeCell ref="A46:C46"/>
    <mergeCell ref="N33:O33"/>
    <mergeCell ref="N34:O34"/>
    <mergeCell ref="D46:O46"/>
  </mergeCells>
  <conditionalFormatting sqref="D50 D25 H37 N33:N34 D44 D39 D27 D29 D31">
    <cfRule type="containsBlanks" dxfId="3" priority="20">
      <formula>LEN(TRIM(D25))=0</formula>
    </cfRule>
  </conditionalFormatting>
  <conditionalFormatting sqref="D33">
    <cfRule type="containsBlanks" dxfId="2" priority="1">
      <formula>LEN(TRIM(D33))=0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56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Drop Down 4">
              <controlPr defaultSize="0" autoLine="0" autoPict="0">
                <anchor moveWithCells="1">
                  <from>
                    <xdr:col>19</xdr:col>
                    <xdr:colOff>476250</xdr:colOff>
                    <xdr:row>95</xdr:row>
                    <xdr:rowOff>9525</xdr:rowOff>
                  </from>
                  <to>
                    <xdr:col>21</xdr:col>
                    <xdr:colOff>390525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Drop Down 5">
              <controlPr defaultSize="0" print="0" autoLine="0" autoPict="0">
                <anchor moveWithCells="1">
                  <from>
                    <xdr:col>13</xdr:col>
                    <xdr:colOff>0</xdr:colOff>
                    <xdr:row>48</xdr:row>
                    <xdr:rowOff>219075</xdr:rowOff>
                  </from>
                  <to>
                    <xdr:col>14</xdr:col>
                    <xdr:colOff>704850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Drop Down 6">
              <controlPr defaultSize="0" print="0" autoLine="0" autoPict="0">
                <anchor moveWithCells="1">
                  <from>
                    <xdr:col>12</xdr:col>
                    <xdr:colOff>457200</xdr:colOff>
                    <xdr:row>60</xdr:row>
                    <xdr:rowOff>228600</xdr:rowOff>
                  </from>
                  <to>
                    <xdr:col>14</xdr:col>
                    <xdr:colOff>552450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Drop Down 11">
              <controlPr defaultSize="0" print="0" autoLine="0" autoPict="0">
                <anchor moveWithCells="1">
                  <from>
                    <xdr:col>2</xdr:col>
                    <xdr:colOff>76200</xdr:colOff>
                    <xdr:row>44</xdr:row>
                    <xdr:rowOff>161925</xdr:rowOff>
                  </from>
                  <to>
                    <xdr:col>14</xdr:col>
                    <xdr:colOff>428625</xdr:colOff>
                    <xdr:row>46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pageSetUpPr fitToPage="1"/>
  </sheetPr>
  <dimension ref="A2:AN16380"/>
  <sheetViews>
    <sheetView zoomScale="85" zoomScaleNormal="85" workbookViewId="0">
      <selection activeCell="H37" sqref="H37:L37"/>
    </sheetView>
  </sheetViews>
  <sheetFormatPr baseColWidth="10" defaultColWidth="11.42578125" defaultRowHeight="12.75"/>
  <cols>
    <col min="1" max="1" width="8.7109375" style="102" customWidth="1"/>
    <col min="2" max="2" width="0" style="102" hidden="1" customWidth="1"/>
    <col min="3" max="4" width="5.7109375" style="102" customWidth="1"/>
    <col min="5" max="6" width="6.7109375" style="102" customWidth="1"/>
    <col min="7" max="8" width="7.28515625" style="102" customWidth="1"/>
    <col min="9" max="9" width="5.7109375" style="102" customWidth="1"/>
    <col min="10" max="11" width="6.7109375" style="102" customWidth="1"/>
    <col min="12" max="12" width="5.7109375" style="102" customWidth="1"/>
    <col min="13" max="14" width="6.7109375" style="102" customWidth="1"/>
    <col min="15" max="15" width="5.7109375" style="102" customWidth="1"/>
    <col min="16" max="17" width="6.7109375" style="102" customWidth="1"/>
    <col min="18" max="18" width="5.7109375" style="102" customWidth="1"/>
    <col min="19" max="23" width="6.7109375" style="102" customWidth="1"/>
    <col min="24" max="24" width="5.7109375" style="102" customWidth="1"/>
    <col min="25" max="25" width="6.7109375" style="102" customWidth="1"/>
    <col min="26" max="35" width="3.7109375" style="101" customWidth="1"/>
    <col min="36" max="16384" width="11.42578125" style="102"/>
  </cols>
  <sheetData>
    <row r="2" spans="1:40" s="103" customFormat="1" ht="22.9" customHeight="1">
      <c r="A2" s="211" t="s">
        <v>27</v>
      </c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51"/>
      <c r="Y2" s="51"/>
    </row>
    <row r="3" spans="1:40" s="103" customFormat="1" ht="18" customHeight="1">
      <c r="A3" s="214" t="str">
        <f>'Rapport d''essai dimensionnel'!A13:O13</f>
        <v xml:space="preserve">N° 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14"/>
      <c r="Y3" s="14"/>
      <c r="AK3" s="104" t="s">
        <v>86</v>
      </c>
      <c r="AL3" s="104"/>
      <c r="AM3" s="104"/>
      <c r="AN3" s="105"/>
    </row>
    <row r="4" spans="1:40" s="103" customFormat="1" ht="19.5" customHeight="1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13"/>
      <c r="Y4" s="13"/>
    </row>
    <row r="5" spans="1:40" ht="21.75" customHeight="1">
      <c r="A5" s="237" t="s">
        <v>87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9"/>
      <c r="X5" s="185"/>
      <c r="Y5" s="185"/>
      <c r="Z5" s="106"/>
      <c r="AA5" s="106"/>
      <c r="AB5" s="107"/>
      <c r="AC5" s="107"/>
      <c r="AD5" s="102"/>
      <c r="AE5" s="102"/>
      <c r="AF5" s="102"/>
      <c r="AG5" s="102"/>
      <c r="AH5" s="102"/>
      <c r="AI5" s="102"/>
    </row>
    <row r="6" spans="1:40" s="114" customFormat="1" ht="15" customHeight="1">
      <c r="A6" s="108"/>
      <c r="B6" s="109"/>
      <c r="C6" s="109"/>
      <c r="D6" s="109"/>
      <c r="E6" s="110"/>
      <c r="F6" s="110"/>
      <c r="G6" s="109"/>
      <c r="H6" s="109"/>
      <c r="I6" s="111"/>
      <c r="J6" s="109"/>
      <c r="K6" s="109"/>
      <c r="L6" s="111"/>
      <c r="M6" s="109"/>
      <c r="N6" s="109"/>
      <c r="O6" s="111"/>
      <c r="P6" s="109"/>
      <c r="Q6" s="109"/>
      <c r="R6" s="111"/>
      <c r="S6" s="109"/>
      <c r="T6" s="109"/>
      <c r="U6" s="109"/>
      <c r="V6" s="109"/>
      <c r="W6" s="112"/>
      <c r="X6" s="186"/>
      <c r="Y6" s="187"/>
      <c r="Z6" s="113"/>
      <c r="AA6" s="113"/>
      <c r="AB6" s="113"/>
      <c r="AC6" s="113"/>
      <c r="AD6" s="113"/>
      <c r="AE6" s="113"/>
      <c r="AF6" s="113"/>
      <c r="AG6" s="113"/>
      <c r="AH6" s="113"/>
      <c r="AI6" s="113"/>
    </row>
    <row r="7" spans="1:40" s="114" customFormat="1" ht="15" customHeight="1">
      <c r="A7" s="115"/>
      <c r="B7" s="187"/>
      <c r="C7" s="187"/>
      <c r="D7" s="187"/>
      <c r="E7" s="188"/>
      <c r="F7" s="188"/>
      <c r="G7" s="187"/>
      <c r="H7" s="187"/>
      <c r="I7" s="186"/>
      <c r="J7" s="187"/>
      <c r="K7" s="187"/>
      <c r="L7" s="186"/>
      <c r="M7" s="187"/>
      <c r="N7" s="187"/>
      <c r="O7" s="186"/>
      <c r="P7" s="187"/>
      <c r="Q7" s="187"/>
      <c r="R7" s="186"/>
      <c r="S7" s="187"/>
      <c r="T7" s="187"/>
      <c r="U7" s="187"/>
      <c r="V7" s="187"/>
      <c r="W7" s="116"/>
      <c r="X7" s="186"/>
      <c r="Y7" s="187"/>
      <c r="Z7" s="113"/>
      <c r="AA7" s="113"/>
      <c r="AB7" s="113"/>
      <c r="AC7" s="113"/>
      <c r="AD7" s="113"/>
      <c r="AE7" s="113"/>
      <c r="AF7" s="113"/>
      <c r="AG7" s="113"/>
      <c r="AH7" s="113"/>
      <c r="AI7" s="113"/>
    </row>
    <row r="8" spans="1:40" s="114" customFormat="1" ht="15" customHeight="1">
      <c r="A8" s="115"/>
      <c r="B8" s="187"/>
      <c r="C8" s="187"/>
      <c r="D8" s="187"/>
      <c r="E8" s="188"/>
      <c r="F8" s="188"/>
      <c r="G8" s="187"/>
      <c r="H8" s="187"/>
      <c r="I8" s="186"/>
      <c r="J8" s="187"/>
      <c r="K8" s="187"/>
      <c r="L8" s="186"/>
      <c r="M8" s="187"/>
      <c r="N8" s="187"/>
      <c r="O8" s="186"/>
      <c r="P8" s="187"/>
      <c r="Q8" s="187"/>
      <c r="R8" s="186"/>
      <c r="S8" s="187"/>
      <c r="T8" s="187"/>
      <c r="U8" s="187"/>
      <c r="V8" s="187"/>
      <c r="W8" s="116"/>
      <c r="X8" s="186"/>
      <c r="Y8" s="187"/>
      <c r="Z8" s="113"/>
      <c r="AA8" s="113"/>
      <c r="AB8" s="113"/>
      <c r="AC8" s="113"/>
      <c r="AD8" s="113"/>
      <c r="AE8" s="113"/>
      <c r="AF8" s="113"/>
      <c r="AG8" s="113"/>
      <c r="AH8" s="113"/>
      <c r="AI8" s="113"/>
    </row>
    <row r="9" spans="1:40" s="114" customFormat="1" ht="15" customHeight="1">
      <c r="A9" s="115"/>
      <c r="B9" s="187"/>
      <c r="C9" s="187"/>
      <c r="D9" s="187"/>
      <c r="E9" s="188"/>
      <c r="F9" s="188"/>
      <c r="G9" s="187"/>
      <c r="H9" s="187"/>
      <c r="I9" s="186"/>
      <c r="J9" s="187"/>
      <c r="K9" s="187"/>
      <c r="L9" s="186"/>
      <c r="M9" s="187"/>
      <c r="N9" s="187"/>
      <c r="O9" s="186"/>
      <c r="P9" s="187"/>
      <c r="Q9" s="187"/>
      <c r="R9" s="186"/>
      <c r="S9" s="187"/>
      <c r="T9" s="187"/>
      <c r="U9" s="187"/>
      <c r="V9" s="187"/>
      <c r="W9" s="116"/>
      <c r="X9" s="186"/>
      <c r="Y9" s="187"/>
      <c r="Z9" s="113"/>
      <c r="AA9" s="113"/>
      <c r="AB9" s="113"/>
      <c r="AC9" s="113"/>
      <c r="AD9" s="113"/>
      <c r="AE9" s="113"/>
      <c r="AF9" s="113"/>
      <c r="AG9" s="113"/>
      <c r="AH9" s="113"/>
      <c r="AI9" s="113"/>
    </row>
    <row r="10" spans="1:40" s="114" customFormat="1" ht="15" customHeight="1">
      <c r="A10" s="115"/>
      <c r="B10" s="187"/>
      <c r="C10" s="187"/>
      <c r="D10" s="187"/>
      <c r="E10" s="188"/>
      <c r="F10" s="188"/>
      <c r="G10" s="187"/>
      <c r="H10" s="187"/>
      <c r="I10" s="186"/>
      <c r="J10" s="187"/>
      <c r="K10" s="187"/>
      <c r="L10" s="186"/>
      <c r="M10" s="187"/>
      <c r="N10" s="187"/>
      <c r="O10" s="186"/>
      <c r="P10" s="187"/>
      <c r="Q10" s="187"/>
      <c r="R10" s="186"/>
      <c r="S10" s="187"/>
      <c r="T10" s="187"/>
      <c r="U10" s="187"/>
      <c r="V10" s="187"/>
      <c r="W10" s="116"/>
      <c r="X10" s="186"/>
      <c r="Y10" s="187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</row>
    <row r="11" spans="1:40" s="114" customFormat="1" ht="15" customHeight="1">
      <c r="A11" s="115"/>
      <c r="B11" s="187"/>
      <c r="C11" s="187"/>
      <c r="D11" s="187"/>
      <c r="E11" s="188"/>
      <c r="F11" s="188"/>
      <c r="G11" s="187"/>
      <c r="H11" s="187"/>
      <c r="I11" s="186"/>
      <c r="J11" s="187"/>
      <c r="K11" s="187"/>
      <c r="L11" s="186"/>
      <c r="M11" s="187"/>
      <c r="N11" s="187"/>
      <c r="O11" s="186"/>
      <c r="P11" s="187"/>
      <c r="Q11" s="187"/>
      <c r="R11" s="186"/>
      <c r="S11" s="187"/>
      <c r="T11" s="187"/>
      <c r="U11" s="187"/>
      <c r="V11" s="187"/>
      <c r="W11" s="116"/>
      <c r="X11" s="186"/>
      <c r="Y11" s="187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</row>
    <row r="12" spans="1:40" s="114" customFormat="1" ht="15" customHeight="1">
      <c r="A12" s="115"/>
      <c r="B12" s="187"/>
      <c r="C12" s="187"/>
      <c r="D12" s="187"/>
      <c r="E12" s="188"/>
      <c r="F12" s="188"/>
      <c r="G12" s="187"/>
      <c r="H12" s="187"/>
      <c r="I12" s="186"/>
      <c r="J12" s="187"/>
      <c r="K12" s="187"/>
      <c r="L12" s="186"/>
      <c r="M12" s="187"/>
      <c r="N12" s="187"/>
      <c r="O12" s="186"/>
      <c r="P12" s="187"/>
      <c r="Q12" s="187"/>
      <c r="R12" s="186"/>
      <c r="S12" s="187"/>
      <c r="T12" s="187"/>
      <c r="U12" s="187"/>
      <c r="V12" s="187"/>
      <c r="W12" s="116"/>
      <c r="X12" s="186"/>
      <c r="Y12" s="187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</row>
    <row r="13" spans="1:40" s="114" customFormat="1" ht="15" customHeight="1">
      <c r="A13" s="115"/>
      <c r="B13" s="187"/>
      <c r="C13" s="187"/>
      <c r="D13" s="187"/>
      <c r="E13" s="188"/>
      <c r="F13" s="188"/>
      <c r="G13" s="187"/>
      <c r="H13" s="187"/>
      <c r="I13" s="186"/>
      <c r="J13" s="187"/>
      <c r="K13" s="187"/>
      <c r="L13" s="186"/>
      <c r="M13" s="187"/>
      <c r="N13" s="187"/>
      <c r="O13" s="186"/>
      <c r="P13" s="187"/>
      <c r="Q13" s="187"/>
      <c r="R13" s="186"/>
      <c r="S13" s="187"/>
      <c r="T13" s="187"/>
      <c r="U13" s="187"/>
      <c r="V13" s="187"/>
      <c r="W13" s="116"/>
      <c r="X13" s="186"/>
      <c r="Y13" s="187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</row>
    <row r="14" spans="1:40" s="114" customFormat="1" ht="15" customHeight="1">
      <c r="A14" s="115"/>
      <c r="B14" s="187"/>
      <c r="C14" s="187"/>
      <c r="D14" s="187"/>
      <c r="E14" s="188"/>
      <c r="F14" s="188"/>
      <c r="G14" s="187"/>
      <c r="H14" s="187"/>
      <c r="I14" s="186"/>
      <c r="J14" s="187"/>
      <c r="K14" s="187"/>
      <c r="L14" s="186"/>
      <c r="M14" s="187"/>
      <c r="N14" s="187"/>
      <c r="O14" s="186"/>
      <c r="P14" s="187"/>
      <c r="Q14" s="187"/>
      <c r="R14" s="186"/>
      <c r="S14" s="187"/>
      <c r="T14" s="187"/>
      <c r="U14" s="187"/>
      <c r="V14" s="187"/>
      <c r="W14" s="116"/>
      <c r="X14" s="186"/>
      <c r="Y14" s="187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</row>
    <row r="15" spans="1:40" s="114" customFormat="1" ht="15" customHeight="1">
      <c r="A15" s="115"/>
      <c r="B15" s="187"/>
      <c r="C15" s="187"/>
      <c r="D15" s="187"/>
      <c r="E15" s="188"/>
      <c r="F15" s="188"/>
      <c r="G15" s="187"/>
      <c r="H15" s="187"/>
      <c r="I15" s="186"/>
      <c r="J15" s="187"/>
      <c r="K15" s="187"/>
      <c r="L15" s="186"/>
      <c r="M15" s="187"/>
      <c r="N15" s="187"/>
      <c r="O15" s="186"/>
      <c r="P15" s="187"/>
      <c r="Q15" s="187"/>
      <c r="R15" s="186"/>
      <c r="S15" s="187"/>
      <c r="T15" s="187"/>
      <c r="U15" s="187"/>
      <c r="V15" s="187"/>
      <c r="W15" s="116"/>
      <c r="X15" s="186"/>
      <c r="Y15" s="187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</row>
    <row r="16" spans="1:40" s="114" customFormat="1" ht="15" customHeight="1">
      <c r="A16" s="115"/>
      <c r="B16" s="187"/>
      <c r="C16" s="187"/>
      <c r="D16" s="187"/>
      <c r="E16" s="188"/>
      <c r="F16" s="188"/>
      <c r="G16" s="187"/>
      <c r="H16" s="187"/>
      <c r="I16" s="186"/>
      <c r="J16" s="187"/>
      <c r="K16" s="187"/>
      <c r="L16" s="186"/>
      <c r="M16" s="187"/>
      <c r="N16" s="187"/>
      <c r="O16" s="186"/>
      <c r="P16" s="187"/>
      <c r="Q16" s="187"/>
      <c r="R16" s="186"/>
      <c r="S16" s="187"/>
      <c r="T16" s="187"/>
      <c r="U16" s="187"/>
      <c r="V16" s="187"/>
      <c r="W16" s="116"/>
      <c r="X16" s="186"/>
      <c r="Y16" s="187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</row>
    <row r="17" spans="1:35" s="114" customFormat="1" ht="15" customHeight="1">
      <c r="A17" s="115"/>
      <c r="B17" s="187"/>
      <c r="C17" s="187"/>
      <c r="D17" s="187"/>
      <c r="E17" s="188"/>
      <c r="F17" s="188"/>
      <c r="G17" s="187"/>
      <c r="H17" s="187"/>
      <c r="I17" s="186"/>
      <c r="J17" s="187"/>
      <c r="K17" s="187"/>
      <c r="L17" s="186"/>
      <c r="M17" s="187"/>
      <c r="N17" s="187"/>
      <c r="O17" s="186"/>
      <c r="P17" s="187"/>
      <c r="Q17" s="187"/>
      <c r="R17" s="186"/>
      <c r="S17" s="187"/>
      <c r="T17" s="187"/>
      <c r="U17" s="187"/>
      <c r="V17" s="187"/>
      <c r="W17" s="116"/>
      <c r="X17" s="186"/>
      <c r="Y17" s="187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</row>
    <row r="18" spans="1:35" s="114" customFormat="1" ht="15" customHeight="1">
      <c r="A18" s="115"/>
      <c r="B18" s="187"/>
      <c r="C18" s="187"/>
      <c r="D18" s="187"/>
      <c r="E18" s="188"/>
      <c r="F18" s="188"/>
      <c r="G18" s="187"/>
      <c r="H18" s="187"/>
      <c r="I18" s="186"/>
      <c r="J18" s="187"/>
      <c r="K18" s="187"/>
      <c r="L18" s="186"/>
      <c r="M18" s="187"/>
      <c r="N18" s="187"/>
      <c r="O18" s="186"/>
      <c r="P18" s="187"/>
      <c r="Q18" s="187"/>
      <c r="R18" s="186"/>
      <c r="S18" s="187"/>
      <c r="T18" s="187"/>
      <c r="U18" s="187"/>
      <c r="V18" s="187"/>
      <c r="W18" s="116"/>
      <c r="X18" s="186"/>
      <c r="Y18" s="187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</row>
    <row r="19" spans="1:35" s="114" customFormat="1" ht="15" customHeight="1">
      <c r="A19" s="115"/>
      <c r="B19" s="187"/>
      <c r="C19" s="187"/>
      <c r="D19" s="187"/>
      <c r="E19" s="188"/>
      <c r="F19" s="188"/>
      <c r="G19" s="187"/>
      <c r="H19" s="187"/>
      <c r="I19" s="186"/>
      <c r="J19" s="187"/>
      <c r="K19" s="187"/>
      <c r="L19" s="186"/>
      <c r="M19" s="187"/>
      <c r="N19" s="187"/>
      <c r="O19" s="186"/>
      <c r="P19" s="187"/>
      <c r="Q19" s="187"/>
      <c r="R19" s="186"/>
      <c r="S19" s="187"/>
      <c r="T19" s="187"/>
      <c r="U19" s="187"/>
      <c r="V19" s="187"/>
      <c r="W19" s="116"/>
      <c r="X19" s="186"/>
      <c r="Y19" s="187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</row>
    <row r="20" spans="1:35" s="114" customFormat="1" ht="15" customHeight="1">
      <c r="A20" s="115"/>
      <c r="B20" s="187"/>
      <c r="C20" s="187"/>
      <c r="D20" s="187"/>
      <c r="E20" s="188"/>
      <c r="F20" s="188"/>
      <c r="G20" s="187"/>
      <c r="H20" s="187"/>
      <c r="I20" s="186"/>
      <c r="J20" s="187"/>
      <c r="K20" s="187"/>
      <c r="L20" s="186"/>
      <c r="M20" s="187"/>
      <c r="N20" s="187"/>
      <c r="O20" s="186"/>
      <c r="P20" s="187"/>
      <c r="Q20" s="187"/>
      <c r="R20" s="186"/>
      <c r="S20" s="187"/>
      <c r="T20" s="187"/>
      <c r="U20" s="187"/>
      <c r="V20" s="187"/>
      <c r="W20" s="116"/>
      <c r="X20" s="186"/>
      <c r="Y20" s="187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</row>
    <row r="21" spans="1:35" s="114" customFormat="1" ht="15" customHeight="1">
      <c r="A21" s="115"/>
      <c r="B21" s="187"/>
      <c r="C21" s="187"/>
      <c r="D21" s="187"/>
      <c r="E21" s="188"/>
      <c r="F21" s="188"/>
      <c r="G21" s="187"/>
      <c r="H21" s="187"/>
      <c r="I21" s="186"/>
      <c r="J21" s="187"/>
      <c r="K21" s="187"/>
      <c r="L21" s="186"/>
      <c r="M21" s="187"/>
      <c r="N21" s="187"/>
      <c r="O21" s="186"/>
      <c r="P21" s="187"/>
      <c r="Q21" s="187"/>
      <c r="R21" s="186"/>
      <c r="S21" s="187"/>
      <c r="T21" s="187"/>
      <c r="U21" s="187"/>
      <c r="V21" s="187"/>
      <c r="W21" s="116"/>
      <c r="X21" s="186"/>
      <c r="Y21" s="187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</row>
    <row r="22" spans="1:35" s="114" customFormat="1" ht="15" customHeight="1">
      <c r="A22" s="115"/>
      <c r="B22" s="187"/>
      <c r="C22" s="187"/>
      <c r="D22" s="187"/>
      <c r="E22" s="188"/>
      <c r="F22" s="188"/>
      <c r="G22" s="187"/>
      <c r="H22" s="187"/>
      <c r="I22" s="186"/>
      <c r="J22" s="187"/>
      <c r="K22" s="187"/>
      <c r="L22" s="186"/>
      <c r="M22" s="187"/>
      <c r="N22" s="187"/>
      <c r="O22" s="186"/>
      <c r="P22" s="187"/>
      <c r="Q22" s="187"/>
      <c r="R22" s="186"/>
      <c r="S22" s="187"/>
      <c r="T22" s="187"/>
      <c r="U22" s="187"/>
      <c r="V22" s="187"/>
      <c r="W22" s="116"/>
      <c r="X22" s="186"/>
      <c r="Y22" s="187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</row>
    <row r="23" spans="1:35" s="114" customFormat="1" ht="15" customHeight="1">
      <c r="A23" s="115"/>
      <c r="B23" s="187"/>
      <c r="C23" s="187"/>
      <c r="D23" s="187"/>
      <c r="E23" s="188"/>
      <c r="F23" s="188"/>
      <c r="G23" s="187"/>
      <c r="H23" s="187"/>
      <c r="I23" s="186"/>
      <c r="J23" s="187"/>
      <c r="K23" s="187"/>
      <c r="L23" s="186"/>
      <c r="M23" s="187"/>
      <c r="N23" s="187"/>
      <c r="O23" s="186"/>
      <c r="P23" s="187"/>
      <c r="Q23" s="187"/>
      <c r="R23" s="186"/>
      <c r="S23" s="187"/>
      <c r="T23" s="187"/>
      <c r="U23" s="187"/>
      <c r="V23" s="187"/>
      <c r="W23" s="116"/>
      <c r="X23" s="186"/>
      <c r="Y23" s="187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</row>
    <row r="24" spans="1:35" s="114" customFormat="1" ht="15" customHeight="1">
      <c r="A24" s="115"/>
      <c r="B24" s="187"/>
      <c r="C24" s="187"/>
      <c r="D24" s="187"/>
      <c r="E24" s="188"/>
      <c r="F24" s="188"/>
      <c r="G24" s="187"/>
      <c r="H24" s="187"/>
      <c r="I24" s="186"/>
      <c r="J24" s="187"/>
      <c r="K24" s="187"/>
      <c r="L24" s="186"/>
      <c r="M24" s="187"/>
      <c r="N24" s="187"/>
      <c r="O24" s="186"/>
      <c r="P24" s="187"/>
      <c r="Q24" s="187"/>
      <c r="R24" s="186"/>
      <c r="S24" s="187"/>
      <c r="T24" s="187"/>
      <c r="U24" s="187"/>
      <c r="V24" s="187"/>
      <c r="W24" s="116"/>
      <c r="X24" s="186"/>
      <c r="Y24" s="187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</row>
    <row r="25" spans="1:35" s="114" customFormat="1" ht="15" customHeight="1">
      <c r="A25" s="115"/>
      <c r="B25" s="187"/>
      <c r="C25" s="187"/>
      <c r="D25" s="187"/>
      <c r="E25" s="188"/>
      <c r="F25" s="188"/>
      <c r="G25" s="187"/>
      <c r="H25" s="187"/>
      <c r="I25" s="186"/>
      <c r="J25" s="187"/>
      <c r="K25" s="187"/>
      <c r="L25" s="186"/>
      <c r="M25" s="187"/>
      <c r="N25" s="187"/>
      <c r="O25" s="186"/>
      <c r="P25" s="187"/>
      <c r="Q25" s="187"/>
      <c r="R25" s="186"/>
      <c r="S25" s="187"/>
      <c r="T25" s="187"/>
      <c r="U25" s="187"/>
      <c r="V25" s="187"/>
      <c r="W25" s="116"/>
      <c r="X25" s="186"/>
      <c r="Y25" s="187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</row>
    <row r="26" spans="1:35" s="114" customFormat="1" ht="15" customHeight="1">
      <c r="A26" s="115"/>
      <c r="B26" s="187"/>
      <c r="C26" s="187"/>
      <c r="D26" s="187"/>
      <c r="E26" s="188"/>
      <c r="F26" s="188"/>
      <c r="G26" s="187"/>
      <c r="H26" s="187"/>
      <c r="I26" s="186"/>
      <c r="J26" s="187"/>
      <c r="K26" s="187"/>
      <c r="L26" s="186"/>
      <c r="M26" s="187"/>
      <c r="N26" s="187"/>
      <c r="O26" s="186"/>
      <c r="P26" s="187"/>
      <c r="Q26" s="187"/>
      <c r="R26" s="186"/>
      <c r="S26" s="187"/>
      <c r="T26" s="187"/>
      <c r="U26" s="187"/>
      <c r="V26" s="187"/>
      <c r="W26" s="116"/>
      <c r="X26" s="186"/>
      <c r="Y26" s="187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</row>
    <row r="27" spans="1:35" s="114" customFormat="1" ht="15" customHeight="1">
      <c r="A27" s="115"/>
      <c r="B27" s="187"/>
      <c r="C27" s="187"/>
      <c r="D27" s="187"/>
      <c r="E27" s="188"/>
      <c r="F27" s="188"/>
      <c r="G27" s="187"/>
      <c r="H27" s="187"/>
      <c r="I27" s="186"/>
      <c r="J27" s="187"/>
      <c r="K27" s="187"/>
      <c r="L27" s="186"/>
      <c r="M27" s="187"/>
      <c r="N27" s="187"/>
      <c r="O27" s="186"/>
      <c r="P27" s="187"/>
      <c r="Q27" s="187"/>
      <c r="R27" s="186"/>
      <c r="S27" s="187"/>
      <c r="T27" s="187"/>
      <c r="U27" s="187"/>
      <c r="V27" s="187"/>
      <c r="W27" s="116"/>
      <c r="X27" s="186"/>
      <c r="Y27" s="187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</row>
    <row r="28" spans="1:35" s="114" customFormat="1" ht="15" customHeight="1">
      <c r="A28" s="115"/>
      <c r="B28" s="187"/>
      <c r="C28" s="187"/>
      <c r="D28" s="187"/>
      <c r="E28" s="188"/>
      <c r="F28" s="188"/>
      <c r="G28" s="187"/>
      <c r="H28" s="187"/>
      <c r="I28" s="186"/>
      <c r="J28" s="187"/>
      <c r="K28" s="187"/>
      <c r="L28" s="186"/>
      <c r="M28" s="187"/>
      <c r="N28" s="187"/>
      <c r="O28" s="186"/>
      <c r="P28" s="187"/>
      <c r="Q28" s="187"/>
      <c r="R28" s="186"/>
      <c r="S28" s="187"/>
      <c r="T28" s="187"/>
      <c r="U28" s="187"/>
      <c r="V28" s="187"/>
      <c r="W28" s="116"/>
      <c r="X28" s="186"/>
      <c r="Y28" s="187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</row>
    <row r="29" spans="1:35" s="114" customFormat="1" ht="15" customHeight="1">
      <c r="A29" s="115"/>
      <c r="B29" s="187"/>
      <c r="C29" s="187"/>
      <c r="D29" s="187"/>
      <c r="E29" s="188"/>
      <c r="F29" s="188"/>
      <c r="G29" s="187"/>
      <c r="H29" s="187"/>
      <c r="I29" s="186"/>
      <c r="J29" s="187"/>
      <c r="K29" s="187"/>
      <c r="L29" s="186"/>
      <c r="M29" s="187"/>
      <c r="N29" s="187"/>
      <c r="O29" s="186"/>
      <c r="P29" s="187"/>
      <c r="Q29" s="187"/>
      <c r="R29" s="186"/>
      <c r="S29" s="187"/>
      <c r="T29" s="187"/>
      <c r="U29" s="187"/>
      <c r="V29" s="187"/>
      <c r="W29" s="116"/>
      <c r="X29" s="186"/>
      <c r="Y29" s="187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</row>
    <row r="30" spans="1:35" s="114" customFormat="1" ht="15" customHeight="1">
      <c r="A30" s="115"/>
      <c r="B30" s="187"/>
      <c r="C30" s="187"/>
      <c r="D30" s="187"/>
      <c r="E30" s="188"/>
      <c r="F30" s="188"/>
      <c r="G30" s="187"/>
      <c r="H30" s="187"/>
      <c r="I30" s="186"/>
      <c r="J30" s="187"/>
      <c r="K30" s="187"/>
      <c r="L30" s="186"/>
      <c r="M30" s="187"/>
      <c r="N30" s="187"/>
      <c r="O30" s="186"/>
      <c r="P30" s="187"/>
      <c r="Q30" s="187"/>
      <c r="R30" s="186"/>
      <c r="S30" s="187"/>
      <c r="T30" s="187"/>
      <c r="U30" s="187"/>
      <c r="V30" s="187"/>
      <c r="W30" s="116"/>
      <c r="X30" s="186"/>
      <c r="Y30" s="187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</row>
    <row r="31" spans="1:35" s="114" customFormat="1" ht="15" customHeight="1">
      <c r="A31" s="115"/>
      <c r="B31" s="187"/>
      <c r="C31" s="187"/>
      <c r="D31" s="187"/>
      <c r="E31" s="188"/>
      <c r="F31" s="188"/>
      <c r="G31" s="187"/>
      <c r="H31" s="187"/>
      <c r="I31" s="186"/>
      <c r="J31" s="187"/>
      <c r="K31" s="187"/>
      <c r="L31" s="186"/>
      <c r="M31" s="187"/>
      <c r="N31" s="187"/>
      <c r="O31" s="186"/>
      <c r="P31" s="187"/>
      <c r="Q31" s="187"/>
      <c r="R31" s="186"/>
      <c r="S31" s="187"/>
      <c r="T31" s="187"/>
      <c r="U31" s="187"/>
      <c r="V31" s="187"/>
      <c r="W31" s="116"/>
      <c r="X31" s="186"/>
      <c r="Y31" s="187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</row>
    <row r="32" spans="1:35" s="114" customFormat="1" ht="15" customHeight="1">
      <c r="A32" s="115"/>
      <c r="B32" s="187"/>
      <c r="C32" s="187"/>
      <c r="D32" s="187"/>
      <c r="E32" s="188"/>
      <c r="F32" s="188"/>
      <c r="G32" s="187"/>
      <c r="H32" s="187"/>
      <c r="I32" s="186"/>
      <c r="J32" s="187"/>
      <c r="K32" s="187"/>
      <c r="L32" s="186"/>
      <c r="M32" s="187"/>
      <c r="N32" s="187"/>
      <c r="O32" s="186"/>
      <c r="P32" s="187"/>
      <c r="Q32" s="187"/>
      <c r="R32" s="186"/>
      <c r="S32" s="187"/>
      <c r="T32" s="187"/>
      <c r="U32" s="187"/>
      <c r="V32" s="187"/>
      <c r="W32" s="116"/>
      <c r="X32" s="186"/>
      <c r="Y32" s="187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</row>
    <row r="33" spans="1:35" s="114" customFormat="1" ht="15" customHeight="1">
      <c r="A33" s="115"/>
      <c r="B33" s="187"/>
      <c r="C33" s="187"/>
      <c r="D33" s="187"/>
      <c r="E33" s="188"/>
      <c r="F33" s="188"/>
      <c r="G33" s="187"/>
      <c r="H33" s="187"/>
      <c r="I33" s="186"/>
      <c r="J33" s="187"/>
      <c r="K33" s="187"/>
      <c r="L33" s="186"/>
      <c r="M33" s="187"/>
      <c r="N33" s="187"/>
      <c r="O33" s="186"/>
      <c r="P33" s="187"/>
      <c r="Q33" s="187"/>
      <c r="R33" s="186"/>
      <c r="S33" s="187"/>
      <c r="T33" s="187"/>
      <c r="U33" s="187"/>
      <c r="V33" s="187"/>
      <c r="W33" s="116"/>
      <c r="X33" s="186"/>
      <c r="Y33" s="187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</row>
    <row r="34" spans="1:35" s="114" customFormat="1" ht="15" customHeight="1">
      <c r="A34" s="115"/>
      <c r="B34" s="187"/>
      <c r="C34" s="187"/>
      <c r="D34" s="187"/>
      <c r="E34" s="188"/>
      <c r="F34" s="188"/>
      <c r="G34" s="187"/>
      <c r="H34" s="187"/>
      <c r="I34" s="186"/>
      <c r="J34" s="187"/>
      <c r="K34" s="187"/>
      <c r="L34" s="186"/>
      <c r="M34" s="187"/>
      <c r="N34" s="187"/>
      <c r="O34" s="186"/>
      <c r="P34" s="187"/>
      <c r="Q34" s="187"/>
      <c r="R34" s="186"/>
      <c r="S34" s="187"/>
      <c r="T34" s="187"/>
      <c r="U34" s="187"/>
      <c r="V34" s="187"/>
      <c r="W34" s="116"/>
      <c r="X34" s="186"/>
      <c r="Y34" s="187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</row>
    <row r="35" spans="1:35" s="114" customFormat="1" ht="15" customHeight="1">
      <c r="A35" s="115"/>
      <c r="B35" s="187"/>
      <c r="C35" s="187"/>
      <c r="D35" s="187"/>
      <c r="E35" s="188"/>
      <c r="F35" s="188"/>
      <c r="G35" s="187"/>
      <c r="H35" s="187"/>
      <c r="I35" s="186"/>
      <c r="J35" s="187"/>
      <c r="K35" s="187"/>
      <c r="L35" s="186"/>
      <c r="M35" s="187"/>
      <c r="N35" s="187"/>
      <c r="O35" s="186"/>
      <c r="P35" s="187"/>
      <c r="Q35" s="187"/>
      <c r="R35" s="186"/>
      <c r="S35" s="187"/>
      <c r="T35" s="187"/>
      <c r="U35" s="187"/>
      <c r="V35" s="187"/>
      <c r="W35" s="116"/>
      <c r="X35" s="186"/>
      <c r="Y35" s="187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</row>
    <row r="36" spans="1:35" s="114" customFormat="1" ht="15" customHeight="1">
      <c r="A36" s="115"/>
      <c r="B36" s="187"/>
      <c r="C36" s="187"/>
      <c r="D36" s="187"/>
      <c r="E36" s="188"/>
      <c r="F36" s="188"/>
      <c r="G36" s="187"/>
      <c r="H36" s="187"/>
      <c r="I36" s="186"/>
      <c r="J36" s="187"/>
      <c r="K36" s="187"/>
      <c r="L36" s="186"/>
      <c r="M36" s="187"/>
      <c r="N36" s="187"/>
      <c r="O36" s="186"/>
      <c r="P36" s="187"/>
      <c r="Q36" s="187"/>
      <c r="R36" s="186"/>
      <c r="S36" s="187"/>
      <c r="T36" s="187"/>
      <c r="U36" s="187"/>
      <c r="V36" s="187"/>
      <c r="W36" s="116"/>
      <c r="X36" s="186"/>
      <c r="Y36" s="187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</row>
    <row r="37" spans="1:35" s="114" customFormat="1" ht="15" customHeight="1">
      <c r="A37" s="115"/>
      <c r="B37" s="187"/>
      <c r="C37" s="187"/>
      <c r="D37" s="187"/>
      <c r="E37" s="188"/>
      <c r="F37" s="188"/>
      <c r="G37" s="187"/>
      <c r="H37" s="187"/>
      <c r="I37" s="186"/>
      <c r="J37" s="187"/>
      <c r="K37" s="187"/>
      <c r="L37" s="186"/>
      <c r="M37" s="187"/>
      <c r="N37" s="187"/>
      <c r="O37" s="186"/>
      <c r="P37" s="187"/>
      <c r="Q37" s="187"/>
      <c r="R37" s="186"/>
      <c r="S37" s="187"/>
      <c r="T37" s="187"/>
      <c r="U37" s="187"/>
      <c r="V37" s="187"/>
      <c r="W37" s="116"/>
      <c r="X37" s="186"/>
      <c r="Y37" s="187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</row>
    <row r="38" spans="1:35" s="114" customFormat="1" ht="15" customHeight="1">
      <c r="A38" s="117"/>
      <c r="B38" s="118"/>
      <c r="C38" s="118"/>
      <c r="D38" s="118"/>
      <c r="E38" s="119"/>
      <c r="F38" s="119"/>
      <c r="G38" s="118"/>
      <c r="H38" s="118"/>
      <c r="I38" s="120"/>
      <c r="J38" s="118"/>
      <c r="K38" s="118"/>
      <c r="L38" s="120"/>
      <c r="M38" s="118"/>
      <c r="N38" s="118"/>
      <c r="O38" s="120"/>
      <c r="P38" s="118"/>
      <c r="Q38" s="118"/>
      <c r="R38" s="120"/>
      <c r="S38" s="118"/>
      <c r="T38" s="118"/>
      <c r="U38" s="118"/>
      <c r="V38" s="118"/>
      <c r="W38" s="121"/>
      <c r="X38" s="186"/>
      <c r="Y38" s="187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</row>
    <row r="54" spans="5:9" ht="35.1" customHeight="1">
      <c r="E54" s="103"/>
      <c r="F54" s="103"/>
      <c r="G54" s="103"/>
      <c r="H54" s="103"/>
      <c r="I54" s="103"/>
    </row>
    <row r="16367" spans="26:30">
      <c r="Z16367" s="101">
        <v>24.446999999999999</v>
      </c>
      <c r="AB16367" s="101">
        <v>1.6</v>
      </c>
      <c r="AC16367" s="101">
        <v>1.5269999999999999</v>
      </c>
      <c r="AD16367" s="101">
        <v>72</v>
      </c>
    </row>
    <row r="16368" spans="26:30">
      <c r="Z16368" s="101">
        <v>17.547999999999998</v>
      </c>
      <c r="AB16368" s="101">
        <v>1.629</v>
      </c>
      <c r="AC16368" s="101">
        <v>73</v>
      </c>
      <c r="AD16368" s="101">
        <v>24.443999999999999</v>
      </c>
    </row>
    <row r="16369" spans="26:30">
      <c r="Z16369" s="101">
        <v>1.645</v>
      </c>
      <c r="AB16369" s="101">
        <v>72</v>
      </c>
      <c r="AC16369" s="101">
        <v>24.393000000000001</v>
      </c>
      <c r="AD16369" s="101">
        <v>17.591000000000001</v>
      </c>
    </row>
    <row r="16370" spans="26:30">
      <c r="Z16370" s="101">
        <v>1.579</v>
      </c>
      <c r="AB16370" s="101">
        <v>24.516999999999999</v>
      </c>
      <c r="AC16370" s="101">
        <v>17.501999999999999</v>
      </c>
    </row>
    <row r="16371" spans="26:30">
      <c r="Z16371" s="101">
        <v>73</v>
      </c>
      <c r="AB16371" s="101">
        <v>17.587</v>
      </c>
      <c r="AC16371" s="101">
        <v>1.5840000000000001</v>
      </c>
    </row>
    <row r="16372" spans="26:30">
      <c r="Z16372" s="101">
        <v>1.613</v>
      </c>
      <c r="AB16372" s="101">
        <v>1.4830000000000001</v>
      </c>
      <c r="AC16372" s="101">
        <v>1.5509999999999999</v>
      </c>
    </row>
    <row r="16373" spans="26:30">
      <c r="Z16373" s="101">
        <v>72</v>
      </c>
    </row>
    <row r="16374" spans="26:30">
      <c r="Z16374" s="101">
        <v>24.47</v>
      </c>
    </row>
    <row r="16375" spans="26:30">
      <c r="Z16375" s="101">
        <v>17.536000000000001</v>
      </c>
    </row>
    <row r="16376" spans="26:30">
      <c r="Z16376" s="101">
        <v>1.5860000000000001</v>
      </c>
    </row>
    <row r="16377" spans="26:30">
      <c r="Z16377" s="101">
        <v>1.552</v>
      </c>
    </row>
    <row r="16378" spans="26:30">
      <c r="Z16378" s="101">
        <v>70</v>
      </c>
    </row>
    <row r="16379" spans="26:30">
      <c r="Z16379" s="101">
        <v>24.384</v>
      </c>
    </row>
    <row r="16380" spans="26:30">
      <c r="Z16380" s="101">
        <v>72</v>
      </c>
    </row>
  </sheetData>
  <mergeCells count="4">
    <mergeCell ref="A2:W2"/>
    <mergeCell ref="A3:W3"/>
    <mergeCell ref="A4:W4"/>
    <mergeCell ref="A5:W5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2" orientation="landscape" r:id="rId1"/>
  <headerFooter>
    <oddFooter>Page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pageSetUpPr fitToPage="1"/>
  </sheetPr>
  <dimension ref="A2:AN16380"/>
  <sheetViews>
    <sheetView zoomScale="85" zoomScaleNormal="85" workbookViewId="0">
      <selection activeCell="A4" sqref="A4"/>
    </sheetView>
  </sheetViews>
  <sheetFormatPr baseColWidth="10" defaultColWidth="11.42578125" defaultRowHeight="12.75"/>
  <cols>
    <col min="1" max="1" width="8.7109375" style="102" customWidth="1"/>
    <col min="2" max="2" width="0" style="102" hidden="1" customWidth="1"/>
    <col min="3" max="4" width="5.7109375" style="102" customWidth="1"/>
    <col min="5" max="6" width="6.7109375" style="102" customWidth="1"/>
    <col min="7" max="8" width="7.28515625" style="102" customWidth="1"/>
    <col min="9" max="9" width="5.7109375" style="102" customWidth="1"/>
    <col min="10" max="11" width="6.7109375" style="102" customWidth="1"/>
    <col min="12" max="12" width="5.7109375" style="102" customWidth="1"/>
    <col min="13" max="14" width="6.7109375" style="102" customWidth="1"/>
    <col min="15" max="15" width="5.7109375" style="102" customWidth="1"/>
    <col min="16" max="17" width="6.7109375" style="102" customWidth="1"/>
    <col min="18" max="18" width="5.7109375" style="102" customWidth="1"/>
    <col min="19" max="23" width="6.7109375" style="102" customWidth="1"/>
    <col min="24" max="24" width="5.7109375" style="102" customWidth="1"/>
    <col min="25" max="25" width="6.7109375" style="102" customWidth="1"/>
    <col min="26" max="35" width="3.7109375" style="101" customWidth="1"/>
    <col min="36" max="16384" width="11.42578125" style="102"/>
  </cols>
  <sheetData>
    <row r="2" spans="1:40" s="103" customFormat="1" ht="22.9" customHeight="1">
      <c r="A2" s="240" t="s">
        <v>27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51"/>
      <c r="Q2" s="51"/>
      <c r="R2" s="51"/>
      <c r="S2" s="51"/>
      <c r="T2" s="51"/>
      <c r="U2" s="51"/>
      <c r="V2" s="51"/>
      <c r="W2" s="51"/>
      <c r="X2" s="51"/>
      <c r="Y2" s="51"/>
    </row>
    <row r="3" spans="1:40" s="103" customFormat="1" ht="18" customHeight="1">
      <c r="A3" s="214" t="str">
        <f>'Rapport d''essai dimensionnel'!A13</f>
        <v xml:space="preserve">N° 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14"/>
      <c r="Q3" s="14"/>
      <c r="R3" s="14"/>
      <c r="S3" s="14"/>
      <c r="T3" s="14"/>
      <c r="U3" s="14"/>
      <c r="V3" s="14"/>
      <c r="W3" s="14"/>
      <c r="X3" s="14"/>
      <c r="Y3" s="14"/>
      <c r="AK3" s="104" t="s">
        <v>86</v>
      </c>
      <c r="AL3" s="104"/>
      <c r="AM3" s="104"/>
      <c r="AN3" s="105"/>
    </row>
    <row r="4" spans="1:40" s="103" customFormat="1" ht="19.5" customHeight="1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40" ht="21.75" customHeight="1">
      <c r="A5" s="241" t="s">
        <v>87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3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06"/>
      <c r="AA5" s="106"/>
      <c r="AB5" s="107"/>
      <c r="AC5" s="107"/>
      <c r="AD5" s="102"/>
      <c r="AE5" s="102"/>
      <c r="AF5" s="102"/>
      <c r="AG5" s="102"/>
      <c r="AH5" s="102"/>
      <c r="AI5" s="102"/>
    </row>
    <row r="6" spans="1:40" s="114" customFormat="1" ht="15" customHeight="1">
      <c r="A6" s="244"/>
      <c r="B6" s="245"/>
      <c r="C6" s="245"/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6"/>
      <c r="P6" s="187"/>
      <c r="Q6" s="187"/>
      <c r="R6" s="186"/>
      <c r="S6" s="187"/>
      <c r="T6" s="187"/>
      <c r="U6" s="187"/>
      <c r="V6" s="187"/>
      <c r="W6" s="187"/>
      <c r="X6" s="186"/>
      <c r="Y6" s="187"/>
      <c r="Z6" s="113"/>
      <c r="AA6" s="113"/>
      <c r="AB6" s="113"/>
      <c r="AC6" s="113"/>
      <c r="AD6" s="113"/>
      <c r="AE6" s="113"/>
      <c r="AF6" s="113"/>
      <c r="AG6" s="113"/>
      <c r="AH6" s="113"/>
      <c r="AI6" s="113"/>
    </row>
    <row r="7" spans="1:40" s="114" customFormat="1" ht="15" customHeight="1">
      <c r="A7" s="108"/>
      <c r="B7" s="109"/>
      <c r="C7" s="109"/>
      <c r="D7" s="109"/>
      <c r="E7" s="110"/>
      <c r="F7" s="110"/>
      <c r="G7" s="109"/>
      <c r="H7" s="109"/>
      <c r="I7" s="111"/>
      <c r="J7" s="109"/>
      <c r="K7" s="109"/>
      <c r="L7" s="111"/>
      <c r="M7" s="109"/>
      <c r="N7" s="109"/>
      <c r="O7" s="204"/>
      <c r="P7" s="187"/>
      <c r="Q7" s="187"/>
      <c r="R7" s="186"/>
      <c r="S7" s="187"/>
      <c r="T7" s="187"/>
      <c r="U7" s="187"/>
      <c r="V7" s="187"/>
      <c r="W7" s="187"/>
      <c r="X7" s="186"/>
      <c r="Y7" s="187"/>
      <c r="Z7" s="113"/>
      <c r="AA7" s="113"/>
      <c r="AB7" s="113"/>
      <c r="AC7" s="113"/>
      <c r="AD7" s="113"/>
      <c r="AE7" s="113"/>
      <c r="AF7" s="113"/>
      <c r="AG7" s="113"/>
      <c r="AH7" s="113"/>
      <c r="AI7" s="113"/>
    </row>
    <row r="8" spans="1:40" s="114" customFormat="1" ht="15" customHeight="1">
      <c r="A8" s="115"/>
      <c r="B8" s="187"/>
      <c r="C8" s="187"/>
      <c r="D8" s="187"/>
      <c r="E8" s="188"/>
      <c r="F8" s="188"/>
      <c r="G8" s="187"/>
      <c r="H8" s="187"/>
      <c r="I8" s="186"/>
      <c r="J8" s="187"/>
      <c r="K8" s="187"/>
      <c r="L8" s="186"/>
      <c r="M8" s="187"/>
      <c r="N8" s="187"/>
      <c r="O8" s="205"/>
      <c r="P8" s="187"/>
      <c r="Q8" s="187"/>
      <c r="R8" s="186"/>
      <c r="S8" s="187"/>
      <c r="T8" s="187"/>
      <c r="U8" s="187"/>
      <c r="V8" s="187"/>
      <c r="W8" s="187"/>
      <c r="X8" s="186"/>
      <c r="Y8" s="187"/>
      <c r="Z8" s="113"/>
      <c r="AA8" s="113"/>
      <c r="AB8" s="113"/>
      <c r="AC8" s="113"/>
      <c r="AD8" s="113"/>
      <c r="AE8" s="113"/>
      <c r="AF8" s="113"/>
      <c r="AG8" s="113"/>
      <c r="AH8" s="113"/>
      <c r="AI8" s="113"/>
    </row>
    <row r="9" spans="1:40" s="114" customFormat="1" ht="15" customHeight="1">
      <c r="A9" s="115"/>
      <c r="B9" s="187"/>
      <c r="C9" s="187"/>
      <c r="D9" s="187"/>
      <c r="E9" s="188"/>
      <c r="F9" s="188"/>
      <c r="G9" s="187"/>
      <c r="H9" s="187"/>
      <c r="I9" s="186"/>
      <c r="J9" s="187"/>
      <c r="K9" s="187"/>
      <c r="L9" s="186"/>
      <c r="M9" s="187"/>
      <c r="N9" s="187"/>
      <c r="O9" s="205"/>
      <c r="P9" s="187"/>
      <c r="Q9" s="187"/>
      <c r="R9" s="186"/>
      <c r="S9" s="187"/>
      <c r="T9" s="187"/>
      <c r="U9" s="187"/>
      <c r="V9" s="187"/>
      <c r="W9" s="187"/>
      <c r="X9" s="186"/>
      <c r="Y9" s="187"/>
      <c r="Z9" s="113"/>
      <c r="AA9" s="113"/>
      <c r="AB9" s="113"/>
      <c r="AC9" s="113"/>
      <c r="AD9" s="113"/>
      <c r="AE9" s="113"/>
      <c r="AF9" s="113"/>
      <c r="AG9" s="113"/>
      <c r="AH9" s="113"/>
      <c r="AI9" s="113"/>
    </row>
    <row r="10" spans="1:40" s="114" customFormat="1" ht="15" customHeight="1">
      <c r="A10" s="115"/>
      <c r="B10" s="187"/>
      <c r="C10" s="187"/>
      <c r="D10" s="187"/>
      <c r="E10" s="188"/>
      <c r="F10" s="188"/>
      <c r="G10" s="187"/>
      <c r="H10" s="187"/>
      <c r="I10" s="186"/>
      <c r="J10" s="187"/>
      <c r="K10" s="187"/>
      <c r="L10" s="186"/>
      <c r="M10" s="187"/>
      <c r="N10" s="187"/>
      <c r="O10" s="205"/>
      <c r="P10" s="187"/>
      <c r="Q10" s="187"/>
      <c r="R10" s="186"/>
      <c r="S10" s="187"/>
      <c r="T10" s="187"/>
      <c r="U10" s="187"/>
      <c r="V10" s="187"/>
      <c r="W10" s="187"/>
      <c r="X10" s="186"/>
      <c r="Y10" s="187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</row>
    <row r="11" spans="1:40" s="114" customFormat="1" ht="15" customHeight="1">
      <c r="A11" s="115"/>
      <c r="B11" s="187"/>
      <c r="C11" s="187"/>
      <c r="D11" s="187"/>
      <c r="E11" s="188"/>
      <c r="F11" s="188"/>
      <c r="G11" s="187"/>
      <c r="H11" s="187"/>
      <c r="I11" s="186"/>
      <c r="J11" s="187"/>
      <c r="K11" s="187"/>
      <c r="L11" s="186"/>
      <c r="M11" s="187"/>
      <c r="N11" s="187"/>
      <c r="O11" s="205"/>
      <c r="P11" s="187"/>
      <c r="Q11" s="187"/>
      <c r="R11" s="186"/>
      <c r="S11" s="187"/>
      <c r="T11" s="187"/>
      <c r="U11" s="187"/>
      <c r="V11" s="187"/>
      <c r="W11" s="187"/>
      <c r="X11" s="186"/>
      <c r="Y11" s="187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</row>
    <row r="12" spans="1:40" s="114" customFormat="1" ht="15" customHeight="1">
      <c r="A12" s="115"/>
      <c r="B12" s="187"/>
      <c r="C12" s="187"/>
      <c r="D12" s="187"/>
      <c r="E12" s="188"/>
      <c r="F12" s="188"/>
      <c r="G12" s="187"/>
      <c r="H12" s="187"/>
      <c r="I12" s="186"/>
      <c r="J12" s="187"/>
      <c r="K12" s="187"/>
      <c r="L12" s="186"/>
      <c r="M12" s="187"/>
      <c r="N12" s="187"/>
      <c r="O12" s="205"/>
      <c r="P12" s="187"/>
      <c r="Q12" s="187"/>
      <c r="R12" s="186"/>
      <c r="S12" s="187"/>
      <c r="T12" s="187"/>
      <c r="U12" s="187"/>
      <c r="V12" s="187"/>
      <c r="W12" s="187"/>
      <c r="X12" s="186"/>
      <c r="Y12" s="187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</row>
    <row r="13" spans="1:40" s="114" customFormat="1" ht="15" customHeight="1">
      <c r="A13" s="115"/>
      <c r="B13" s="187"/>
      <c r="C13" s="187"/>
      <c r="D13" s="187"/>
      <c r="E13" s="188"/>
      <c r="F13" s="188"/>
      <c r="G13" s="187"/>
      <c r="H13" s="187"/>
      <c r="I13" s="186"/>
      <c r="J13" s="187"/>
      <c r="K13" s="187"/>
      <c r="L13" s="186"/>
      <c r="M13" s="187"/>
      <c r="N13" s="187"/>
      <c r="O13" s="205"/>
      <c r="P13" s="187"/>
      <c r="Q13" s="187"/>
      <c r="R13" s="186"/>
      <c r="S13" s="187"/>
      <c r="T13" s="187"/>
      <c r="U13" s="187"/>
      <c r="V13" s="187"/>
      <c r="W13" s="187"/>
      <c r="X13" s="186"/>
      <c r="Y13" s="187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</row>
    <row r="14" spans="1:40" s="114" customFormat="1" ht="15" customHeight="1">
      <c r="A14" s="115"/>
      <c r="B14" s="187"/>
      <c r="C14" s="187"/>
      <c r="D14" s="187"/>
      <c r="E14" s="188"/>
      <c r="F14" s="188"/>
      <c r="G14" s="187"/>
      <c r="H14" s="187"/>
      <c r="I14" s="186"/>
      <c r="J14" s="187"/>
      <c r="K14" s="187"/>
      <c r="L14" s="186"/>
      <c r="M14" s="187"/>
      <c r="N14" s="187"/>
      <c r="O14" s="205"/>
      <c r="P14" s="187"/>
      <c r="Q14" s="187"/>
      <c r="R14" s="186"/>
      <c r="S14" s="187"/>
      <c r="T14" s="187"/>
      <c r="U14" s="187"/>
      <c r="V14" s="187"/>
      <c r="W14" s="187"/>
      <c r="X14" s="186"/>
      <c r="Y14" s="187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</row>
    <row r="15" spans="1:40" s="114" customFormat="1" ht="15" customHeight="1">
      <c r="A15" s="115"/>
      <c r="B15" s="187"/>
      <c r="C15" s="187"/>
      <c r="D15" s="187"/>
      <c r="E15" s="188"/>
      <c r="F15" s="188"/>
      <c r="G15" s="187"/>
      <c r="H15" s="187"/>
      <c r="I15" s="186"/>
      <c r="J15" s="187"/>
      <c r="K15" s="187"/>
      <c r="L15" s="186"/>
      <c r="M15" s="187"/>
      <c r="N15" s="187"/>
      <c r="O15" s="205"/>
      <c r="P15" s="187"/>
      <c r="Q15" s="187"/>
      <c r="R15" s="186"/>
      <c r="S15" s="187"/>
      <c r="T15" s="187"/>
      <c r="U15" s="187"/>
      <c r="V15" s="187"/>
      <c r="W15" s="187"/>
      <c r="X15" s="186"/>
      <c r="Y15" s="187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</row>
    <row r="16" spans="1:40" s="114" customFormat="1" ht="15" customHeight="1">
      <c r="A16" s="115"/>
      <c r="B16" s="187"/>
      <c r="C16" s="187"/>
      <c r="D16" s="187"/>
      <c r="E16" s="188"/>
      <c r="F16" s="188"/>
      <c r="G16" s="187"/>
      <c r="H16" s="187"/>
      <c r="I16" s="186"/>
      <c r="J16" s="187"/>
      <c r="K16" s="187"/>
      <c r="L16" s="186"/>
      <c r="M16" s="187"/>
      <c r="N16" s="187"/>
      <c r="O16" s="205"/>
      <c r="P16" s="187"/>
      <c r="Q16" s="187"/>
      <c r="R16" s="186"/>
      <c r="S16" s="187"/>
      <c r="T16" s="187"/>
      <c r="U16" s="187"/>
      <c r="V16" s="187"/>
      <c r="W16" s="187"/>
      <c r="X16" s="186"/>
      <c r="Y16" s="187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</row>
    <row r="17" spans="1:35" s="114" customFormat="1" ht="15" customHeight="1">
      <c r="A17" s="115"/>
      <c r="B17" s="187"/>
      <c r="C17" s="187"/>
      <c r="D17" s="187"/>
      <c r="E17" s="188"/>
      <c r="F17" s="188"/>
      <c r="G17" s="187"/>
      <c r="H17" s="187"/>
      <c r="I17" s="186"/>
      <c r="J17" s="187"/>
      <c r="K17" s="187"/>
      <c r="L17" s="186"/>
      <c r="M17" s="187"/>
      <c r="N17" s="187"/>
      <c r="O17" s="205"/>
      <c r="P17" s="187"/>
      <c r="Q17" s="187"/>
      <c r="R17" s="186"/>
      <c r="S17" s="187"/>
      <c r="T17" s="187"/>
      <c r="U17" s="187"/>
      <c r="V17" s="187"/>
      <c r="W17" s="187"/>
      <c r="X17" s="186"/>
      <c r="Y17" s="187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</row>
    <row r="18" spans="1:35" s="114" customFormat="1" ht="15" customHeight="1">
      <c r="A18" s="115"/>
      <c r="B18" s="187"/>
      <c r="C18" s="187"/>
      <c r="D18" s="187"/>
      <c r="E18" s="188"/>
      <c r="F18" s="188"/>
      <c r="G18" s="187"/>
      <c r="H18" s="187"/>
      <c r="I18" s="186"/>
      <c r="J18" s="187"/>
      <c r="K18" s="187"/>
      <c r="L18" s="186"/>
      <c r="M18" s="187"/>
      <c r="N18" s="187"/>
      <c r="O18" s="205"/>
      <c r="P18" s="187"/>
      <c r="Q18" s="187"/>
      <c r="R18" s="186"/>
      <c r="S18" s="187"/>
      <c r="T18" s="187"/>
      <c r="U18" s="187"/>
      <c r="V18" s="187"/>
      <c r="W18" s="187"/>
      <c r="X18" s="186"/>
      <c r="Y18" s="187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</row>
    <row r="19" spans="1:35" s="114" customFormat="1" ht="15" customHeight="1">
      <c r="A19" s="115"/>
      <c r="B19" s="187"/>
      <c r="C19" s="187"/>
      <c r="D19" s="187"/>
      <c r="E19" s="188"/>
      <c r="F19" s="188"/>
      <c r="G19" s="187"/>
      <c r="H19" s="187"/>
      <c r="I19" s="186"/>
      <c r="J19" s="187"/>
      <c r="K19" s="187"/>
      <c r="L19" s="186"/>
      <c r="M19" s="187"/>
      <c r="N19" s="187"/>
      <c r="O19" s="205"/>
      <c r="P19" s="187"/>
      <c r="Q19" s="187"/>
      <c r="R19" s="186"/>
      <c r="S19" s="187"/>
      <c r="T19" s="187"/>
      <c r="U19" s="187"/>
      <c r="V19" s="187"/>
      <c r="W19" s="187"/>
      <c r="X19" s="186"/>
      <c r="Y19" s="187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</row>
    <row r="20" spans="1:35" s="114" customFormat="1" ht="15" customHeight="1">
      <c r="A20" s="115"/>
      <c r="B20" s="187"/>
      <c r="C20" s="187"/>
      <c r="D20" s="187"/>
      <c r="E20" s="188"/>
      <c r="F20" s="188"/>
      <c r="G20" s="187"/>
      <c r="H20" s="187"/>
      <c r="I20" s="186"/>
      <c r="J20" s="187"/>
      <c r="K20" s="187"/>
      <c r="L20" s="186"/>
      <c r="M20" s="187"/>
      <c r="N20" s="187"/>
      <c r="O20" s="205"/>
      <c r="P20" s="187"/>
      <c r="Q20" s="187"/>
      <c r="R20" s="186"/>
      <c r="S20" s="187"/>
      <c r="T20" s="187"/>
      <c r="U20" s="187"/>
      <c r="V20" s="187"/>
      <c r="W20" s="187"/>
      <c r="X20" s="186"/>
      <c r="Y20" s="187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</row>
    <row r="21" spans="1:35" s="114" customFormat="1" ht="15" customHeight="1">
      <c r="A21" s="115"/>
      <c r="B21" s="187"/>
      <c r="C21" s="187"/>
      <c r="D21" s="187"/>
      <c r="E21" s="188"/>
      <c r="F21" s="188"/>
      <c r="G21" s="187"/>
      <c r="H21" s="187"/>
      <c r="I21" s="186"/>
      <c r="J21" s="187"/>
      <c r="K21" s="187"/>
      <c r="L21" s="186"/>
      <c r="M21" s="187"/>
      <c r="N21" s="187"/>
      <c r="O21" s="205"/>
      <c r="P21" s="187"/>
      <c r="Q21" s="187"/>
      <c r="R21" s="186"/>
      <c r="S21" s="187"/>
      <c r="T21" s="187"/>
      <c r="U21" s="187"/>
      <c r="V21" s="187"/>
      <c r="W21" s="187"/>
      <c r="X21" s="186"/>
      <c r="Y21" s="187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</row>
    <row r="22" spans="1:35" s="114" customFormat="1" ht="15" customHeight="1">
      <c r="A22" s="115"/>
      <c r="B22" s="187"/>
      <c r="C22" s="187"/>
      <c r="D22" s="187"/>
      <c r="E22" s="188"/>
      <c r="F22" s="188"/>
      <c r="G22" s="187"/>
      <c r="H22" s="187"/>
      <c r="I22" s="186"/>
      <c r="J22" s="187"/>
      <c r="K22" s="187"/>
      <c r="L22" s="186"/>
      <c r="M22" s="187"/>
      <c r="N22" s="187"/>
      <c r="O22" s="205"/>
      <c r="P22" s="187"/>
      <c r="Q22" s="187"/>
      <c r="R22" s="186"/>
      <c r="S22" s="187"/>
      <c r="T22" s="187"/>
      <c r="U22" s="187"/>
      <c r="V22" s="187"/>
      <c r="W22" s="187"/>
      <c r="X22" s="186"/>
      <c r="Y22" s="187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</row>
    <row r="23" spans="1:35" s="114" customFormat="1" ht="15" customHeight="1">
      <c r="A23" s="115"/>
      <c r="B23" s="187"/>
      <c r="C23" s="187"/>
      <c r="D23" s="187"/>
      <c r="E23" s="188"/>
      <c r="F23" s="188"/>
      <c r="G23" s="187"/>
      <c r="H23" s="187"/>
      <c r="I23" s="186"/>
      <c r="J23" s="187"/>
      <c r="K23" s="187"/>
      <c r="L23" s="186"/>
      <c r="M23" s="187"/>
      <c r="N23" s="187"/>
      <c r="O23" s="205"/>
      <c r="P23" s="187"/>
      <c r="Q23" s="187"/>
      <c r="R23" s="186"/>
      <c r="S23" s="187"/>
      <c r="T23" s="187"/>
      <c r="U23" s="187"/>
      <c r="V23" s="187"/>
      <c r="W23" s="187"/>
      <c r="X23" s="186"/>
      <c r="Y23" s="187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</row>
    <row r="24" spans="1:35" s="114" customFormat="1" ht="15" customHeight="1">
      <c r="A24" s="115"/>
      <c r="B24" s="187"/>
      <c r="C24" s="187"/>
      <c r="D24" s="187"/>
      <c r="E24" s="188"/>
      <c r="F24" s="188"/>
      <c r="G24" s="187"/>
      <c r="H24" s="187"/>
      <c r="I24" s="186"/>
      <c r="J24" s="187"/>
      <c r="K24" s="187"/>
      <c r="L24" s="186"/>
      <c r="M24" s="187"/>
      <c r="N24" s="187"/>
      <c r="O24" s="205"/>
      <c r="P24" s="187"/>
      <c r="Q24" s="187"/>
      <c r="R24" s="186"/>
      <c r="S24" s="187"/>
      <c r="T24" s="187"/>
      <c r="U24" s="187"/>
      <c r="V24" s="187"/>
      <c r="W24" s="187"/>
      <c r="X24" s="186"/>
      <c r="Y24" s="187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</row>
    <row r="25" spans="1:35" s="114" customFormat="1" ht="15" customHeight="1">
      <c r="A25" s="115"/>
      <c r="B25" s="187"/>
      <c r="C25" s="187"/>
      <c r="D25" s="187"/>
      <c r="E25" s="188"/>
      <c r="F25" s="188"/>
      <c r="G25" s="187"/>
      <c r="H25" s="187"/>
      <c r="I25" s="186"/>
      <c r="J25" s="187"/>
      <c r="K25" s="187"/>
      <c r="L25" s="186"/>
      <c r="M25" s="187"/>
      <c r="N25" s="187"/>
      <c r="O25" s="205"/>
      <c r="P25" s="187"/>
      <c r="Q25" s="187"/>
      <c r="R25" s="186"/>
      <c r="S25" s="187"/>
      <c r="T25" s="187"/>
      <c r="U25" s="187"/>
      <c r="V25" s="187"/>
      <c r="W25" s="187"/>
      <c r="X25" s="186"/>
      <c r="Y25" s="187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</row>
    <row r="26" spans="1:35" s="114" customFormat="1" ht="15" customHeight="1">
      <c r="A26" s="115"/>
      <c r="B26" s="187"/>
      <c r="C26" s="187"/>
      <c r="D26" s="187"/>
      <c r="E26" s="188"/>
      <c r="F26" s="188"/>
      <c r="G26" s="187"/>
      <c r="H26" s="187"/>
      <c r="I26" s="186"/>
      <c r="J26" s="187"/>
      <c r="K26" s="187"/>
      <c r="L26" s="186"/>
      <c r="M26" s="187"/>
      <c r="N26" s="187"/>
      <c r="O26" s="205"/>
      <c r="P26" s="187"/>
      <c r="Q26" s="187"/>
      <c r="R26" s="186"/>
      <c r="S26" s="187"/>
      <c r="T26" s="187"/>
      <c r="U26" s="187"/>
      <c r="V26" s="187"/>
      <c r="W26" s="187"/>
      <c r="X26" s="186"/>
      <c r="Y26" s="187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</row>
    <row r="27" spans="1:35" s="114" customFormat="1" ht="15" customHeight="1">
      <c r="A27" s="115"/>
      <c r="B27" s="187"/>
      <c r="C27" s="187"/>
      <c r="D27" s="187"/>
      <c r="E27" s="188"/>
      <c r="F27" s="188"/>
      <c r="G27" s="187"/>
      <c r="H27" s="187"/>
      <c r="I27" s="186"/>
      <c r="J27" s="187"/>
      <c r="K27" s="187"/>
      <c r="L27" s="186"/>
      <c r="M27" s="187"/>
      <c r="N27" s="187"/>
      <c r="O27" s="205"/>
      <c r="P27" s="187"/>
      <c r="Q27" s="187"/>
      <c r="R27" s="186"/>
      <c r="S27" s="187"/>
      <c r="T27" s="187"/>
      <c r="U27" s="187"/>
      <c r="V27" s="187"/>
      <c r="W27" s="187"/>
      <c r="X27" s="186"/>
      <c r="Y27" s="187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</row>
    <row r="28" spans="1:35" s="114" customFormat="1" ht="15" customHeight="1">
      <c r="A28" s="115"/>
      <c r="B28" s="187"/>
      <c r="C28" s="187"/>
      <c r="D28" s="187"/>
      <c r="E28" s="188"/>
      <c r="F28" s="188"/>
      <c r="G28" s="187"/>
      <c r="H28" s="187"/>
      <c r="I28" s="186"/>
      <c r="J28" s="187"/>
      <c r="K28" s="187"/>
      <c r="L28" s="186"/>
      <c r="M28" s="187"/>
      <c r="N28" s="187"/>
      <c r="O28" s="205"/>
      <c r="P28" s="187"/>
      <c r="Q28" s="187"/>
      <c r="R28" s="186"/>
      <c r="S28" s="187"/>
      <c r="T28" s="187"/>
      <c r="U28" s="187"/>
      <c r="V28" s="187"/>
      <c r="W28" s="187"/>
      <c r="X28" s="186"/>
      <c r="Y28" s="187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</row>
    <row r="29" spans="1:35" s="114" customFormat="1" ht="15" customHeight="1">
      <c r="A29" s="115"/>
      <c r="B29" s="187"/>
      <c r="C29" s="187"/>
      <c r="D29" s="187"/>
      <c r="E29" s="188"/>
      <c r="F29" s="188"/>
      <c r="G29" s="187"/>
      <c r="H29" s="187"/>
      <c r="I29" s="186"/>
      <c r="J29" s="187"/>
      <c r="K29" s="187"/>
      <c r="L29" s="186"/>
      <c r="M29" s="187"/>
      <c r="N29" s="187"/>
      <c r="O29" s="205"/>
      <c r="P29" s="187"/>
      <c r="Q29" s="187"/>
      <c r="R29" s="186"/>
      <c r="S29" s="187"/>
      <c r="T29" s="187"/>
      <c r="U29" s="187"/>
      <c r="V29" s="187"/>
      <c r="W29" s="187"/>
      <c r="X29" s="186"/>
      <c r="Y29" s="187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</row>
    <row r="30" spans="1:35" s="114" customFormat="1" ht="15" customHeight="1">
      <c r="A30" s="115"/>
      <c r="B30" s="187"/>
      <c r="C30" s="187"/>
      <c r="D30" s="187"/>
      <c r="E30" s="188"/>
      <c r="F30" s="188"/>
      <c r="G30" s="187"/>
      <c r="H30" s="187"/>
      <c r="I30" s="186"/>
      <c r="J30" s="187"/>
      <c r="K30" s="187"/>
      <c r="L30" s="186"/>
      <c r="M30" s="187"/>
      <c r="N30" s="187"/>
      <c r="O30" s="205"/>
      <c r="P30" s="187"/>
      <c r="Q30" s="187"/>
      <c r="R30" s="186"/>
      <c r="S30" s="187"/>
      <c r="T30" s="187"/>
      <c r="U30" s="187"/>
      <c r="V30" s="187"/>
      <c r="W30" s="187"/>
      <c r="X30" s="186"/>
      <c r="Y30" s="187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</row>
    <row r="31" spans="1:35" s="114" customFormat="1" ht="15" customHeight="1">
      <c r="A31" s="115"/>
      <c r="B31" s="187"/>
      <c r="C31" s="187"/>
      <c r="D31" s="187"/>
      <c r="E31" s="188"/>
      <c r="F31" s="188"/>
      <c r="G31" s="187"/>
      <c r="H31" s="187"/>
      <c r="I31" s="186"/>
      <c r="J31" s="187"/>
      <c r="K31" s="187"/>
      <c r="L31" s="186"/>
      <c r="M31" s="187"/>
      <c r="N31" s="187"/>
      <c r="O31" s="205"/>
      <c r="P31" s="187"/>
      <c r="Q31" s="187"/>
      <c r="R31" s="186"/>
      <c r="S31" s="187"/>
      <c r="T31" s="187"/>
      <c r="U31" s="187"/>
      <c r="V31" s="187"/>
      <c r="W31" s="187"/>
      <c r="X31" s="186"/>
      <c r="Y31" s="187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</row>
    <row r="32" spans="1:35" s="114" customFormat="1" ht="15" customHeight="1">
      <c r="A32" s="115"/>
      <c r="B32" s="187"/>
      <c r="C32" s="187"/>
      <c r="D32" s="187"/>
      <c r="E32" s="188"/>
      <c r="F32" s="188"/>
      <c r="G32" s="187"/>
      <c r="H32" s="187"/>
      <c r="I32" s="186"/>
      <c r="J32" s="187"/>
      <c r="K32" s="187"/>
      <c r="L32" s="186"/>
      <c r="M32" s="187"/>
      <c r="N32" s="187"/>
      <c r="O32" s="205"/>
      <c r="P32" s="187"/>
      <c r="Q32" s="187"/>
      <c r="R32" s="186"/>
      <c r="S32" s="187"/>
      <c r="T32" s="187"/>
      <c r="U32" s="187"/>
      <c r="V32" s="187"/>
      <c r="W32" s="187"/>
      <c r="X32" s="186"/>
      <c r="Y32" s="187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</row>
    <row r="33" spans="1:35" s="114" customFormat="1" ht="15" customHeight="1">
      <c r="A33" s="115"/>
      <c r="B33" s="187"/>
      <c r="C33" s="187"/>
      <c r="D33" s="187"/>
      <c r="E33" s="188"/>
      <c r="F33" s="188"/>
      <c r="G33" s="187"/>
      <c r="H33" s="187"/>
      <c r="I33" s="186"/>
      <c r="J33" s="187"/>
      <c r="K33" s="187"/>
      <c r="L33" s="186"/>
      <c r="M33" s="187"/>
      <c r="N33" s="187"/>
      <c r="O33" s="205"/>
      <c r="P33" s="187"/>
      <c r="Q33" s="187"/>
      <c r="R33" s="186"/>
      <c r="S33" s="187"/>
      <c r="T33" s="187"/>
      <c r="U33" s="187"/>
      <c r="V33" s="187"/>
      <c r="W33" s="187"/>
      <c r="X33" s="186"/>
      <c r="Y33" s="187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</row>
    <row r="34" spans="1:35" s="114" customFormat="1" ht="15" customHeight="1">
      <c r="A34" s="115"/>
      <c r="B34" s="187"/>
      <c r="C34" s="187"/>
      <c r="D34" s="187"/>
      <c r="E34" s="188"/>
      <c r="F34" s="188"/>
      <c r="G34" s="187"/>
      <c r="H34" s="187"/>
      <c r="I34" s="186"/>
      <c r="J34" s="187"/>
      <c r="K34" s="187"/>
      <c r="L34" s="186"/>
      <c r="M34" s="187"/>
      <c r="N34" s="187"/>
      <c r="O34" s="205"/>
      <c r="P34" s="187"/>
      <c r="Q34" s="187"/>
      <c r="R34" s="186"/>
      <c r="S34" s="187"/>
      <c r="T34" s="187"/>
      <c r="U34" s="187"/>
      <c r="V34" s="187"/>
      <c r="W34" s="187"/>
      <c r="X34" s="186"/>
      <c r="Y34" s="187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</row>
    <row r="35" spans="1:35" s="114" customFormat="1" ht="15" customHeight="1">
      <c r="A35" s="115"/>
      <c r="B35" s="187"/>
      <c r="C35" s="187"/>
      <c r="D35" s="187"/>
      <c r="E35" s="188"/>
      <c r="F35" s="188"/>
      <c r="G35" s="187"/>
      <c r="H35" s="187"/>
      <c r="I35" s="186"/>
      <c r="J35" s="187"/>
      <c r="K35" s="187"/>
      <c r="L35" s="186"/>
      <c r="M35" s="187"/>
      <c r="N35" s="187"/>
      <c r="O35" s="205"/>
      <c r="P35" s="187"/>
      <c r="Q35" s="187"/>
      <c r="R35" s="186"/>
      <c r="S35" s="187"/>
      <c r="T35" s="187"/>
      <c r="U35" s="187"/>
      <c r="V35" s="187"/>
      <c r="W35" s="187"/>
      <c r="X35" s="186"/>
      <c r="Y35" s="187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</row>
    <row r="36" spans="1:35" s="114" customFormat="1" ht="15" customHeight="1">
      <c r="A36" s="115"/>
      <c r="B36" s="187"/>
      <c r="C36" s="187"/>
      <c r="D36" s="187"/>
      <c r="E36" s="188"/>
      <c r="F36" s="188"/>
      <c r="G36" s="187"/>
      <c r="H36" s="187"/>
      <c r="I36" s="186"/>
      <c r="J36" s="187"/>
      <c r="K36" s="187"/>
      <c r="L36" s="186"/>
      <c r="M36" s="187"/>
      <c r="N36" s="187"/>
      <c r="O36" s="205"/>
      <c r="P36" s="187"/>
      <c r="Q36" s="187"/>
      <c r="R36" s="186"/>
      <c r="S36" s="187"/>
      <c r="T36" s="187"/>
      <c r="U36" s="187"/>
      <c r="V36" s="187"/>
      <c r="W36" s="187"/>
      <c r="X36" s="186"/>
      <c r="Y36" s="187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</row>
    <row r="37" spans="1:35" s="114" customFormat="1" ht="15" customHeight="1">
      <c r="A37" s="115"/>
      <c r="B37" s="187"/>
      <c r="C37" s="187"/>
      <c r="D37" s="187"/>
      <c r="E37" s="188"/>
      <c r="F37" s="188"/>
      <c r="G37" s="187"/>
      <c r="H37" s="187"/>
      <c r="I37" s="186"/>
      <c r="J37" s="187"/>
      <c r="K37" s="187"/>
      <c r="L37" s="186"/>
      <c r="M37" s="187"/>
      <c r="N37" s="187"/>
      <c r="O37" s="205"/>
      <c r="P37" s="187"/>
      <c r="Q37" s="187"/>
      <c r="R37" s="186"/>
      <c r="S37" s="187"/>
      <c r="T37" s="187"/>
      <c r="U37" s="187"/>
      <c r="V37" s="187"/>
      <c r="W37" s="187"/>
      <c r="X37" s="186"/>
      <c r="Y37" s="187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</row>
    <row r="38" spans="1:35" s="114" customFormat="1" ht="15" customHeight="1">
      <c r="A38" s="115"/>
      <c r="B38" s="187"/>
      <c r="C38" s="187"/>
      <c r="D38" s="187"/>
      <c r="E38" s="188"/>
      <c r="F38" s="188"/>
      <c r="G38" s="187"/>
      <c r="H38" s="187"/>
      <c r="I38" s="186"/>
      <c r="J38" s="187"/>
      <c r="K38" s="187"/>
      <c r="L38" s="186"/>
      <c r="M38" s="187"/>
      <c r="N38" s="187"/>
      <c r="O38" s="205"/>
      <c r="P38" s="187"/>
      <c r="Q38" s="187"/>
      <c r="R38" s="186"/>
      <c r="S38" s="187"/>
      <c r="T38" s="187"/>
      <c r="U38" s="187"/>
      <c r="V38" s="187"/>
      <c r="W38" s="187"/>
      <c r="X38" s="186"/>
      <c r="Y38" s="187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</row>
    <row r="39" spans="1:35">
      <c r="A39" s="206"/>
      <c r="O39" s="207"/>
    </row>
    <row r="40" spans="1:35">
      <c r="A40" s="206"/>
      <c r="O40" s="207"/>
    </row>
    <row r="41" spans="1:35">
      <c r="A41" s="206"/>
      <c r="O41" s="207"/>
    </row>
    <row r="42" spans="1:35">
      <c r="A42" s="206"/>
      <c r="O42" s="207"/>
    </row>
    <row r="43" spans="1:35">
      <c r="A43" s="206"/>
      <c r="O43" s="207"/>
    </row>
    <row r="44" spans="1:35">
      <c r="A44" s="206"/>
      <c r="O44" s="207"/>
    </row>
    <row r="45" spans="1:35">
      <c r="A45" s="206"/>
      <c r="O45" s="207"/>
    </row>
    <row r="46" spans="1:35">
      <c r="A46" s="206"/>
      <c r="O46" s="207"/>
    </row>
    <row r="47" spans="1:35">
      <c r="A47" s="206"/>
      <c r="O47" s="207"/>
    </row>
    <row r="48" spans="1:35">
      <c r="A48" s="206"/>
      <c r="O48" s="207"/>
    </row>
    <row r="49" spans="1:15">
      <c r="A49" s="208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10"/>
    </row>
    <row r="54" spans="1:15" ht="35.1" customHeight="1">
      <c r="E54" s="103"/>
      <c r="F54" s="103"/>
      <c r="G54" s="103"/>
      <c r="H54" s="103"/>
      <c r="I54" s="103"/>
    </row>
    <row r="16367" spans="26:30">
      <c r="Z16367" s="101">
        <v>24.446999999999999</v>
      </c>
      <c r="AB16367" s="101">
        <v>1.6</v>
      </c>
      <c r="AC16367" s="101">
        <v>1.5269999999999999</v>
      </c>
      <c r="AD16367" s="101">
        <v>72</v>
      </c>
    </row>
    <row r="16368" spans="26:30">
      <c r="Z16368" s="101">
        <v>17.547999999999998</v>
      </c>
      <c r="AB16368" s="101">
        <v>1.629</v>
      </c>
      <c r="AC16368" s="101">
        <v>73</v>
      </c>
      <c r="AD16368" s="101">
        <v>24.443999999999999</v>
      </c>
    </row>
    <row r="16369" spans="26:30">
      <c r="Z16369" s="101">
        <v>1.645</v>
      </c>
      <c r="AB16369" s="101">
        <v>72</v>
      </c>
      <c r="AC16369" s="101">
        <v>24.393000000000001</v>
      </c>
      <c r="AD16369" s="101">
        <v>17.591000000000001</v>
      </c>
    </row>
    <row r="16370" spans="26:30">
      <c r="Z16370" s="101">
        <v>1.579</v>
      </c>
      <c r="AB16370" s="101">
        <v>24.516999999999999</v>
      </c>
      <c r="AC16370" s="101">
        <v>17.501999999999999</v>
      </c>
    </row>
    <row r="16371" spans="26:30">
      <c r="Z16371" s="101">
        <v>73</v>
      </c>
      <c r="AB16371" s="101">
        <v>17.587</v>
      </c>
      <c r="AC16371" s="101">
        <v>1.5840000000000001</v>
      </c>
    </row>
    <row r="16372" spans="26:30">
      <c r="Z16372" s="101">
        <v>1.613</v>
      </c>
      <c r="AB16372" s="101">
        <v>1.4830000000000001</v>
      </c>
      <c r="AC16372" s="101">
        <v>1.5509999999999999</v>
      </c>
    </row>
    <row r="16373" spans="26:30">
      <c r="Z16373" s="101">
        <v>72</v>
      </c>
    </row>
    <row r="16374" spans="26:30">
      <c r="Z16374" s="101">
        <v>24.47</v>
      </c>
    </row>
    <row r="16375" spans="26:30">
      <c r="Z16375" s="101">
        <v>17.536000000000001</v>
      </c>
    </row>
    <row r="16376" spans="26:30">
      <c r="Z16376" s="101">
        <v>1.5860000000000001</v>
      </c>
    </row>
    <row r="16377" spans="26:30">
      <c r="Z16377" s="101">
        <v>1.552</v>
      </c>
    </row>
    <row r="16378" spans="26:30">
      <c r="Z16378" s="101">
        <v>70</v>
      </c>
    </row>
    <row r="16379" spans="26:30">
      <c r="Z16379" s="101">
        <v>24.384</v>
      </c>
    </row>
    <row r="16380" spans="26:30">
      <c r="Z16380" s="101">
        <v>72</v>
      </c>
    </row>
  </sheetData>
  <mergeCells count="3">
    <mergeCell ref="A2:O2"/>
    <mergeCell ref="A3:O3"/>
    <mergeCell ref="A5:O6"/>
  </mergeCells>
  <pageMargins left="0.59055118110236227" right="0.23622047244094491" top="0.74803149606299213" bottom="0.74803149606299213" header="0.31496062992125984" footer="0.31496062992125984"/>
  <pageSetup paperSize="9" orientation="portrait" r:id="rId1"/>
  <headerFooter>
    <oddFooter>Page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AG16381"/>
  <sheetViews>
    <sheetView tabSelected="1" topLeftCell="A23" zoomScale="115" zoomScaleNormal="115" workbookViewId="0">
      <selection activeCell="D22" sqref="D22"/>
    </sheetView>
  </sheetViews>
  <sheetFormatPr baseColWidth="10" defaultColWidth="11.5703125" defaultRowHeight="12.75"/>
  <cols>
    <col min="1" max="1" width="9.7109375" style="122" customWidth="1"/>
    <col min="2" max="2" width="4.140625" style="122" customWidth="1"/>
    <col min="3" max="3" width="6.7109375" style="122" customWidth="1"/>
    <col min="4" max="4" width="3.7109375" style="122" customWidth="1"/>
    <col min="5" max="6" width="6.7109375" style="122" customWidth="1"/>
    <col min="7" max="8" width="7.28515625" style="122" customWidth="1"/>
    <col min="9" max="11" width="6.7109375" style="122" customWidth="1"/>
    <col min="12" max="12" width="5.7109375" style="122" customWidth="1"/>
    <col min="13" max="14" width="6.7109375" style="122" customWidth="1"/>
    <col min="15" max="15" width="5.7109375" style="122" customWidth="1"/>
    <col min="16" max="17" width="6.7109375" style="122" customWidth="1"/>
    <col min="18" max="18" width="5.7109375" style="122" customWidth="1"/>
    <col min="19" max="20" width="6.7109375" style="122" customWidth="1"/>
    <col min="21" max="21" width="5.7109375" style="122" customWidth="1"/>
    <col min="22" max="23" width="6.7109375" style="122" customWidth="1"/>
    <col min="24" max="33" width="3.7109375" style="123" customWidth="1"/>
    <col min="34" max="16384" width="11.5703125" style="122"/>
  </cols>
  <sheetData>
    <row r="1" spans="1:33" ht="4.5" customHeight="1"/>
    <row r="2" spans="1:33" s="133" customFormat="1" ht="22.9" customHeight="1">
      <c r="A2" s="263" t="s">
        <v>27</v>
      </c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2"/>
      <c r="AA2" s="132"/>
      <c r="AB2" s="132"/>
      <c r="AC2" s="132"/>
      <c r="AD2" s="132"/>
      <c r="AE2" s="132"/>
      <c r="AF2" s="132"/>
      <c r="AG2" s="132"/>
    </row>
    <row r="3" spans="1:33" s="135" customFormat="1" ht="18" customHeight="1">
      <c r="A3" s="264" t="str">
        <f>'Rapport d''essai dimensionnel'!A13:O13</f>
        <v xml:space="preserve">N° </v>
      </c>
      <c r="B3" s="264"/>
      <c r="C3" s="264"/>
      <c r="D3" s="264"/>
      <c r="E3" s="264"/>
      <c r="F3" s="264"/>
      <c r="G3" s="264"/>
      <c r="H3" s="264"/>
      <c r="I3" s="264"/>
      <c r="J3" s="264"/>
      <c r="K3" s="264"/>
      <c r="L3" s="264"/>
      <c r="M3" s="26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34"/>
      <c r="AA3" s="134"/>
      <c r="AB3" s="134"/>
      <c r="AC3" s="134"/>
      <c r="AD3" s="134"/>
      <c r="AE3" s="134"/>
      <c r="AF3" s="134"/>
      <c r="AG3" s="134"/>
    </row>
    <row r="4" spans="1:33" s="103" customFormat="1" ht="8.25" customHeight="1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</row>
    <row r="5" spans="1:33" s="103" customFormat="1" ht="6.95" customHeight="1">
      <c r="A5" s="175"/>
      <c r="B5" s="175"/>
      <c r="C5" s="175"/>
      <c r="D5" s="175"/>
      <c r="E5" s="175"/>
      <c r="F5" s="175"/>
      <c r="G5" s="175"/>
      <c r="H5" s="175"/>
      <c r="I5" s="175"/>
      <c r="J5" s="176"/>
      <c r="K5" s="177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</row>
    <row r="6" spans="1:33" ht="20.45" customHeight="1">
      <c r="A6" s="251" t="s">
        <v>88</v>
      </c>
      <c r="B6" s="252"/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3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26"/>
      <c r="Y6" s="126"/>
      <c r="Z6" s="127"/>
      <c r="AA6" s="127"/>
      <c r="AB6" s="122"/>
      <c r="AC6" s="122"/>
      <c r="AD6" s="122"/>
      <c r="AE6" s="122"/>
      <c r="AF6" s="122"/>
      <c r="AG6" s="122"/>
    </row>
    <row r="7" spans="1:33" ht="6.95" customHeight="1">
      <c r="A7" s="128"/>
      <c r="B7" s="128"/>
      <c r="C7" s="128"/>
      <c r="D7" s="128"/>
      <c r="E7" s="128"/>
      <c r="F7" s="128"/>
      <c r="G7" s="128"/>
      <c r="H7" s="128"/>
      <c r="I7" s="128"/>
      <c r="J7" s="126"/>
      <c r="K7" s="126"/>
      <c r="L7" s="126"/>
      <c r="M7" s="127"/>
      <c r="N7" s="127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spans="1:33">
      <c r="J8" s="126"/>
      <c r="K8" s="126"/>
      <c r="L8" s="126"/>
      <c r="M8" s="127"/>
      <c r="N8" s="127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spans="1:33">
      <c r="C9" s="257" t="s">
        <v>89</v>
      </c>
      <c r="D9" s="258"/>
      <c r="E9" s="258" t="s">
        <v>90</v>
      </c>
      <c r="F9" s="258"/>
      <c r="G9" s="258"/>
      <c r="H9" s="258" t="s">
        <v>91</v>
      </c>
      <c r="I9" s="258"/>
      <c r="J9" s="258" t="s">
        <v>92</v>
      </c>
      <c r="K9" s="261"/>
      <c r="L9" s="126"/>
      <c r="M9" s="127"/>
      <c r="N9" s="127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spans="1:33">
      <c r="C10" s="259" t="s">
        <v>93</v>
      </c>
      <c r="D10" s="260"/>
      <c r="E10" s="260" t="s">
        <v>94</v>
      </c>
      <c r="F10" s="260"/>
      <c r="G10" s="260"/>
      <c r="H10" s="260" t="s">
        <v>95</v>
      </c>
      <c r="I10" s="260"/>
      <c r="J10" s="260" t="s">
        <v>96</v>
      </c>
      <c r="K10" s="262"/>
      <c r="L10" s="126"/>
      <c r="M10" s="127"/>
      <c r="N10" s="127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spans="1:33">
      <c r="C11" s="254" t="s">
        <v>97</v>
      </c>
      <c r="D11" s="255"/>
      <c r="E11" s="255" t="s">
        <v>98</v>
      </c>
      <c r="F11" s="255"/>
      <c r="G11" s="255"/>
      <c r="H11" s="255" t="s">
        <v>99</v>
      </c>
      <c r="I11" s="255"/>
      <c r="J11" s="255" t="s">
        <v>100</v>
      </c>
      <c r="K11" s="256"/>
      <c r="L11" s="126"/>
      <c r="M11" s="127"/>
      <c r="N11" s="127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spans="1:33">
      <c r="C12" s="257" t="s">
        <v>101</v>
      </c>
      <c r="D12" s="258"/>
      <c r="E12" s="258" t="s">
        <v>102</v>
      </c>
      <c r="F12" s="258"/>
      <c r="G12" s="258"/>
      <c r="H12" s="258" t="s">
        <v>103</v>
      </c>
      <c r="I12" s="258"/>
      <c r="J12" s="258" t="s">
        <v>104</v>
      </c>
      <c r="K12" s="261"/>
      <c r="L12" s="126"/>
      <c r="M12" s="127"/>
      <c r="N12" s="127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spans="1:33">
      <c r="C13" s="259" t="s">
        <v>105</v>
      </c>
      <c r="D13" s="260"/>
      <c r="E13" s="260" t="s">
        <v>106</v>
      </c>
      <c r="F13" s="260"/>
      <c r="G13" s="260"/>
      <c r="H13" s="260" t="s">
        <v>107</v>
      </c>
      <c r="I13" s="260"/>
      <c r="J13" s="260" t="s">
        <v>108</v>
      </c>
      <c r="K13" s="262"/>
      <c r="L13" s="126"/>
      <c r="M13" s="127"/>
      <c r="N13" s="127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spans="1:33" ht="15" customHeight="1">
      <c r="C14" s="254" t="s">
        <v>109</v>
      </c>
      <c r="D14" s="255"/>
      <c r="E14" s="255" t="s">
        <v>110</v>
      </c>
      <c r="F14" s="255"/>
      <c r="G14" s="255"/>
      <c r="H14" s="255" t="s">
        <v>111</v>
      </c>
      <c r="I14" s="255"/>
      <c r="J14" s="255" t="s">
        <v>112</v>
      </c>
      <c r="K14" s="256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spans="1:33" ht="15" customHeight="1"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spans="1:33" ht="15" customHeight="1">
      <c r="A16" s="171"/>
      <c r="B16" s="171"/>
      <c r="C16" s="171"/>
      <c r="D16" s="171"/>
      <c r="E16" s="171"/>
      <c r="F16" s="171"/>
      <c r="G16" s="172"/>
      <c r="H16" s="172"/>
      <c r="I16" s="123"/>
      <c r="J16" s="123"/>
      <c r="K16" s="173"/>
      <c r="L16" s="174"/>
      <c r="M16" s="174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spans="1:33" ht="15" customHeight="1">
      <c r="A17" s="171"/>
      <c r="B17" s="171"/>
      <c r="C17" s="171"/>
      <c r="D17" s="171"/>
      <c r="E17" s="171"/>
      <c r="F17" s="171"/>
      <c r="G17" s="172"/>
      <c r="H17" s="172"/>
      <c r="I17" s="123"/>
      <c r="J17" s="123"/>
      <c r="K17" s="173"/>
      <c r="L17" s="174"/>
      <c r="M17" s="174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spans="1:33" s="130" customFormat="1" ht="15" customHeight="1">
      <c r="A18" s="247" t="s">
        <v>45</v>
      </c>
      <c r="B18" s="247"/>
      <c r="C18" s="247"/>
      <c r="D18" s="247"/>
      <c r="E18" s="247"/>
      <c r="F18" s="247"/>
      <c r="G18" s="247"/>
      <c r="H18" s="140" t="s">
        <v>46</v>
      </c>
      <c r="I18" s="140"/>
      <c r="J18"/>
      <c r="K18"/>
      <c r="L18"/>
      <c r="M18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29" t="e">
        <f t="shared" ref="X18:X47" si="0">IF(G18&lt;A18+D18,(G18-(A18+D18)),0)</f>
        <v>#VALUE!</v>
      </c>
      <c r="Y18" s="129" t="e">
        <f t="shared" ref="Y18:Y47" si="1">IF(G18&gt;A18+C18,(G18-(A18+C18)),0)</f>
        <v>#VALUE!</v>
      </c>
      <c r="Z18" s="129" t="e">
        <f t="shared" ref="Z18:Z47" si="2">IF(J18&lt;A18+D18,(J18-(A18+D18)),0)</f>
        <v>#VALUE!</v>
      </c>
      <c r="AA18" s="129" t="e">
        <f t="shared" ref="AA18:AA47" si="3">IF(J18&gt;A18+C18,(J18-(A18+C18)),0)</f>
        <v>#VALUE!</v>
      </c>
      <c r="AB18" s="129" t="e">
        <f t="shared" ref="AB18:AB47" si="4">IF(M18&lt;A18+D18,(M18-(A18+D18)),0)</f>
        <v>#VALUE!</v>
      </c>
      <c r="AC18" s="129" t="e">
        <f t="shared" ref="AC18:AC47" si="5">IF(M18&gt;A18+C18,(M18-(A18+C18)),0)</f>
        <v>#VALUE!</v>
      </c>
      <c r="AD18" s="129" t="e">
        <f t="shared" ref="AD18:AD47" si="6">IF(P18&lt;A18+D18,(P18-(A18+D18)),0)</f>
        <v>#VALUE!</v>
      </c>
      <c r="AE18" s="129" t="e">
        <f t="shared" ref="AE18:AE47" si="7">IF(P18&gt;A18+C18,(P18-(A18+C18)),0)</f>
        <v>#VALUE!</v>
      </c>
      <c r="AF18" s="129" t="e">
        <f t="shared" ref="AF18:AF47" si="8">IF(S18&lt;A18+D18,(S18-(A18+D18)),0)</f>
        <v>#VALUE!</v>
      </c>
      <c r="AG18" s="129" t="e">
        <f t="shared" ref="AG18:AG47" si="9">IF(S18&gt;A18+C18,(S18-(A18+C18)),0)</f>
        <v>#VALUE!</v>
      </c>
    </row>
    <row r="19" spans="1:33" s="130" customFormat="1" ht="15" customHeight="1">
      <c r="A19" s="141"/>
      <c r="B19" s="142"/>
      <c r="C19" s="142"/>
      <c r="D19" s="142"/>
      <c r="E19" s="142"/>
      <c r="F19" s="142"/>
      <c r="G19" s="143"/>
      <c r="H19" s="142"/>
      <c r="I19" s="142"/>
      <c r="J19" s="142"/>
      <c r="K19" s="142"/>
      <c r="L19" s="142"/>
      <c r="M19" s="142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29">
        <f t="shared" si="0"/>
        <v>0</v>
      </c>
      <c r="Y19" s="129">
        <f t="shared" si="1"/>
        <v>0</v>
      </c>
      <c r="Z19" s="129">
        <f t="shared" si="2"/>
        <v>0</v>
      </c>
      <c r="AA19" s="129">
        <f t="shared" si="3"/>
        <v>0</v>
      </c>
      <c r="AB19" s="129">
        <f t="shared" si="4"/>
        <v>0</v>
      </c>
      <c r="AC19" s="129">
        <f t="shared" si="5"/>
        <v>0</v>
      </c>
      <c r="AD19" s="129">
        <f t="shared" si="6"/>
        <v>0</v>
      </c>
      <c r="AE19" s="129">
        <f t="shared" si="7"/>
        <v>0</v>
      </c>
      <c r="AF19" s="129">
        <f t="shared" si="8"/>
        <v>0</v>
      </c>
      <c r="AG19" s="129">
        <f t="shared" si="9"/>
        <v>0</v>
      </c>
    </row>
    <row r="20" spans="1:33" s="130" customFormat="1" ht="15" customHeight="1">
      <c r="A20" s="144" t="str">
        <f>'[3]Rapport d''essai dimensionnel'!A26</f>
        <v>N° identification :</v>
      </c>
      <c r="B20" s="145"/>
      <c r="C20" s="146">
        <f>'Rapport d''essai dimensionnel'!D33</f>
        <v>0</v>
      </c>
      <c r="D20" s="147"/>
      <c r="E20" s="181"/>
      <c r="F20" s="147" t="str">
        <f>'[3]Rapport d''essai dimensionnel'!A24</f>
        <v xml:space="preserve">Désignation :          </v>
      </c>
      <c r="G20" s="148"/>
      <c r="H20" s="180">
        <f>'Rapport d''essai dimensionnel'!D25</f>
        <v>0</v>
      </c>
      <c r="I20" s="146"/>
      <c r="J20" s="149"/>
      <c r="K20" s="149" t="s">
        <v>121</v>
      </c>
      <c r="L20" s="182"/>
      <c r="M20" s="150">
        <f>'Rapport d''essai dimensionnel'!D31</f>
        <v>0</v>
      </c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29" t="e">
        <f t="shared" si="0"/>
        <v>#VALUE!</v>
      </c>
      <c r="Y20" s="129" t="e">
        <f t="shared" si="1"/>
        <v>#VALUE!</v>
      </c>
      <c r="Z20" s="129" t="e">
        <f t="shared" si="2"/>
        <v>#VALUE!</v>
      </c>
      <c r="AA20" s="129" t="e">
        <f t="shared" si="3"/>
        <v>#VALUE!</v>
      </c>
      <c r="AB20" s="129" t="e">
        <f t="shared" si="4"/>
        <v>#VALUE!</v>
      </c>
      <c r="AC20" s="129" t="e">
        <f t="shared" si="5"/>
        <v>#VALUE!</v>
      </c>
      <c r="AD20" s="129" t="e">
        <f t="shared" si="6"/>
        <v>#VALUE!</v>
      </c>
      <c r="AE20" s="129" t="e">
        <f t="shared" si="7"/>
        <v>#VALUE!</v>
      </c>
      <c r="AF20" s="129" t="e">
        <f t="shared" si="8"/>
        <v>#VALUE!</v>
      </c>
      <c r="AG20" s="129" t="e">
        <f t="shared" si="9"/>
        <v>#VALUE!</v>
      </c>
    </row>
    <row r="21" spans="1:33" s="130" customFormat="1" ht="15" customHeight="1">
      <c r="A21" s="151"/>
      <c r="B21"/>
      <c r="C21"/>
      <c r="D21"/>
      <c r="E21"/>
      <c r="F21"/>
      <c r="G21"/>
      <c r="H21"/>
      <c r="I21"/>
      <c r="J21"/>
      <c r="K21"/>
      <c r="L21"/>
      <c r="M21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29">
        <f t="shared" si="0"/>
        <v>0</v>
      </c>
      <c r="Y21" s="129">
        <f t="shared" si="1"/>
        <v>0</v>
      </c>
      <c r="Z21" s="129">
        <f t="shared" si="2"/>
        <v>0</v>
      </c>
      <c r="AA21" s="129">
        <f t="shared" si="3"/>
        <v>0</v>
      </c>
      <c r="AB21" s="129">
        <f t="shared" si="4"/>
        <v>0</v>
      </c>
      <c r="AC21" s="129">
        <f t="shared" si="5"/>
        <v>0</v>
      </c>
      <c r="AD21" s="129">
        <f t="shared" si="6"/>
        <v>0</v>
      </c>
      <c r="AE21" s="129">
        <f t="shared" si="7"/>
        <v>0</v>
      </c>
      <c r="AF21" s="129">
        <f t="shared" si="8"/>
        <v>0</v>
      </c>
      <c r="AG21" s="129">
        <f t="shared" si="9"/>
        <v>0</v>
      </c>
    </row>
    <row r="22" spans="1:33" s="130" customFormat="1" ht="15" customHeight="1">
      <c r="A22" s="152" t="s">
        <v>84</v>
      </c>
      <c r="B22" s="153"/>
      <c r="D22" s="58">
        <f>'Rapport d''essai dimensionnel'!D27</f>
        <v>0</v>
      </c>
      <c r="E22" s="152"/>
      <c r="F22" s="153"/>
      <c r="G22" s="154"/>
      <c r="H22" s="155" t="s">
        <v>85</v>
      </c>
      <c r="I22" s="183">
        <f>'Rapport d''essai dimensionnel'!D29</f>
        <v>0</v>
      </c>
      <c r="J22" s="138"/>
      <c r="K22" s="156"/>
      <c r="L22" s="155"/>
      <c r="M22" s="138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29" t="e">
        <f>IF(G22&lt;A22+#REF!,(G22-(A22+#REF!)),0)</f>
        <v>#VALUE!</v>
      </c>
      <c r="Y22" s="129" t="e">
        <f>IF(G22&gt;A22+D22,(G22-(A22+D22)),0)</f>
        <v>#VALUE!</v>
      </c>
      <c r="Z22" s="129" t="e">
        <f>IF(J22&lt;A22+#REF!,(J22-(A22+#REF!)),0)</f>
        <v>#VALUE!</v>
      </c>
      <c r="AA22" s="129" t="e">
        <f>IF(J22&gt;A22+D22,(J22-(A22+D22)),0)</f>
        <v>#VALUE!</v>
      </c>
      <c r="AB22" s="129" t="e">
        <f>IF(M22&lt;A22+#REF!,(M22-(A22+#REF!)),0)</f>
        <v>#VALUE!</v>
      </c>
      <c r="AC22" s="129" t="e">
        <f>IF(M22&gt;A22+D22,(M22-(A22+D22)),0)</f>
        <v>#VALUE!</v>
      </c>
      <c r="AD22" s="129" t="e">
        <f>IF(P22&lt;A22+#REF!,(P22-(A22+#REF!)),0)</f>
        <v>#VALUE!</v>
      </c>
      <c r="AE22" s="129" t="e">
        <f>IF(P22&gt;A22+D22,(P22-(A22+D22)),0)</f>
        <v>#VALUE!</v>
      </c>
      <c r="AF22" s="129" t="e">
        <f>IF(S22&lt;A22+#REF!,(S22-(A22+#REF!)),0)</f>
        <v>#VALUE!</v>
      </c>
      <c r="AG22" s="129" t="e">
        <f>IF(S22&gt;A22+D22,(S22-(A22+D22)),0)</f>
        <v>#VALUE!</v>
      </c>
    </row>
    <row r="23" spans="1:33" s="130" customFormat="1" ht="1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29">
        <f t="shared" si="0"/>
        <v>0</v>
      </c>
      <c r="Y23" s="129">
        <f t="shared" si="1"/>
        <v>0</v>
      </c>
      <c r="Z23" s="129">
        <f t="shared" si="2"/>
        <v>0</v>
      </c>
      <c r="AA23" s="129">
        <f t="shared" si="3"/>
        <v>0</v>
      </c>
      <c r="AB23" s="129">
        <f t="shared" si="4"/>
        <v>0</v>
      </c>
      <c r="AC23" s="129">
        <f t="shared" si="5"/>
        <v>0</v>
      </c>
      <c r="AD23" s="129">
        <f t="shared" si="6"/>
        <v>0</v>
      </c>
      <c r="AE23" s="129">
        <f t="shared" si="7"/>
        <v>0</v>
      </c>
      <c r="AF23" s="129">
        <f t="shared" si="8"/>
        <v>0</v>
      </c>
      <c r="AG23" s="129">
        <f t="shared" si="9"/>
        <v>0</v>
      </c>
    </row>
    <row r="24" spans="1:33" s="130" customFormat="1" ht="1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29">
        <f t="shared" si="0"/>
        <v>0</v>
      </c>
      <c r="Y24" s="129">
        <f t="shared" si="1"/>
        <v>0</v>
      </c>
      <c r="Z24" s="129">
        <f t="shared" si="2"/>
        <v>0</v>
      </c>
      <c r="AA24" s="129">
        <f t="shared" si="3"/>
        <v>0</v>
      </c>
      <c r="AB24" s="129">
        <f t="shared" si="4"/>
        <v>0</v>
      </c>
      <c r="AC24" s="129">
        <f t="shared" si="5"/>
        <v>0</v>
      </c>
      <c r="AD24" s="129">
        <f t="shared" si="6"/>
        <v>0</v>
      </c>
      <c r="AE24" s="129">
        <f t="shared" si="7"/>
        <v>0</v>
      </c>
      <c r="AF24" s="129">
        <f t="shared" si="8"/>
        <v>0</v>
      </c>
      <c r="AG24" s="129">
        <f t="shared" si="9"/>
        <v>0</v>
      </c>
    </row>
    <row r="25" spans="1:33" s="130" customFormat="1" ht="18" customHeight="1">
      <c r="A25" s="157" t="s">
        <v>115</v>
      </c>
      <c r="B25" s="158"/>
      <c r="C25" s="159" t="s">
        <v>116</v>
      </c>
      <c r="D25" s="160"/>
      <c r="E25" s="161" t="s">
        <v>117</v>
      </c>
      <c r="F25" s="161" t="s">
        <v>118</v>
      </c>
      <c r="G25" s="162" t="s">
        <v>119</v>
      </c>
      <c r="H25" s="161" t="s">
        <v>19</v>
      </c>
      <c r="I25" s="161" t="s">
        <v>113</v>
      </c>
      <c r="J25" s="161" t="s">
        <v>114</v>
      </c>
      <c r="K25" s="248" t="s">
        <v>120</v>
      </c>
      <c r="L25" s="249"/>
      <c r="M25" s="250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29" t="e">
        <f t="shared" si="0"/>
        <v>#VALUE!</v>
      </c>
      <c r="Y25" s="129" t="e">
        <f t="shared" si="1"/>
        <v>#VALUE!</v>
      </c>
      <c r="Z25" s="129" t="e">
        <f t="shared" si="2"/>
        <v>#VALUE!</v>
      </c>
      <c r="AA25" s="129" t="e">
        <f t="shared" si="3"/>
        <v>#VALUE!</v>
      </c>
      <c r="AB25" s="129" t="e">
        <f t="shared" si="4"/>
        <v>#VALUE!</v>
      </c>
      <c r="AC25" s="129" t="e">
        <f t="shared" si="5"/>
        <v>#VALUE!</v>
      </c>
      <c r="AD25" s="129" t="e">
        <f t="shared" si="6"/>
        <v>#VALUE!</v>
      </c>
      <c r="AE25" s="129" t="e">
        <f t="shared" si="7"/>
        <v>#VALUE!</v>
      </c>
      <c r="AF25" s="129" t="e">
        <f t="shared" si="8"/>
        <v>#VALUE!</v>
      </c>
      <c r="AG25" s="129" t="e">
        <f t="shared" si="9"/>
        <v>#VALUE!</v>
      </c>
    </row>
    <row r="26" spans="1:33" s="130" customFormat="1" ht="18" customHeight="1">
      <c r="A26" s="189"/>
      <c r="B26" s="190"/>
      <c r="C26" s="191"/>
      <c r="D26" s="192"/>
      <c r="E26" s="193"/>
      <c r="F26" s="193"/>
      <c r="G26" s="194"/>
      <c r="H26" s="195"/>
      <c r="I26" s="196"/>
      <c r="J26" s="165"/>
      <c r="K26" s="164"/>
      <c r="L26" s="163"/>
      <c r="M26" s="166"/>
      <c r="N26" s="167">
        <f t="shared" ref="N26" si="10">D26+E26</f>
        <v>0</v>
      </c>
      <c r="O26" s="167">
        <f t="shared" ref="O26" si="11">D26+F26</f>
        <v>0</v>
      </c>
      <c r="P26" s="168" t="b">
        <f t="shared" ref="P26" si="12">IF(H26&gt;N26,H26-N26)</f>
        <v>0</v>
      </c>
      <c r="Q26" s="168" t="b">
        <f t="shared" ref="Q26" si="13">IF(H26&lt;O26,H26-O26)</f>
        <v>0</v>
      </c>
      <c r="R26" s="168">
        <f t="shared" ref="R26:R27" si="14">MAX(P26:Q26)</f>
        <v>0</v>
      </c>
      <c r="S26" s="55"/>
      <c r="T26" s="139"/>
      <c r="U26" s="139"/>
      <c r="V26" s="139"/>
      <c r="W26" s="139"/>
      <c r="X26" s="129">
        <f t="shared" si="0"/>
        <v>0</v>
      </c>
      <c r="Y26" s="129">
        <f t="shared" si="1"/>
        <v>0</v>
      </c>
      <c r="Z26" s="129">
        <f t="shared" si="2"/>
        <v>0</v>
      </c>
      <c r="AA26" s="129">
        <f t="shared" si="3"/>
        <v>0</v>
      </c>
      <c r="AB26" s="129">
        <f t="shared" si="4"/>
        <v>0</v>
      </c>
      <c r="AC26" s="129">
        <f t="shared" si="5"/>
        <v>0</v>
      </c>
      <c r="AD26" s="129">
        <f t="shared" si="6"/>
        <v>0</v>
      </c>
      <c r="AE26" s="129">
        <f t="shared" si="7"/>
        <v>0</v>
      </c>
      <c r="AF26" s="129">
        <f t="shared" si="8"/>
        <v>0</v>
      </c>
      <c r="AG26" s="129">
        <f t="shared" si="9"/>
        <v>0</v>
      </c>
    </row>
    <row r="27" spans="1:33" s="130" customFormat="1" ht="18" customHeight="1">
      <c r="A27" s="161"/>
      <c r="B27" s="190"/>
      <c r="C27" s="197"/>
      <c r="D27" s="192"/>
      <c r="E27" s="198"/>
      <c r="F27" s="198"/>
      <c r="G27" s="194"/>
      <c r="H27" s="195">
        <f t="shared" ref="H27:H30" si="15">G27-C27</f>
        <v>0</v>
      </c>
      <c r="I27" s="202" t="str">
        <f>IF(E27-F27=0,"",IF(R27,R27,"/"))</f>
        <v/>
      </c>
      <c r="J27" s="165">
        <v>8</v>
      </c>
      <c r="K27" s="164"/>
      <c r="L27" s="163"/>
      <c r="M27" s="166"/>
      <c r="N27" s="167">
        <f>C27+E27</f>
        <v>0</v>
      </c>
      <c r="O27" s="167">
        <f>C27+F27</f>
        <v>0</v>
      </c>
      <c r="P27" s="168" t="b">
        <f>IF(G27&gt;N27,G27-N27)</f>
        <v>0</v>
      </c>
      <c r="Q27" s="168" t="b">
        <f>IF(G27&lt;O27,G27-O27)</f>
        <v>0</v>
      </c>
      <c r="R27" s="168">
        <f t="shared" si="14"/>
        <v>0</v>
      </c>
      <c r="S27" s="55"/>
      <c r="T27" s="139"/>
      <c r="U27" s="139"/>
      <c r="V27" s="139"/>
      <c r="W27" s="139"/>
      <c r="X27" s="129">
        <f t="shared" si="0"/>
        <v>0</v>
      </c>
      <c r="Y27" s="129">
        <f t="shared" si="1"/>
        <v>0</v>
      </c>
      <c r="Z27" s="129">
        <f t="shared" si="2"/>
        <v>0</v>
      </c>
      <c r="AA27" s="129">
        <f t="shared" si="3"/>
        <v>8</v>
      </c>
      <c r="AB27" s="129">
        <f t="shared" si="4"/>
        <v>0</v>
      </c>
      <c r="AC27" s="129">
        <f t="shared" si="5"/>
        <v>0</v>
      </c>
      <c r="AD27" s="129">
        <f t="shared" si="6"/>
        <v>0</v>
      </c>
      <c r="AE27" s="129">
        <f t="shared" si="7"/>
        <v>0</v>
      </c>
      <c r="AF27" s="129">
        <f t="shared" si="8"/>
        <v>0</v>
      </c>
      <c r="AG27" s="129">
        <f t="shared" si="9"/>
        <v>0</v>
      </c>
    </row>
    <row r="28" spans="1:33" s="130" customFormat="1" ht="18" customHeight="1">
      <c r="A28" s="161"/>
      <c r="B28" s="190"/>
      <c r="C28" s="197"/>
      <c r="D28" s="192"/>
      <c r="E28" s="198"/>
      <c r="F28" s="198"/>
      <c r="G28" s="194"/>
      <c r="H28" s="195">
        <f t="shared" si="15"/>
        <v>0</v>
      </c>
      <c r="I28" s="202" t="str">
        <f t="shared" ref="I28:I47" si="16">IF(E28-F28=0,"",IF(R28,R28,"/"))</f>
        <v/>
      </c>
      <c r="J28" s="165">
        <v>8</v>
      </c>
      <c r="K28" s="164"/>
      <c r="L28" s="163"/>
      <c r="M28" s="166"/>
      <c r="N28" s="167">
        <f t="shared" ref="N28:N47" si="17">C28+E28</f>
        <v>0</v>
      </c>
      <c r="O28" s="167">
        <f t="shared" ref="O28:O47" si="18">C28+F28</f>
        <v>0</v>
      </c>
      <c r="P28" s="168" t="b">
        <f t="shared" ref="P28:P47" si="19">IF(G28&gt;N28,G28-N28)</f>
        <v>0</v>
      </c>
      <c r="Q28" s="168" t="b">
        <f t="shared" ref="Q28:Q47" si="20">IF(G28&lt;O28,G28-O28)</f>
        <v>0</v>
      </c>
      <c r="R28" s="168">
        <f t="shared" ref="R28:R47" si="21">MAX(P28:Q28)</f>
        <v>0</v>
      </c>
      <c r="S28" s="55"/>
      <c r="T28" s="139"/>
      <c r="U28" s="139"/>
      <c r="V28" s="139"/>
      <c r="W28" s="139"/>
      <c r="X28" s="129">
        <f t="shared" si="0"/>
        <v>0</v>
      </c>
      <c r="Y28" s="129">
        <f t="shared" si="1"/>
        <v>0</v>
      </c>
      <c r="Z28" s="129">
        <f t="shared" si="2"/>
        <v>0</v>
      </c>
      <c r="AA28" s="129">
        <f t="shared" si="3"/>
        <v>8</v>
      </c>
      <c r="AB28" s="129">
        <f t="shared" si="4"/>
        <v>0</v>
      </c>
      <c r="AC28" s="129">
        <f t="shared" si="5"/>
        <v>0</v>
      </c>
      <c r="AD28" s="129">
        <f t="shared" si="6"/>
        <v>0</v>
      </c>
      <c r="AE28" s="129">
        <f t="shared" si="7"/>
        <v>0</v>
      </c>
      <c r="AF28" s="129">
        <f t="shared" si="8"/>
        <v>0</v>
      </c>
      <c r="AG28" s="129">
        <f t="shared" si="9"/>
        <v>0</v>
      </c>
    </row>
    <row r="29" spans="1:33" s="130" customFormat="1" ht="18" customHeight="1">
      <c r="A29" s="161"/>
      <c r="B29" s="190"/>
      <c r="C29" s="197"/>
      <c r="D29" s="192"/>
      <c r="E29" s="193"/>
      <c r="F29" s="193"/>
      <c r="G29" s="194"/>
      <c r="H29" s="195">
        <f t="shared" si="15"/>
        <v>0</v>
      </c>
      <c r="I29" s="202" t="str">
        <f t="shared" si="16"/>
        <v/>
      </c>
      <c r="J29" s="165">
        <v>8</v>
      </c>
      <c r="K29" s="164"/>
      <c r="L29" s="163"/>
      <c r="M29" s="166"/>
      <c r="N29" s="167">
        <f t="shared" si="17"/>
        <v>0</v>
      </c>
      <c r="O29" s="167">
        <f t="shared" si="18"/>
        <v>0</v>
      </c>
      <c r="P29" s="168" t="b">
        <f t="shared" si="19"/>
        <v>0</v>
      </c>
      <c r="Q29" s="168" t="b">
        <f t="shared" si="20"/>
        <v>0</v>
      </c>
      <c r="R29" s="168">
        <f t="shared" si="21"/>
        <v>0</v>
      </c>
      <c r="S29" s="55"/>
      <c r="T29" s="139"/>
      <c r="U29" s="139"/>
      <c r="V29" s="139"/>
      <c r="W29" s="139"/>
      <c r="X29" s="129">
        <f t="shared" si="0"/>
        <v>0</v>
      </c>
      <c r="Y29" s="129">
        <f t="shared" si="1"/>
        <v>0</v>
      </c>
      <c r="Z29" s="129">
        <f t="shared" si="2"/>
        <v>0</v>
      </c>
      <c r="AA29" s="129">
        <f t="shared" si="3"/>
        <v>8</v>
      </c>
      <c r="AB29" s="129">
        <f t="shared" si="4"/>
        <v>0</v>
      </c>
      <c r="AC29" s="129">
        <f t="shared" si="5"/>
        <v>0</v>
      </c>
      <c r="AD29" s="129">
        <f t="shared" si="6"/>
        <v>0</v>
      </c>
      <c r="AE29" s="129">
        <f t="shared" si="7"/>
        <v>0</v>
      </c>
      <c r="AF29" s="129">
        <f t="shared" si="8"/>
        <v>0</v>
      </c>
      <c r="AG29" s="129">
        <f t="shared" si="9"/>
        <v>0</v>
      </c>
    </row>
    <row r="30" spans="1:33" s="130" customFormat="1" ht="18" customHeight="1">
      <c r="A30" s="161"/>
      <c r="B30" s="190"/>
      <c r="C30" s="197"/>
      <c r="D30" s="192"/>
      <c r="E30" s="199"/>
      <c r="F30" s="199"/>
      <c r="G30" s="194"/>
      <c r="H30" s="195">
        <f t="shared" si="15"/>
        <v>0</v>
      </c>
      <c r="I30" s="202" t="str">
        <f t="shared" si="16"/>
        <v/>
      </c>
      <c r="J30" s="165">
        <v>8</v>
      </c>
      <c r="K30" s="164"/>
      <c r="L30" s="163"/>
      <c r="M30" s="166"/>
      <c r="N30" s="167">
        <f t="shared" si="17"/>
        <v>0</v>
      </c>
      <c r="O30" s="167">
        <f t="shared" si="18"/>
        <v>0</v>
      </c>
      <c r="P30" s="168" t="b">
        <f t="shared" si="19"/>
        <v>0</v>
      </c>
      <c r="Q30" s="168" t="b">
        <f t="shared" si="20"/>
        <v>0</v>
      </c>
      <c r="R30" s="168">
        <f t="shared" si="21"/>
        <v>0</v>
      </c>
      <c r="S30" s="55"/>
      <c r="T30" s="139"/>
      <c r="U30" s="139"/>
      <c r="V30" s="139"/>
      <c r="W30" s="139"/>
      <c r="X30" s="129">
        <f t="shared" si="0"/>
        <v>0</v>
      </c>
      <c r="Y30" s="129">
        <f t="shared" si="1"/>
        <v>0</v>
      </c>
      <c r="Z30" s="129">
        <f t="shared" si="2"/>
        <v>0</v>
      </c>
      <c r="AA30" s="129">
        <f t="shared" si="3"/>
        <v>8</v>
      </c>
      <c r="AB30" s="129">
        <f t="shared" si="4"/>
        <v>0</v>
      </c>
      <c r="AC30" s="129">
        <f t="shared" si="5"/>
        <v>0</v>
      </c>
      <c r="AD30" s="129">
        <f t="shared" si="6"/>
        <v>0</v>
      </c>
      <c r="AE30" s="129">
        <f t="shared" si="7"/>
        <v>0</v>
      </c>
      <c r="AF30" s="129">
        <f t="shared" si="8"/>
        <v>0</v>
      </c>
      <c r="AG30" s="129">
        <f t="shared" si="9"/>
        <v>0</v>
      </c>
    </row>
    <row r="31" spans="1:33" s="130" customFormat="1" ht="18" customHeight="1">
      <c r="A31" s="161"/>
      <c r="B31" s="190"/>
      <c r="C31" s="197"/>
      <c r="D31" s="192"/>
      <c r="E31" s="193"/>
      <c r="F31" s="193"/>
      <c r="G31" s="194"/>
      <c r="H31" s="195">
        <f>G31-C31</f>
        <v>0</v>
      </c>
      <c r="I31" s="202" t="str">
        <f t="shared" si="16"/>
        <v/>
      </c>
      <c r="J31" s="165">
        <v>8</v>
      </c>
      <c r="K31" s="169"/>
      <c r="L31" s="163"/>
      <c r="M31" s="166"/>
      <c r="N31" s="167">
        <f t="shared" si="17"/>
        <v>0</v>
      </c>
      <c r="O31" s="167">
        <f t="shared" si="18"/>
        <v>0</v>
      </c>
      <c r="P31" s="168" t="b">
        <f t="shared" si="19"/>
        <v>0</v>
      </c>
      <c r="Q31" s="168" t="b">
        <f t="shared" si="20"/>
        <v>0</v>
      </c>
      <c r="R31" s="168">
        <f t="shared" si="21"/>
        <v>0</v>
      </c>
      <c r="S31" s="55"/>
      <c r="T31" s="139"/>
      <c r="U31" s="139"/>
      <c r="V31" s="139"/>
      <c r="W31" s="139"/>
      <c r="X31" s="129">
        <f t="shared" si="0"/>
        <v>0</v>
      </c>
      <c r="Y31" s="129">
        <f t="shared" si="1"/>
        <v>0</v>
      </c>
      <c r="Z31" s="129">
        <f t="shared" si="2"/>
        <v>0</v>
      </c>
      <c r="AA31" s="129">
        <f t="shared" si="3"/>
        <v>8</v>
      </c>
      <c r="AB31" s="129">
        <f t="shared" si="4"/>
        <v>0</v>
      </c>
      <c r="AC31" s="129">
        <f t="shared" si="5"/>
        <v>0</v>
      </c>
      <c r="AD31" s="129">
        <f t="shared" si="6"/>
        <v>0</v>
      </c>
      <c r="AE31" s="129">
        <f t="shared" si="7"/>
        <v>0</v>
      </c>
      <c r="AF31" s="129">
        <f t="shared" si="8"/>
        <v>0</v>
      </c>
      <c r="AG31" s="129">
        <f t="shared" si="9"/>
        <v>0</v>
      </c>
    </row>
    <row r="32" spans="1:33" s="130" customFormat="1" ht="18" customHeight="1">
      <c r="A32" s="161"/>
      <c r="B32" s="190"/>
      <c r="C32" s="197"/>
      <c r="D32" s="192"/>
      <c r="E32" s="199"/>
      <c r="F32" s="199"/>
      <c r="G32" s="194"/>
      <c r="H32" s="195">
        <f t="shared" ref="H32:H47" si="22">G32-C32</f>
        <v>0</v>
      </c>
      <c r="I32" s="202" t="str">
        <f t="shared" si="16"/>
        <v/>
      </c>
      <c r="J32" s="165">
        <v>8</v>
      </c>
      <c r="K32" s="164"/>
      <c r="L32" s="163"/>
      <c r="M32" s="166"/>
      <c r="N32" s="167">
        <f t="shared" si="17"/>
        <v>0</v>
      </c>
      <c r="O32" s="167">
        <f t="shared" si="18"/>
        <v>0</v>
      </c>
      <c r="P32" s="168" t="b">
        <f t="shared" si="19"/>
        <v>0</v>
      </c>
      <c r="Q32" s="168" t="b">
        <f t="shared" si="20"/>
        <v>0</v>
      </c>
      <c r="R32" s="168">
        <f t="shared" si="21"/>
        <v>0</v>
      </c>
      <c r="S32" s="55"/>
      <c r="T32" s="139"/>
      <c r="U32" s="139"/>
      <c r="V32" s="139"/>
      <c r="W32" s="139"/>
      <c r="X32" s="129">
        <f t="shared" si="0"/>
        <v>0</v>
      </c>
      <c r="Y32" s="129">
        <f t="shared" si="1"/>
        <v>0</v>
      </c>
      <c r="Z32" s="129">
        <f t="shared" si="2"/>
        <v>0</v>
      </c>
      <c r="AA32" s="129">
        <f t="shared" si="3"/>
        <v>8</v>
      </c>
      <c r="AB32" s="129">
        <f t="shared" si="4"/>
        <v>0</v>
      </c>
      <c r="AC32" s="129">
        <f t="shared" si="5"/>
        <v>0</v>
      </c>
      <c r="AD32" s="129">
        <f t="shared" si="6"/>
        <v>0</v>
      </c>
      <c r="AE32" s="129">
        <f t="shared" si="7"/>
        <v>0</v>
      </c>
      <c r="AF32" s="129">
        <f t="shared" si="8"/>
        <v>0</v>
      </c>
      <c r="AG32" s="129">
        <f t="shared" si="9"/>
        <v>0</v>
      </c>
    </row>
    <row r="33" spans="1:33" s="130" customFormat="1" ht="18" customHeight="1">
      <c r="A33" s="161"/>
      <c r="B33" s="190"/>
      <c r="C33" s="197"/>
      <c r="D33" s="192"/>
      <c r="E33" s="198"/>
      <c r="F33" s="198"/>
      <c r="G33" s="194"/>
      <c r="H33" s="195">
        <f t="shared" si="22"/>
        <v>0</v>
      </c>
      <c r="I33" s="202" t="str">
        <f t="shared" si="16"/>
        <v/>
      </c>
      <c r="J33" s="165">
        <v>8</v>
      </c>
      <c r="K33" s="170"/>
      <c r="L33" s="163"/>
      <c r="M33" s="166"/>
      <c r="N33" s="167">
        <f t="shared" si="17"/>
        <v>0</v>
      </c>
      <c r="O33" s="167">
        <f t="shared" si="18"/>
        <v>0</v>
      </c>
      <c r="P33" s="168" t="b">
        <f t="shared" si="19"/>
        <v>0</v>
      </c>
      <c r="Q33" s="168" t="b">
        <f t="shared" si="20"/>
        <v>0</v>
      </c>
      <c r="R33" s="168">
        <f t="shared" si="21"/>
        <v>0</v>
      </c>
      <c r="S33" s="55"/>
      <c r="T33" s="139"/>
      <c r="U33" s="139"/>
      <c r="V33" s="139"/>
      <c r="W33" s="139"/>
      <c r="X33" s="129">
        <f t="shared" si="0"/>
        <v>0</v>
      </c>
      <c r="Y33" s="129">
        <f t="shared" si="1"/>
        <v>0</v>
      </c>
      <c r="Z33" s="129">
        <f t="shared" si="2"/>
        <v>0</v>
      </c>
      <c r="AA33" s="129">
        <f t="shared" si="3"/>
        <v>8</v>
      </c>
      <c r="AB33" s="129">
        <f t="shared" si="4"/>
        <v>0</v>
      </c>
      <c r="AC33" s="129">
        <f t="shared" si="5"/>
        <v>0</v>
      </c>
      <c r="AD33" s="129">
        <f t="shared" si="6"/>
        <v>0</v>
      </c>
      <c r="AE33" s="129">
        <f t="shared" si="7"/>
        <v>0</v>
      </c>
      <c r="AF33" s="129">
        <f t="shared" si="8"/>
        <v>0</v>
      </c>
      <c r="AG33" s="129">
        <f t="shared" si="9"/>
        <v>0</v>
      </c>
    </row>
    <row r="34" spans="1:33" s="130" customFormat="1" ht="18" customHeight="1">
      <c r="A34" s="161"/>
      <c r="B34" s="190"/>
      <c r="C34" s="197"/>
      <c r="D34" s="192"/>
      <c r="E34" s="193"/>
      <c r="F34" s="193"/>
      <c r="G34" s="194"/>
      <c r="H34" s="195">
        <f t="shared" si="22"/>
        <v>0</v>
      </c>
      <c r="I34" s="202" t="str">
        <f t="shared" si="16"/>
        <v/>
      </c>
      <c r="J34" s="165">
        <v>8</v>
      </c>
      <c r="K34" s="164"/>
      <c r="L34" s="163"/>
      <c r="M34" s="166"/>
      <c r="N34" s="167">
        <f t="shared" si="17"/>
        <v>0</v>
      </c>
      <c r="O34" s="167">
        <f t="shared" si="18"/>
        <v>0</v>
      </c>
      <c r="P34" s="168" t="b">
        <f t="shared" si="19"/>
        <v>0</v>
      </c>
      <c r="Q34" s="168" t="b">
        <f t="shared" si="20"/>
        <v>0</v>
      </c>
      <c r="R34" s="168">
        <f t="shared" si="21"/>
        <v>0</v>
      </c>
      <c r="S34" s="55"/>
      <c r="T34" s="139"/>
      <c r="U34" s="139"/>
      <c r="V34" s="139"/>
      <c r="W34" s="139"/>
      <c r="X34" s="129">
        <f t="shared" si="0"/>
        <v>0</v>
      </c>
      <c r="Y34" s="129">
        <f t="shared" si="1"/>
        <v>0</v>
      </c>
      <c r="Z34" s="129">
        <f t="shared" si="2"/>
        <v>0</v>
      </c>
      <c r="AA34" s="129">
        <f t="shared" si="3"/>
        <v>8</v>
      </c>
      <c r="AB34" s="129">
        <f t="shared" si="4"/>
        <v>0</v>
      </c>
      <c r="AC34" s="129">
        <f t="shared" si="5"/>
        <v>0</v>
      </c>
      <c r="AD34" s="129">
        <f t="shared" si="6"/>
        <v>0</v>
      </c>
      <c r="AE34" s="129">
        <f t="shared" si="7"/>
        <v>0</v>
      </c>
      <c r="AF34" s="129">
        <f t="shared" si="8"/>
        <v>0</v>
      </c>
      <c r="AG34" s="129">
        <f t="shared" si="9"/>
        <v>0</v>
      </c>
    </row>
    <row r="35" spans="1:33" s="130" customFormat="1" ht="18" customHeight="1">
      <c r="A35" s="161"/>
      <c r="B35" s="190"/>
      <c r="C35" s="197"/>
      <c r="D35" s="192"/>
      <c r="E35" s="199"/>
      <c r="F35" s="199"/>
      <c r="G35" s="194"/>
      <c r="H35" s="195">
        <f t="shared" si="22"/>
        <v>0</v>
      </c>
      <c r="I35" s="202" t="str">
        <f t="shared" si="16"/>
        <v/>
      </c>
      <c r="J35" s="165">
        <v>8</v>
      </c>
      <c r="K35" s="164"/>
      <c r="L35" s="163"/>
      <c r="M35" s="166"/>
      <c r="N35" s="167">
        <f t="shared" si="17"/>
        <v>0</v>
      </c>
      <c r="O35" s="167">
        <f t="shared" si="18"/>
        <v>0</v>
      </c>
      <c r="P35" s="168" t="b">
        <f t="shared" si="19"/>
        <v>0</v>
      </c>
      <c r="Q35" s="168" t="b">
        <f t="shared" si="20"/>
        <v>0</v>
      </c>
      <c r="R35" s="168">
        <f t="shared" si="21"/>
        <v>0</v>
      </c>
      <c r="S35" s="55"/>
      <c r="T35" s="139"/>
      <c r="U35" s="139"/>
      <c r="V35" s="139"/>
      <c r="W35" s="139"/>
      <c r="X35" s="129">
        <f t="shared" si="0"/>
        <v>0</v>
      </c>
      <c r="Y35" s="129">
        <f t="shared" si="1"/>
        <v>0</v>
      </c>
      <c r="Z35" s="129">
        <f t="shared" si="2"/>
        <v>0</v>
      </c>
      <c r="AA35" s="129">
        <f t="shared" si="3"/>
        <v>8</v>
      </c>
      <c r="AB35" s="129">
        <f t="shared" si="4"/>
        <v>0</v>
      </c>
      <c r="AC35" s="129">
        <f t="shared" si="5"/>
        <v>0</v>
      </c>
      <c r="AD35" s="129">
        <f t="shared" si="6"/>
        <v>0</v>
      </c>
      <c r="AE35" s="129">
        <f t="shared" si="7"/>
        <v>0</v>
      </c>
      <c r="AF35" s="129">
        <f t="shared" si="8"/>
        <v>0</v>
      </c>
      <c r="AG35" s="129">
        <f t="shared" si="9"/>
        <v>0</v>
      </c>
    </row>
    <row r="36" spans="1:33" s="130" customFormat="1" ht="18" customHeight="1">
      <c r="A36" s="161"/>
      <c r="B36" s="190"/>
      <c r="C36" s="197"/>
      <c r="D36" s="192"/>
      <c r="E36" s="193"/>
      <c r="F36" s="193"/>
      <c r="G36" s="194"/>
      <c r="H36" s="195">
        <f t="shared" si="22"/>
        <v>0</v>
      </c>
      <c r="I36" s="202" t="str">
        <f t="shared" si="16"/>
        <v/>
      </c>
      <c r="J36" s="165">
        <v>8</v>
      </c>
      <c r="K36" s="169"/>
      <c r="L36" s="163"/>
      <c r="M36" s="166"/>
      <c r="N36" s="167">
        <f t="shared" si="17"/>
        <v>0</v>
      </c>
      <c r="O36" s="167">
        <f t="shared" si="18"/>
        <v>0</v>
      </c>
      <c r="P36" s="168" t="b">
        <f t="shared" si="19"/>
        <v>0</v>
      </c>
      <c r="Q36" s="168" t="b">
        <f t="shared" si="20"/>
        <v>0</v>
      </c>
      <c r="R36" s="168">
        <f t="shared" si="21"/>
        <v>0</v>
      </c>
      <c r="S36" s="55"/>
      <c r="T36" s="138"/>
      <c r="U36" s="138"/>
      <c r="V36" s="138"/>
      <c r="W36" s="138"/>
      <c r="X36" s="129">
        <f t="shared" si="0"/>
        <v>0</v>
      </c>
      <c r="Y36" s="129">
        <f t="shared" si="1"/>
        <v>0</v>
      </c>
      <c r="Z36" s="129">
        <f t="shared" si="2"/>
        <v>0</v>
      </c>
      <c r="AA36" s="129">
        <f t="shared" si="3"/>
        <v>8</v>
      </c>
      <c r="AB36" s="129">
        <f t="shared" si="4"/>
        <v>0</v>
      </c>
      <c r="AC36" s="129">
        <f t="shared" si="5"/>
        <v>0</v>
      </c>
      <c r="AD36" s="129">
        <f t="shared" si="6"/>
        <v>0</v>
      </c>
      <c r="AE36" s="129">
        <f t="shared" si="7"/>
        <v>0</v>
      </c>
      <c r="AF36" s="129">
        <f t="shared" si="8"/>
        <v>0</v>
      </c>
      <c r="AG36" s="129">
        <f t="shared" si="9"/>
        <v>0</v>
      </c>
    </row>
    <row r="37" spans="1:33" s="130" customFormat="1" ht="18" customHeight="1">
      <c r="A37" s="161"/>
      <c r="B37" s="190"/>
      <c r="C37" s="197"/>
      <c r="D37" s="192"/>
      <c r="E37" s="199"/>
      <c r="F37" s="199"/>
      <c r="G37" s="194"/>
      <c r="H37" s="195">
        <f t="shared" si="22"/>
        <v>0</v>
      </c>
      <c r="I37" s="202" t="str">
        <f t="shared" si="16"/>
        <v/>
      </c>
      <c r="J37" s="165">
        <v>8</v>
      </c>
      <c r="K37" s="164"/>
      <c r="L37" s="163"/>
      <c r="M37" s="166"/>
      <c r="N37" s="167">
        <f t="shared" si="17"/>
        <v>0</v>
      </c>
      <c r="O37" s="167">
        <f t="shared" si="18"/>
        <v>0</v>
      </c>
      <c r="P37" s="168" t="b">
        <f t="shared" si="19"/>
        <v>0</v>
      </c>
      <c r="Q37" s="168" t="b">
        <f t="shared" si="20"/>
        <v>0</v>
      </c>
      <c r="R37" s="168">
        <f t="shared" si="21"/>
        <v>0</v>
      </c>
      <c r="S37" s="55"/>
      <c r="T37" s="138"/>
      <c r="U37" s="138"/>
      <c r="V37" s="138"/>
      <c r="W37" s="138"/>
      <c r="X37" s="129">
        <f t="shared" si="0"/>
        <v>0</v>
      </c>
      <c r="Y37" s="129">
        <f t="shared" si="1"/>
        <v>0</v>
      </c>
      <c r="Z37" s="129">
        <f t="shared" si="2"/>
        <v>0</v>
      </c>
      <c r="AA37" s="129">
        <f t="shared" si="3"/>
        <v>8</v>
      </c>
      <c r="AB37" s="129">
        <f t="shared" si="4"/>
        <v>0</v>
      </c>
      <c r="AC37" s="129">
        <f t="shared" si="5"/>
        <v>0</v>
      </c>
      <c r="AD37" s="129">
        <f t="shared" si="6"/>
        <v>0</v>
      </c>
      <c r="AE37" s="129">
        <f t="shared" si="7"/>
        <v>0</v>
      </c>
      <c r="AF37" s="129">
        <f t="shared" si="8"/>
        <v>0</v>
      </c>
      <c r="AG37" s="129">
        <f t="shared" si="9"/>
        <v>0</v>
      </c>
    </row>
    <row r="38" spans="1:33" s="130" customFormat="1" ht="18" customHeight="1">
      <c r="A38" s="161"/>
      <c r="B38" s="190"/>
      <c r="C38" s="197"/>
      <c r="D38" s="192"/>
      <c r="E38" s="193"/>
      <c r="F38" s="193"/>
      <c r="G38" s="194"/>
      <c r="H38" s="195">
        <f t="shared" si="22"/>
        <v>0</v>
      </c>
      <c r="I38" s="202" t="str">
        <f t="shared" si="16"/>
        <v/>
      </c>
      <c r="J38" s="165">
        <v>8</v>
      </c>
      <c r="K38" s="170"/>
      <c r="L38" s="163"/>
      <c r="M38" s="166"/>
      <c r="N38" s="167">
        <f t="shared" si="17"/>
        <v>0</v>
      </c>
      <c r="O38" s="167">
        <f t="shared" si="18"/>
        <v>0</v>
      </c>
      <c r="P38" s="168" t="b">
        <f t="shared" si="19"/>
        <v>0</v>
      </c>
      <c r="Q38" s="168" t="b">
        <f t="shared" si="20"/>
        <v>0</v>
      </c>
      <c r="R38" s="168">
        <f t="shared" si="21"/>
        <v>0</v>
      </c>
      <c r="S38" s="55"/>
      <c r="T38" s="138"/>
      <c r="U38" s="138"/>
      <c r="V38" s="138"/>
      <c r="W38" s="138"/>
      <c r="X38" s="129">
        <f t="shared" si="0"/>
        <v>0</v>
      </c>
      <c r="Y38" s="129">
        <f t="shared" si="1"/>
        <v>0</v>
      </c>
      <c r="Z38" s="129">
        <f t="shared" si="2"/>
        <v>0</v>
      </c>
      <c r="AA38" s="129">
        <f t="shared" si="3"/>
        <v>8</v>
      </c>
      <c r="AB38" s="129">
        <f t="shared" si="4"/>
        <v>0</v>
      </c>
      <c r="AC38" s="129">
        <f t="shared" si="5"/>
        <v>0</v>
      </c>
      <c r="AD38" s="129">
        <f t="shared" si="6"/>
        <v>0</v>
      </c>
      <c r="AE38" s="129">
        <f t="shared" si="7"/>
        <v>0</v>
      </c>
      <c r="AF38" s="129">
        <f t="shared" si="8"/>
        <v>0</v>
      </c>
      <c r="AG38" s="129">
        <f t="shared" si="9"/>
        <v>0</v>
      </c>
    </row>
    <row r="39" spans="1:33" s="130" customFormat="1" ht="18" customHeight="1">
      <c r="A39" s="161"/>
      <c r="B39" s="190"/>
      <c r="C39" s="197"/>
      <c r="D39" s="192"/>
      <c r="E39" s="199"/>
      <c r="F39" s="199"/>
      <c r="G39" s="194"/>
      <c r="H39" s="195">
        <f t="shared" si="22"/>
        <v>0</v>
      </c>
      <c r="I39" s="202" t="str">
        <f t="shared" si="16"/>
        <v/>
      </c>
      <c r="J39" s="165">
        <v>8</v>
      </c>
      <c r="K39" s="164"/>
      <c r="L39" s="163"/>
      <c r="M39" s="166"/>
      <c r="N39" s="167">
        <f t="shared" si="17"/>
        <v>0</v>
      </c>
      <c r="O39" s="167">
        <f t="shared" si="18"/>
        <v>0</v>
      </c>
      <c r="P39" s="168" t="b">
        <f t="shared" si="19"/>
        <v>0</v>
      </c>
      <c r="Q39" s="168" t="b">
        <f t="shared" si="20"/>
        <v>0</v>
      </c>
      <c r="R39" s="168">
        <f t="shared" si="21"/>
        <v>0</v>
      </c>
      <c r="S39" s="55"/>
      <c r="T39" s="138"/>
      <c r="U39" s="138"/>
      <c r="V39" s="138"/>
      <c r="W39" s="138"/>
      <c r="X39" s="129">
        <f t="shared" si="0"/>
        <v>0</v>
      </c>
      <c r="Y39" s="129">
        <f t="shared" si="1"/>
        <v>0</v>
      </c>
      <c r="Z39" s="129">
        <f t="shared" si="2"/>
        <v>0</v>
      </c>
      <c r="AA39" s="129">
        <f t="shared" si="3"/>
        <v>8</v>
      </c>
      <c r="AB39" s="129">
        <f t="shared" si="4"/>
        <v>0</v>
      </c>
      <c r="AC39" s="129">
        <f t="shared" si="5"/>
        <v>0</v>
      </c>
      <c r="AD39" s="129">
        <f t="shared" si="6"/>
        <v>0</v>
      </c>
      <c r="AE39" s="129">
        <f t="shared" si="7"/>
        <v>0</v>
      </c>
      <c r="AF39" s="129">
        <f t="shared" si="8"/>
        <v>0</v>
      </c>
      <c r="AG39" s="129">
        <f t="shared" si="9"/>
        <v>0</v>
      </c>
    </row>
    <row r="40" spans="1:33" ht="18" customHeight="1">
      <c r="A40" s="161"/>
      <c r="B40" s="190"/>
      <c r="C40" s="197"/>
      <c r="D40" s="192"/>
      <c r="E40" s="193"/>
      <c r="F40" s="193"/>
      <c r="G40" s="194"/>
      <c r="H40" s="195">
        <f t="shared" si="22"/>
        <v>0</v>
      </c>
      <c r="I40" s="202" t="str">
        <f t="shared" si="16"/>
        <v/>
      </c>
      <c r="J40" s="165">
        <v>8</v>
      </c>
      <c r="K40" s="164"/>
      <c r="L40" s="163"/>
      <c r="M40" s="166"/>
      <c r="N40" s="167">
        <f t="shared" si="17"/>
        <v>0</v>
      </c>
      <c r="O40" s="167">
        <f t="shared" si="18"/>
        <v>0</v>
      </c>
      <c r="P40" s="168" t="b">
        <f t="shared" si="19"/>
        <v>0</v>
      </c>
      <c r="Q40" s="168" t="b">
        <f t="shared" si="20"/>
        <v>0</v>
      </c>
      <c r="R40" s="168">
        <f t="shared" si="21"/>
        <v>0</v>
      </c>
      <c r="S40" s="55"/>
      <c r="T40" s="138"/>
      <c r="U40" s="138"/>
      <c r="V40" s="138"/>
      <c r="W40" s="138"/>
      <c r="X40" s="184">
        <f t="shared" si="0"/>
        <v>0</v>
      </c>
      <c r="Y40" s="184">
        <f t="shared" si="1"/>
        <v>0</v>
      </c>
      <c r="Z40" s="184">
        <f t="shared" si="2"/>
        <v>0</v>
      </c>
      <c r="AA40" s="184">
        <f t="shared" si="3"/>
        <v>8</v>
      </c>
      <c r="AB40" s="184">
        <f t="shared" si="4"/>
        <v>0</v>
      </c>
      <c r="AC40" s="184">
        <f t="shared" si="5"/>
        <v>0</v>
      </c>
      <c r="AD40" s="184">
        <f t="shared" si="6"/>
        <v>0</v>
      </c>
      <c r="AE40" s="184">
        <f t="shared" si="7"/>
        <v>0</v>
      </c>
      <c r="AF40" s="184">
        <f t="shared" si="8"/>
        <v>0</v>
      </c>
      <c r="AG40" s="184">
        <f t="shared" si="9"/>
        <v>0</v>
      </c>
    </row>
    <row r="41" spans="1:33" ht="18" customHeight="1">
      <c r="A41" s="161"/>
      <c r="B41" s="190"/>
      <c r="C41" s="197"/>
      <c r="D41" s="192"/>
      <c r="E41" s="199"/>
      <c r="F41" s="199"/>
      <c r="G41" s="194"/>
      <c r="H41" s="195">
        <f t="shared" si="22"/>
        <v>0</v>
      </c>
      <c r="I41" s="202" t="str">
        <f t="shared" si="16"/>
        <v/>
      </c>
      <c r="J41" s="165">
        <v>8</v>
      </c>
      <c r="K41" s="164"/>
      <c r="L41" s="163"/>
      <c r="M41" s="166"/>
      <c r="N41" s="167">
        <f t="shared" si="17"/>
        <v>0</v>
      </c>
      <c r="O41" s="167">
        <f t="shared" si="18"/>
        <v>0</v>
      </c>
      <c r="P41" s="168" t="b">
        <f t="shared" si="19"/>
        <v>0</v>
      </c>
      <c r="Q41" s="168" t="b">
        <f t="shared" si="20"/>
        <v>0</v>
      </c>
      <c r="R41" s="168">
        <f t="shared" si="21"/>
        <v>0</v>
      </c>
      <c r="S41" s="55"/>
      <c r="T41" s="138"/>
      <c r="U41" s="138"/>
      <c r="V41" s="138"/>
      <c r="W41" s="138"/>
      <c r="X41" s="184">
        <f t="shared" si="0"/>
        <v>0</v>
      </c>
      <c r="Y41" s="184">
        <f t="shared" si="1"/>
        <v>0</v>
      </c>
      <c r="Z41" s="184">
        <f t="shared" si="2"/>
        <v>0</v>
      </c>
      <c r="AA41" s="184">
        <f t="shared" si="3"/>
        <v>8</v>
      </c>
      <c r="AB41" s="184">
        <f t="shared" si="4"/>
        <v>0</v>
      </c>
      <c r="AC41" s="184">
        <f t="shared" si="5"/>
        <v>0</v>
      </c>
      <c r="AD41" s="184">
        <f t="shared" si="6"/>
        <v>0</v>
      </c>
      <c r="AE41" s="184">
        <f t="shared" si="7"/>
        <v>0</v>
      </c>
      <c r="AF41" s="184">
        <f t="shared" si="8"/>
        <v>0</v>
      </c>
      <c r="AG41" s="184">
        <f t="shared" si="9"/>
        <v>0</v>
      </c>
    </row>
    <row r="42" spans="1:33" ht="18" customHeight="1">
      <c r="A42" s="161"/>
      <c r="B42" s="190"/>
      <c r="C42" s="197"/>
      <c r="D42" s="192"/>
      <c r="E42" s="193"/>
      <c r="F42" s="193"/>
      <c r="G42" s="194"/>
      <c r="H42" s="195">
        <f t="shared" si="22"/>
        <v>0</v>
      </c>
      <c r="I42" s="202" t="str">
        <f t="shared" si="16"/>
        <v/>
      </c>
      <c r="J42" s="165">
        <v>8</v>
      </c>
      <c r="K42" s="164"/>
      <c r="L42" s="163"/>
      <c r="M42" s="166"/>
      <c r="N42" s="167">
        <f t="shared" si="17"/>
        <v>0</v>
      </c>
      <c r="O42" s="167">
        <f t="shared" si="18"/>
        <v>0</v>
      </c>
      <c r="P42" s="168" t="b">
        <f t="shared" si="19"/>
        <v>0</v>
      </c>
      <c r="Q42" s="168" t="b">
        <f t="shared" si="20"/>
        <v>0</v>
      </c>
      <c r="R42" s="168">
        <f t="shared" si="21"/>
        <v>0</v>
      </c>
      <c r="S42" s="55"/>
      <c r="T42" s="138"/>
      <c r="U42" s="138"/>
      <c r="V42" s="138"/>
      <c r="W42" s="138"/>
      <c r="X42" s="184">
        <f t="shared" si="0"/>
        <v>0</v>
      </c>
      <c r="Y42" s="184">
        <f t="shared" si="1"/>
        <v>0</v>
      </c>
      <c r="Z42" s="184">
        <f t="shared" si="2"/>
        <v>0</v>
      </c>
      <c r="AA42" s="184">
        <f t="shared" si="3"/>
        <v>8</v>
      </c>
      <c r="AB42" s="184">
        <f t="shared" si="4"/>
        <v>0</v>
      </c>
      <c r="AC42" s="184">
        <f t="shared" si="5"/>
        <v>0</v>
      </c>
      <c r="AD42" s="184">
        <f t="shared" si="6"/>
        <v>0</v>
      </c>
      <c r="AE42" s="184">
        <f t="shared" si="7"/>
        <v>0</v>
      </c>
      <c r="AF42" s="184">
        <f t="shared" si="8"/>
        <v>0</v>
      </c>
      <c r="AG42" s="184">
        <f t="shared" si="9"/>
        <v>0</v>
      </c>
    </row>
    <row r="43" spans="1:33" ht="18" customHeight="1">
      <c r="A43" s="161"/>
      <c r="B43" s="190"/>
      <c r="C43" s="197"/>
      <c r="D43" s="192"/>
      <c r="E43" s="193"/>
      <c r="F43" s="193"/>
      <c r="G43" s="194"/>
      <c r="H43" s="195">
        <f t="shared" si="22"/>
        <v>0</v>
      </c>
      <c r="I43" s="202" t="str">
        <f t="shared" si="16"/>
        <v/>
      </c>
      <c r="J43" s="165">
        <v>8</v>
      </c>
      <c r="K43" s="164"/>
      <c r="L43" s="163"/>
      <c r="M43" s="166"/>
      <c r="N43" s="167">
        <f t="shared" si="17"/>
        <v>0</v>
      </c>
      <c r="O43" s="167">
        <f t="shared" si="18"/>
        <v>0</v>
      </c>
      <c r="P43" s="168" t="b">
        <f t="shared" si="19"/>
        <v>0</v>
      </c>
      <c r="Q43" s="168" t="b">
        <f t="shared" si="20"/>
        <v>0</v>
      </c>
      <c r="R43" s="168">
        <f t="shared" si="21"/>
        <v>0</v>
      </c>
      <c r="S43" s="55"/>
      <c r="T43" s="138"/>
      <c r="U43" s="138"/>
      <c r="V43" s="138"/>
      <c r="W43" s="138"/>
      <c r="X43" s="184">
        <f t="shared" si="0"/>
        <v>0</v>
      </c>
      <c r="Y43" s="184">
        <f t="shared" si="1"/>
        <v>0</v>
      </c>
      <c r="Z43" s="184">
        <f t="shared" si="2"/>
        <v>0</v>
      </c>
      <c r="AA43" s="184">
        <f t="shared" si="3"/>
        <v>8</v>
      </c>
      <c r="AB43" s="184">
        <f t="shared" si="4"/>
        <v>0</v>
      </c>
      <c r="AC43" s="184">
        <f t="shared" si="5"/>
        <v>0</v>
      </c>
      <c r="AD43" s="184">
        <f t="shared" si="6"/>
        <v>0</v>
      </c>
      <c r="AE43" s="184">
        <f t="shared" si="7"/>
        <v>0</v>
      </c>
      <c r="AF43" s="184">
        <f t="shared" si="8"/>
        <v>0</v>
      </c>
      <c r="AG43" s="184">
        <f t="shared" si="9"/>
        <v>0</v>
      </c>
    </row>
    <row r="44" spans="1:33" ht="18" customHeight="1">
      <c r="A44" s="161"/>
      <c r="B44" s="190"/>
      <c r="C44" s="197"/>
      <c r="D44" s="192"/>
      <c r="E44" s="193"/>
      <c r="F44" s="193"/>
      <c r="G44" s="194"/>
      <c r="H44" s="195">
        <f t="shared" si="22"/>
        <v>0</v>
      </c>
      <c r="I44" s="202" t="str">
        <f t="shared" si="16"/>
        <v/>
      </c>
      <c r="J44" s="165">
        <v>8</v>
      </c>
      <c r="K44" s="164"/>
      <c r="L44" s="163"/>
      <c r="M44" s="166"/>
      <c r="N44" s="167">
        <f t="shared" si="17"/>
        <v>0</v>
      </c>
      <c r="O44" s="167">
        <f t="shared" si="18"/>
        <v>0</v>
      </c>
      <c r="P44" s="168" t="b">
        <f t="shared" si="19"/>
        <v>0</v>
      </c>
      <c r="Q44" s="168" t="b">
        <f t="shared" si="20"/>
        <v>0</v>
      </c>
      <c r="R44" s="168">
        <f t="shared" si="21"/>
        <v>0</v>
      </c>
      <c r="S44" s="55"/>
      <c r="T44" s="138"/>
      <c r="U44" s="138"/>
      <c r="V44" s="138"/>
      <c r="W44" s="138"/>
      <c r="X44" s="184">
        <f t="shared" si="0"/>
        <v>0</v>
      </c>
      <c r="Y44" s="184">
        <f t="shared" si="1"/>
        <v>0</v>
      </c>
      <c r="Z44" s="184">
        <f t="shared" si="2"/>
        <v>0</v>
      </c>
      <c r="AA44" s="184">
        <f t="shared" si="3"/>
        <v>8</v>
      </c>
      <c r="AB44" s="184">
        <f t="shared" si="4"/>
        <v>0</v>
      </c>
      <c r="AC44" s="184">
        <f t="shared" si="5"/>
        <v>0</v>
      </c>
      <c r="AD44" s="184">
        <f t="shared" si="6"/>
        <v>0</v>
      </c>
      <c r="AE44" s="184">
        <f t="shared" si="7"/>
        <v>0</v>
      </c>
      <c r="AF44" s="184">
        <f t="shared" si="8"/>
        <v>0</v>
      </c>
      <c r="AG44" s="184">
        <f t="shared" si="9"/>
        <v>0</v>
      </c>
    </row>
    <row r="45" spans="1:33" ht="18" customHeight="1">
      <c r="A45" s="161"/>
      <c r="B45" s="190"/>
      <c r="C45" s="197"/>
      <c r="D45" s="192"/>
      <c r="E45" s="199"/>
      <c r="F45" s="199"/>
      <c r="G45" s="194"/>
      <c r="H45" s="195">
        <f t="shared" si="22"/>
        <v>0</v>
      </c>
      <c r="I45" s="202" t="str">
        <f t="shared" si="16"/>
        <v/>
      </c>
      <c r="J45" s="165">
        <v>8</v>
      </c>
      <c r="K45" s="164"/>
      <c r="L45" s="163"/>
      <c r="M45" s="166"/>
      <c r="N45" s="167">
        <f t="shared" si="17"/>
        <v>0</v>
      </c>
      <c r="O45" s="167">
        <f t="shared" si="18"/>
        <v>0</v>
      </c>
      <c r="P45" s="168" t="b">
        <f t="shared" si="19"/>
        <v>0</v>
      </c>
      <c r="Q45" s="168" t="b">
        <f t="shared" si="20"/>
        <v>0</v>
      </c>
      <c r="R45" s="168">
        <f t="shared" si="21"/>
        <v>0</v>
      </c>
      <c r="S45" s="55"/>
      <c r="T45" s="138"/>
      <c r="U45" s="138"/>
      <c r="V45" s="138"/>
      <c r="W45" s="138"/>
      <c r="X45" s="184">
        <f t="shared" si="0"/>
        <v>0</v>
      </c>
      <c r="Y45" s="184">
        <f t="shared" si="1"/>
        <v>0</v>
      </c>
      <c r="Z45" s="184">
        <f t="shared" si="2"/>
        <v>0</v>
      </c>
      <c r="AA45" s="184">
        <f t="shared" si="3"/>
        <v>8</v>
      </c>
      <c r="AB45" s="184">
        <f t="shared" si="4"/>
        <v>0</v>
      </c>
      <c r="AC45" s="184">
        <f t="shared" si="5"/>
        <v>0</v>
      </c>
      <c r="AD45" s="184">
        <f t="shared" si="6"/>
        <v>0</v>
      </c>
      <c r="AE45" s="184">
        <f t="shared" si="7"/>
        <v>0</v>
      </c>
      <c r="AF45" s="184">
        <f t="shared" si="8"/>
        <v>0</v>
      </c>
      <c r="AG45" s="184">
        <f t="shared" si="9"/>
        <v>0</v>
      </c>
    </row>
    <row r="46" spans="1:33" ht="18" customHeight="1">
      <c r="A46" s="161"/>
      <c r="B46" s="190"/>
      <c r="C46" s="197"/>
      <c r="D46" s="192"/>
      <c r="E46" s="193"/>
      <c r="F46" s="193"/>
      <c r="G46" s="194"/>
      <c r="H46" s="195">
        <f t="shared" si="22"/>
        <v>0</v>
      </c>
      <c r="I46" s="202" t="str">
        <f t="shared" si="16"/>
        <v/>
      </c>
      <c r="J46" s="165">
        <v>8</v>
      </c>
      <c r="K46" s="164"/>
      <c r="L46" s="163"/>
      <c r="M46" s="166"/>
      <c r="N46" s="167">
        <f t="shared" si="17"/>
        <v>0</v>
      </c>
      <c r="O46" s="167">
        <f t="shared" si="18"/>
        <v>0</v>
      </c>
      <c r="P46" s="168" t="b">
        <f t="shared" si="19"/>
        <v>0</v>
      </c>
      <c r="Q46" s="168" t="b">
        <f t="shared" si="20"/>
        <v>0</v>
      </c>
      <c r="R46" s="168">
        <f t="shared" si="21"/>
        <v>0</v>
      </c>
      <c r="S46" s="55"/>
      <c r="T46" s="138"/>
      <c r="U46" s="138"/>
      <c r="V46" s="138"/>
      <c r="W46" s="138"/>
      <c r="X46" s="184">
        <f t="shared" si="0"/>
        <v>0</v>
      </c>
      <c r="Y46" s="184">
        <f t="shared" si="1"/>
        <v>0</v>
      </c>
      <c r="Z46" s="184">
        <f t="shared" si="2"/>
        <v>0</v>
      </c>
      <c r="AA46" s="184">
        <f t="shared" si="3"/>
        <v>8</v>
      </c>
      <c r="AB46" s="184">
        <f t="shared" si="4"/>
        <v>0</v>
      </c>
      <c r="AC46" s="184">
        <f t="shared" si="5"/>
        <v>0</v>
      </c>
      <c r="AD46" s="184">
        <f t="shared" si="6"/>
        <v>0</v>
      </c>
      <c r="AE46" s="184">
        <f t="shared" si="7"/>
        <v>0</v>
      </c>
      <c r="AF46" s="184">
        <f t="shared" si="8"/>
        <v>0</v>
      </c>
      <c r="AG46" s="184">
        <f t="shared" si="9"/>
        <v>0</v>
      </c>
    </row>
    <row r="47" spans="1:33" ht="18" customHeight="1">
      <c r="A47" s="161"/>
      <c r="B47" s="190"/>
      <c r="C47" s="197"/>
      <c r="D47" s="192"/>
      <c r="E47" s="199"/>
      <c r="F47" s="199"/>
      <c r="G47" s="200"/>
      <c r="H47" s="195">
        <f t="shared" si="22"/>
        <v>0</v>
      </c>
      <c r="I47" s="202" t="str">
        <f t="shared" si="16"/>
        <v/>
      </c>
      <c r="J47" s="165">
        <v>8</v>
      </c>
      <c r="K47" s="164"/>
      <c r="L47" s="163"/>
      <c r="M47" s="166"/>
      <c r="N47" s="167">
        <f t="shared" si="17"/>
        <v>0</v>
      </c>
      <c r="O47" s="167">
        <f t="shared" si="18"/>
        <v>0</v>
      </c>
      <c r="P47" s="168" t="b">
        <f t="shared" si="19"/>
        <v>0</v>
      </c>
      <c r="Q47" s="168" t="b">
        <f t="shared" si="20"/>
        <v>0</v>
      </c>
      <c r="R47" s="168">
        <f t="shared" si="21"/>
        <v>0</v>
      </c>
      <c r="S47" s="55"/>
      <c r="T47" s="138"/>
      <c r="U47" s="138"/>
      <c r="V47" s="138"/>
      <c r="W47" s="138"/>
      <c r="X47" s="184">
        <f t="shared" si="0"/>
        <v>0</v>
      </c>
      <c r="Y47" s="184">
        <f t="shared" si="1"/>
        <v>0</v>
      </c>
      <c r="Z47" s="184">
        <f t="shared" si="2"/>
        <v>0</v>
      </c>
      <c r="AA47" s="184">
        <f t="shared" si="3"/>
        <v>8</v>
      </c>
      <c r="AB47" s="184">
        <f t="shared" si="4"/>
        <v>0</v>
      </c>
      <c r="AC47" s="184">
        <f t="shared" si="5"/>
        <v>0</v>
      </c>
      <c r="AD47" s="184">
        <f t="shared" si="6"/>
        <v>0</v>
      </c>
      <c r="AE47" s="184">
        <f t="shared" si="7"/>
        <v>0</v>
      </c>
      <c r="AF47" s="184">
        <f t="shared" si="8"/>
        <v>0</v>
      </c>
      <c r="AG47" s="184">
        <f t="shared" si="9"/>
        <v>0</v>
      </c>
    </row>
    <row r="48" spans="1:33">
      <c r="A48"/>
      <c r="B48"/>
      <c r="C48"/>
      <c r="D48"/>
      <c r="E48"/>
      <c r="F48"/>
      <c r="G48"/>
      <c r="H48"/>
      <c r="I48"/>
      <c r="J48"/>
      <c r="K48"/>
      <c r="L48"/>
      <c r="M48"/>
      <c r="N48" s="138"/>
      <c r="O48" s="138"/>
      <c r="P48" s="138"/>
      <c r="Q48" s="138"/>
      <c r="R48" s="138"/>
      <c r="S48" s="138"/>
      <c r="T48" s="138"/>
      <c r="U48" s="138"/>
      <c r="V48" s="138"/>
      <c r="W48" s="138"/>
    </row>
    <row r="49" spans="1:23">
      <c r="A49"/>
      <c r="B49"/>
      <c r="C49"/>
      <c r="D49"/>
      <c r="E49"/>
      <c r="F49"/>
      <c r="G49"/>
      <c r="H49"/>
      <c r="I49"/>
      <c r="J49"/>
      <c r="K49"/>
      <c r="L49"/>
      <c r="M49"/>
      <c r="N49" s="138"/>
      <c r="O49" s="138"/>
      <c r="P49" s="138"/>
      <c r="Q49" s="138"/>
      <c r="R49" s="138"/>
      <c r="S49" s="138"/>
      <c r="T49" s="138"/>
      <c r="U49" s="138"/>
      <c r="V49" s="138"/>
      <c r="W49" s="138"/>
    </row>
    <row r="55" spans="1:23" ht="35.1" customHeight="1">
      <c r="E55" s="103"/>
      <c r="F55" s="103"/>
      <c r="G55" s="103"/>
      <c r="H55" s="103"/>
      <c r="I55" s="103"/>
    </row>
    <row r="16368" spans="24:28">
      <c r="X16368" s="123">
        <v>24.446999999999999</v>
      </c>
      <c r="Z16368" s="123">
        <v>1.6</v>
      </c>
      <c r="AA16368" s="123">
        <v>1.5269999999999999</v>
      </c>
      <c r="AB16368" s="123">
        <v>72</v>
      </c>
    </row>
    <row r="16369" spans="24:28">
      <c r="X16369" s="123">
        <v>17.547999999999998</v>
      </c>
      <c r="Z16369" s="123">
        <v>1.629</v>
      </c>
      <c r="AA16369" s="123">
        <v>73</v>
      </c>
      <c r="AB16369" s="123">
        <v>24.443999999999999</v>
      </c>
    </row>
    <row r="16370" spans="24:28">
      <c r="X16370" s="123">
        <v>1.645</v>
      </c>
      <c r="Z16370" s="123">
        <v>72</v>
      </c>
      <c r="AA16370" s="123">
        <v>24.393000000000001</v>
      </c>
      <c r="AB16370" s="123">
        <v>17.591000000000001</v>
      </c>
    </row>
    <row r="16371" spans="24:28">
      <c r="X16371" s="123">
        <v>1.579</v>
      </c>
      <c r="Z16371" s="123">
        <v>24.516999999999999</v>
      </c>
      <c r="AA16371" s="123">
        <v>17.501999999999999</v>
      </c>
    </row>
    <row r="16372" spans="24:28">
      <c r="X16372" s="123">
        <v>73</v>
      </c>
      <c r="Z16372" s="123">
        <v>17.587</v>
      </c>
      <c r="AA16372" s="123">
        <v>1.5840000000000001</v>
      </c>
    </row>
    <row r="16373" spans="24:28">
      <c r="X16373" s="123">
        <v>1.613</v>
      </c>
      <c r="Z16373" s="123">
        <v>1.4830000000000001</v>
      </c>
      <c r="AA16373" s="123">
        <v>1.5509999999999999</v>
      </c>
    </row>
    <row r="16374" spans="24:28">
      <c r="X16374" s="123">
        <v>72</v>
      </c>
    </row>
    <row r="16375" spans="24:28">
      <c r="X16375" s="123">
        <v>24.47</v>
      </c>
    </row>
    <row r="16376" spans="24:28">
      <c r="X16376" s="123">
        <v>17.536000000000001</v>
      </c>
    </row>
    <row r="16377" spans="24:28">
      <c r="X16377" s="123">
        <v>1.5860000000000001</v>
      </c>
    </row>
    <row r="16378" spans="24:28">
      <c r="X16378" s="123">
        <v>1.552</v>
      </c>
    </row>
    <row r="16379" spans="24:28">
      <c r="X16379" s="123">
        <v>70</v>
      </c>
    </row>
    <row r="16380" spans="24:28">
      <c r="X16380" s="123">
        <v>24.384</v>
      </c>
    </row>
    <row r="16381" spans="24:28">
      <c r="X16381" s="123">
        <v>72</v>
      </c>
    </row>
  </sheetData>
  <mergeCells count="29">
    <mergeCell ref="A2:M2"/>
    <mergeCell ref="A3:M3"/>
    <mergeCell ref="H13:I13"/>
    <mergeCell ref="H11:I11"/>
    <mergeCell ref="J11:K11"/>
    <mergeCell ref="C9:D9"/>
    <mergeCell ref="C10:D10"/>
    <mergeCell ref="E9:G9"/>
    <mergeCell ref="E10:G10"/>
    <mergeCell ref="J9:K9"/>
    <mergeCell ref="J10:K10"/>
    <mergeCell ref="H9:I9"/>
    <mergeCell ref="H10:I10"/>
    <mergeCell ref="A18:G18"/>
    <mergeCell ref="K25:M25"/>
    <mergeCell ref="A6:M6"/>
    <mergeCell ref="C11:D11"/>
    <mergeCell ref="C14:D14"/>
    <mergeCell ref="E11:G11"/>
    <mergeCell ref="E14:G14"/>
    <mergeCell ref="H14:I14"/>
    <mergeCell ref="J14:K14"/>
    <mergeCell ref="C12:D12"/>
    <mergeCell ref="C13:D13"/>
    <mergeCell ref="J12:K12"/>
    <mergeCell ref="J13:K13"/>
    <mergeCell ref="E12:G12"/>
    <mergeCell ref="E13:G13"/>
    <mergeCell ref="H12:I12"/>
  </mergeCells>
  <conditionalFormatting sqref="I26:I47">
    <cfRule type="cellIs" dxfId="1" priority="3" stopIfTrue="1" operator="notBetween">
      <formula>$A$30+$C$30</formula>
      <formula>$A$30+$D$30</formula>
    </cfRule>
  </conditionalFormatting>
  <conditionalFormatting sqref="U18:U39 L18:L19 L21:L39 R18:R47 O18:O47 I18:I47">
    <cfRule type="cellIs" dxfId="0" priority="5" stopIfTrue="1" operator="notBetween">
      <formula>$A$20+$C$20</formula>
      <formula>$A$20+$D$20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fitToHeight="0" orientation="portrait" r:id="rId1"/>
  <headerFooter>
    <oddFooter>Page &amp;P de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Rapport d'essai dimensionnel</vt:lpstr>
      <vt:lpstr>Plan de contrôle horizontal</vt:lpstr>
      <vt:lpstr>Plan de contrôle vertical</vt:lpstr>
      <vt:lpstr>Mesures</vt:lpstr>
      <vt:lpstr>Mesures!Zone_d_impression</vt:lpstr>
      <vt:lpstr>'Plan de contrôle horizontal'!Zone_d_impression</vt:lpstr>
      <vt:lpstr>'Plan de contrôle vertical'!Zone_d_impression</vt:lpstr>
      <vt:lpstr>'Rapport d''essai dimensionnel'!Zone_d_impression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Julie LANOUX</cp:lastModifiedBy>
  <cp:lastPrinted>2024-01-11T13:43:26Z</cp:lastPrinted>
  <dcterms:created xsi:type="dcterms:W3CDTF">1996-10-21T11:03:58Z</dcterms:created>
  <dcterms:modified xsi:type="dcterms:W3CDTF">2024-04-16T11:51:29Z</dcterms:modified>
</cp:coreProperties>
</file>