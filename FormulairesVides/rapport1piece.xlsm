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boTri-PC2\Desktop\dev\form\"/>
    </mc:Choice>
  </mc:AlternateContent>
  <xr:revisionPtr revIDLastSave="0" documentId="13_ncr:1_{319D187F-F041-4868-A8C6-144AC7F6BC65}" xr6:coauthVersionLast="47" xr6:coauthVersionMax="47" xr10:uidLastSave="{00000000-0000-0000-0000-000000000000}"/>
  <bookViews>
    <workbookView xWindow="-120" yWindow="-120" windowWidth="29040" windowHeight="15720" tabRatio="980" activeTab="3" xr2:uid="{00000000-000D-0000-FFFF-FFFF00000000}"/>
  </bookViews>
  <sheets>
    <sheet name="Rapport d'essai dimensionnel" sheetId="18" r:id="rId1"/>
    <sheet name="Plan de contrôle horizontal" sheetId="39" r:id="rId2"/>
    <sheet name="Plan de contrôle vertical" sheetId="40" r:id="rId3"/>
    <sheet name="Mesures" sheetId="20" r:id="rId4"/>
  </sheets>
  <externalReferences>
    <externalReference r:id="rId5"/>
    <externalReference r:id="rId6"/>
  </externalReferences>
  <definedNames>
    <definedName name="_xlnm.Print_Area" localSheetId="3">Mesures!$A$1:$M$51</definedName>
    <definedName name="_xlnm.Print_Area" localSheetId="1">'Plan de contrôle horizontal'!$A$1:$V$37</definedName>
    <definedName name="_xlnm.Print_Area" localSheetId="2">'Plan de contrôle vertical'!$A$1:$O$59</definedName>
    <definedName name="_xlnm.Print_Area" localSheetId="0">'Rapport d''essai dimensionnel'!$A$1:$P$110</definedName>
  </definedNames>
  <calcPr calcId="191029"/>
  <customWorkbookViews>
    <customWorkbookView name="test" guid="{2E603240-45D0-11D8-ACA8-A56CE297D533}" maximized="1" windowWidth="796" windowHeight="439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4" i="20" l="1"/>
  <c r="A3" i="20"/>
  <c r="A3" i="40"/>
  <c r="D24" i="20"/>
  <c r="N66" i="18"/>
  <c r="E21" i="18"/>
  <c r="D21" i="18"/>
  <c r="D20" i="18"/>
  <c r="D19" i="18"/>
  <c r="D18" i="18"/>
  <c r="D47" i="18"/>
  <c r="O54" i="18"/>
  <c r="O35" i="18" l="1"/>
  <c r="H37" i="20"/>
  <c r="I37" i="20"/>
  <c r="H38" i="20"/>
  <c r="I38" i="20"/>
  <c r="H39" i="20"/>
  <c r="I39" i="20"/>
  <c r="H40" i="20"/>
  <c r="I40" i="20"/>
  <c r="H41" i="20"/>
  <c r="I41" i="20"/>
  <c r="H42" i="20"/>
  <c r="I42" i="20"/>
  <c r="H43" i="20"/>
  <c r="I43" i="20"/>
  <c r="H44" i="20"/>
  <c r="I44" i="20"/>
  <c r="H45" i="20"/>
  <c r="I45" i="20"/>
  <c r="H46" i="20"/>
  <c r="I46" i="20"/>
  <c r="H47" i="20"/>
  <c r="I47" i="20"/>
  <c r="H48" i="20"/>
  <c r="I48" i="20"/>
  <c r="H49" i="20"/>
  <c r="I49" i="20"/>
  <c r="H50" i="20"/>
  <c r="I50" i="20"/>
  <c r="H51" i="20"/>
  <c r="I51" i="20"/>
  <c r="AS89" i="18"/>
  <c r="AJ131" i="18" l="1"/>
  <c r="AJ130" i="18"/>
  <c r="AJ129" i="18"/>
  <c r="AJ128" i="18"/>
  <c r="AJ127" i="18"/>
  <c r="AJ126" i="18"/>
  <c r="AJ125" i="18"/>
  <c r="AJ124" i="18"/>
  <c r="AJ123" i="18"/>
  <c r="AS122" i="18"/>
  <c r="AJ122" i="18"/>
  <c r="AS121" i="18"/>
  <c r="AJ121" i="18"/>
  <c r="AS120" i="18"/>
  <c r="AJ120" i="18"/>
  <c r="AS119" i="18"/>
  <c r="AJ119" i="18"/>
  <c r="AS118" i="18"/>
  <c r="AJ118" i="18"/>
  <c r="AS117" i="18"/>
  <c r="AJ117" i="18"/>
  <c r="AS116" i="18"/>
  <c r="AJ116" i="18"/>
  <c r="AS115" i="18"/>
  <c r="AJ115" i="18"/>
  <c r="AS114" i="18"/>
  <c r="AJ114" i="18"/>
  <c r="AS113" i="18"/>
  <c r="AJ113" i="18"/>
  <c r="AS112" i="18"/>
  <c r="AJ112" i="18"/>
  <c r="AS111" i="18"/>
  <c r="AJ111" i="18"/>
  <c r="AS110" i="18"/>
  <c r="AJ110" i="18"/>
  <c r="AS109" i="18"/>
  <c r="AJ109" i="18"/>
  <c r="AS108" i="18"/>
  <c r="AJ108" i="18"/>
  <c r="AS107" i="18"/>
  <c r="AJ107" i="18"/>
  <c r="AS106" i="18"/>
  <c r="AJ106" i="18"/>
  <c r="AS105" i="18"/>
  <c r="AJ105" i="18"/>
  <c r="AS104" i="18"/>
  <c r="AJ104" i="18"/>
  <c r="AS103" i="18"/>
  <c r="AJ103" i="18"/>
  <c r="AS102" i="18"/>
  <c r="AJ102" i="18"/>
  <c r="AS101" i="18"/>
  <c r="AJ101" i="18"/>
  <c r="AS100" i="18"/>
  <c r="AJ100" i="18"/>
  <c r="AS99" i="18"/>
  <c r="AJ99" i="18"/>
  <c r="AS98" i="18"/>
  <c r="AJ98" i="18"/>
  <c r="AS97" i="18"/>
  <c r="AJ97" i="18"/>
  <c r="AS96" i="18"/>
  <c r="AJ96" i="18"/>
  <c r="AS95" i="18"/>
  <c r="AJ95" i="18"/>
  <c r="AS94" i="18"/>
  <c r="AJ94" i="18"/>
  <c r="AS93" i="18"/>
  <c r="AJ93" i="18"/>
  <c r="AS92" i="18"/>
  <c r="AJ92" i="18"/>
  <c r="AS91" i="18"/>
  <c r="AJ91" i="18"/>
  <c r="AS90" i="18"/>
  <c r="AJ90" i="18"/>
  <c r="AJ89" i="18"/>
  <c r="AS88" i="18"/>
  <c r="AJ88" i="18"/>
  <c r="AS87" i="18"/>
  <c r="AJ87" i="18"/>
  <c r="AS86" i="18"/>
  <c r="AJ86" i="18"/>
  <c r="AS85" i="18"/>
  <c r="AJ85" i="18"/>
  <c r="AS84" i="18"/>
  <c r="AJ84" i="18"/>
  <c r="AS83" i="18"/>
  <c r="AJ83" i="18"/>
  <c r="AB83" i="18"/>
  <c r="AS82" i="18"/>
  <c r="AJ82" i="18"/>
  <c r="AB82" i="18"/>
  <c r="AS81" i="18"/>
  <c r="AJ81" i="18"/>
  <c r="AB81" i="18"/>
  <c r="AS80" i="18"/>
  <c r="AJ80" i="18"/>
  <c r="AB80" i="18"/>
  <c r="AS79" i="18"/>
  <c r="AJ79" i="18"/>
  <c r="AB79" i="18"/>
  <c r="AS78" i="18"/>
  <c r="AJ78" i="18"/>
  <c r="AB78" i="18"/>
  <c r="AS77" i="18"/>
  <c r="AJ77" i="18"/>
  <c r="AB77" i="18"/>
  <c r="AS76" i="18"/>
  <c r="AJ76" i="18"/>
  <c r="AB76" i="18"/>
  <c r="AS75" i="18"/>
  <c r="AJ75" i="18"/>
  <c r="AB75" i="18"/>
  <c r="AI133" i="18"/>
  <c r="AR133" i="18"/>
  <c r="J24" i="20" l="1"/>
  <c r="H33" i="20" l="1"/>
  <c r="H34" i="20"/>
  <c r="H35" i="20"/>
  <c r="H36" i="20"/>
  <c r="H30" i="20"/>
  <c r="H31" i="20"/>
  <c r="A3" i="39"/>
  <c r="H32" i="20" l="1"/>
  <c r="O30" i="20" l="1"/>
  <c r="Q30" i="20" s="1"/>
  <c r="N30" i="20"/>
  <c r="P30" i="20" s="1"/>
  <c r="N31" i="20"/>
  <c r="P31" i="20" s="1"/>
  <c r="O31" i="20"/>
  <c r="Q31" i="20" s="1"/>
  <c r="N32" i="20"/>
  <c r="P32" i="20" s="1"/>
  <c r="O32" i="20"/>
  <c r="Q32" i="20" s="1"/>
  <c r="N33" i="20"/>
  <c r="P33" i="20" s="1"/>
  <c r="O33" i="20"/>
  <c r="Q33" i="20" s="1"/>
  <c r="N34" i="20"/>
  <c r="P34" i="20" s="1"/>
  <c r="O34" i="20"/>
  <c r="Q34" i="20" s="1"/>
  <c r="N35" i="20"/>
  <c r="P35" i="20" s="1"/>
  <c r="O35" i="20"/>
  <c r="Q35" i="20" s="1"/>
  <c r="N36" i="20"/>
  <c r="P36" i="20" s="1"/>
  <c r="O36" i="20"/>
  <c r="Q36" i="20" s="1"/>
  <c r="N37" i="20"/>
  <c r="P37" i="20" s="1"/>
  <c r="O37" i="20"/>
  <c r="Q37" i="20" s="1"/>
  <c r="N38" i="20"/>
  <c r="P38" i="20" s="1"/>
  <c r="O38" i="20"/>
  <c r="Q38" i="20" s="1"/>
  <c r="N39" i="20"/>
  <c r="P39" i="20" s="1"/>
  <c r="O39" i="20"/>
  <c r="Q39" i="20" s="1"/>
  <c r="N40" i="20"/>
  <c r="P40" i="20" s="1"/>
  <c r="O40" i="20"/>
  <c r="Q40" i="20" s="1"/>
  <c r="N41" i="20"/>
  <c r="P41" i="20" s="1"/>
  <c r="O41" i="20"/>
  <c r="Q41" i="20" s="1"/>
  <c r="N42" i="20"/>
  <c r="P42" i="20" s="1"/>
  <c r="O42" i="20"/>
  <c r="Q42" i="20" s="1"/>
  <c r="N43" i="20"/>
  <c r="P43" i="20" s="1"/>
  <c r="O43" i="20"/>
  <c r="Q43" i="20" s="1"/>
  <c r="N44" i="20"/>
  <c r="P44" i="20" s="1"/>
  <c r="O44" i="20"/>
  <c r="Q44" i="20" s="1"/>
  <c r="N45" i="20"/>
  <c r="P45" i="20" s="1"/>
  <c r="O45" i="20"/>
  <c r="Q45" i="20" s="1"/>
  <c r="N46" i="20"/>
  <c r="P46" i="20" s="1"/>
  <c r="O46" i="20"/>
  <c r="Q46" i="20" s="1"/>
  <c r="N47" i="20"/>
  <c r="P47" i="20" s="1"/>
  <c r="O47" i="20"/>
  <c r="Q47" i="20" s="1"/>
  <c r="N48" i="20"/>
  <c r="P48" i="20" s="1"/>
  <c r="O48" i="20"/>
  <c r="Q48" i="20" s="1"/>
  <c r="N49" i="20"/>
  <c r="P49" i="20" s="1"/>
  <c r="O49" i="20"/>
  <c r="Q49" i="20" s="1"/>
  <c r="N50" i="20"/>
  <c r="P50" i="20" s="1"/>
  <c r="O50" i="20"/>
  <c r="Q50" i="20" s="1"/>
  <c r="N51" i="20"/>
  <c r="P51" i="20" s="1"/>
  <c r="O51" i="20"/>
  <c r="Q51" i="20" s="1"/>
  <c r="R40" i="20" l="1"/>
  <c r="R38" i="20"/>
  <c r="R30" i="20"/>
  <c r="I30" i="20" s="1"/>
  <c r="R41" i="20"/>
  <c r="R49" i="20"/>
  <c r="R44" i="20"/>
  <c r="R48" i="20"/>
  <c r="R39" i="20"/>
  <c r="R46" i="20"/>
  <c r="R36" i="20"/>
  <c r="I36" i="20" s="1"/>
  <c r="R33" i="20"/>
  <c r="I33" i="20" s="1"/>
  <c r="R35" i="20"/>
  <c r="I35" i="20" s="1"/>
  <c r="R43" i="20"/>
  <c r="R47" i="20"/>
  <c r="R51" i="20"/>
  <c r="R32" i="20"/>
  <c r="I32" i="20" s="1"/>
  <c r="R31" i="20"/>
  <c r="I31" i="20" s="1"/>
  <c r="R50" i="20"/>
  <c r="R45" i="20"/>
  <c r="R37" i="20"/>
  <c r="R34" i="20"/>
  <c r="I34" i="20" s="1"/>
  <c r="R42" i="20"/>
  <c r="M107" i="18" l="1"/>
  <c r="G107" i="18"/>
  <c r="B107" i="18"/>
  <c r="AR134" i="18" l="1"/>
  <c r="AI135" i="18"/>
  <c r="AI137" i="18"/>
  <c r="AR136" i="18"/>
  <c r="AR141" i="18"/>
  <c r="AR140" i="18"/>
  <c r="AR139" i="18"/>
  <c r="AR138" i="18"/>
  <c r="AR137" i="18"/>
  <c r="AR135" i="18"/>
  <c r="AI139" i="18"/>
  <c r="AI138" i="18"/>
  <c r="AI136" i="18"/>
  <c r="AI141" i="18" l="1"/>
  <c r="AI140" i="18"/>
  <c r="AI134" i="18"/>
  <c r="A63" i="18" l="1"/>
  <c r="E66" i="18"/>
</calcChain>
</file>

<file path=xl/sharedStrings.xml><?xml version="1.0" encoding="utf-8"?>
<sst xmlns="http://schemas.openxmlformats.org/spreadsheetml/2006/main" count="197" uniqueCount="185">
  <si>
    <t xml:space="preserve">Désignation :          </t>
  </si>
  <si>
    <t>Norme ou texte de référence :</t>
  </si>
  <si>
    <t>Température :</t>
  </si>
  <si>
    <t>Hygrométrie :</t>
  </si>
  <si>
    <t>Zone Industrielle de Mérignan</t>
  </si>
  <si>
    <t>Rue Denis Papin ; B.P. 35</t>
  </si>
  <si>
    <t>45240 LA FERTE ST AUBIN</t>
  </si>
  <si>
    <t>Tél : 02 38 64 81 00 / 02 38 64 80 05</t>
  </si>
  <si>
    <t>Fax : 02 38 64 81 11</t>
  </si>
  <si>
    <t>DELIVRE A :</t>
  </si>
  <si>
    <t>°C</t>
  </si>
  <si>
    <t>Conditions d'environnement :</t>
  </si>
  <si>
    <t xml:space="preserve">DATE DE VERIFICATION : </t>
  </si>
  <si>
    <t>Raccordement :</t>
  </si>
  <si>
    <t>Validité :</t>
  </si>
  <si>
    <t>/</t>
  </si>
  <si>
    <t>METHODES ET CONDITIONS DE MESURE :</t>
  </si>
  <si>
    <t>INCERTITUDES :</t>
  </si>
  <si>
    <t>Ce document ne peut être utilisé en lieu et place d'un certificat d'étalonnage.
La reproduction de ce constat n'est autorisée que sous la forme de fac-similé photographique intégral.
Ce constat de vérification est conforme à la NFX 07-011.</t>
  </si>
  <si>
    <t>Remarque(s) :</t>
  </si>
  <si>
    <t>EFFECTUEE PAR :</t>
  </si>
  <si>
    <t>%</t>
  </si>
  <si>
    <t>Ecart</t>
  </si>
  <si>
    <t>mail : contact@metrodem.fr</t>
  </si>
  <si>
    <t>RAPPORT D'ESSAI DIMENSIONNEL</t>
  </si>
  <si>
    <t>Plan de définition :</t>
  </si>
  <si>
    <t>Indice :</t>
  </si>
  <si>
    <t xml:space="preserve">Quantité livrée : </t>
  </si>
  <si>
    <t>PM70</t>
  </si>
  <si>
    <t>20 ± 2</t>
  </si>
  <si>
    <t>50 ± 20</t>
  </si>
  <si>
    <t>Date d'émission du rapport :</t>
  </si>
  <si>
    <t>IDENTIFICATION DU MATERIEL PRESENTE POUR ESSAI :</t>
  </si>
  <si>
    <t>RAPPORT D'ESSAI DIMENSIONNEL (suite)</t>
  </si>
  <si>
    <t>Dans le cas d'essais non spécifiques,la méthode utilisée relève de notre procédure interne PM70.</t>
  </si>
  <si>
    <t xml:space="preserve">Pour le cas d'essais spécifiques,la méthode utilisée sera décrite ci-dessous,avec accord préalable </t>
  </si>
  <si>
    <t>du demandeur.</t>
  </si>
  <si>
    <t>Moyen :</t>
  </si>
  <si>
    <t>Il est impossible de déterminer avec exactitude, l'incertitude de mesure d'une machine tridimensionnelle,</t>
  </si>
  <si>
    <t>ceci compte tenu du nombre important de sources d'incertitude (type de tête de palpage, types de palpeurs,</t>
  </si>
  <si>
    <t>longueur et pression des palpeurs, machine tridimensionnelle manuelle ou commande numérique, etc…)</t>
  </si>
  <si>
    <t xml:space="preserve">Toutefois il est necessaire d'indiquer la précision de mesure dans le volume machine utilisé, afin de </t>
  </si>
  <si>
    <t>valider les résultats de mesure en limite d'une spécification.</t>
  </si>
  <si>
    <t xml:space="preserve">Estimation Incertitude de Mesurage </t>
  </si>
  <si>
    <t>200 mm</t>
  </si>
  <si>
    <t>400 mm</t>
  </si>
  <si>
    <t>500 mm</t>
  </si>
  <si>
    <t>Information sur E.M.T. pour Machine à Mesurer Tridimensionnelle MITUTOYO EURO C-A7106</t>
  </si>
  <si>
    <t>(Erreur Maximale Tolérée) M.P.E. = (2.9 + 4L / 1000) µm</t>
  </si>
  <si>
    <t>Une estimation raisonnable est calculée ci-dessous, en utilisant une méthode d'analyse appropriée et en</t>
  </si>
  <si>
    <t>prenant en compte toutes les composantes de l'incertitude qui ont une importance dans la situation donnée.</t>
  </si>
  <si>
    <t>PLAN DE CONTRÔLE</t>
  </si>
  <si>
    <t>RESULTATS DES ESSAIS DE MESURE DIMENSIONNELLE</t>
  </si>
  <si>
    <t>Pied à coulisse</t>
  </si>
  <si>
    <t>Machine 2D Optique</t>
  </si>
  <si>
    <t>Rugosimètre</t>
  </si>
  <si>
    <t>Cales étalons</t>
  </si>
  <si>
    <t>Unité de Mesure :</t>
  </si>
  <si>
    <t>mm</t>
  </si>
  <si>
    <t>slide gauge</t>
  </si>
  <si>
    <t>2D optical machine</t>
  </si>
  <si>
    <t>rugosimeter</t>
  </si>
  <si>
    <t>block gauge</t>
  </si>
  <si>
    <t>N° 1</t>
  </si>
  <si>
    <t>N° 2</t>
  </si>
  <si>
    <t>N° 3</t>
  </si>
  <si>
    <t>N° 4</t>
  </si>
  <si>
    <t>Ind. :</t>
  </si>
  <si>
    <t>Micromètre</t>
  </si>
  <si>
    <t>Piges étalons</t>
  </si>
  <si>
    <t>Jauge de prof.</t>
  </si>
  <si>
    <t>Tridimensionnelle</t>
  </si>
  <si>
    <t>micrometer</t>
  </si>
  <si>
    <t>rod gauge</t>
  </si>
  <si>
    <t>depth gauge</t>
  </si>
  <si>
    <t>3 D machine</t>
  </si>
  <si>
    <t>N° 5</t>
  </si>
  <si>
    <t>N° 6</t>
  </si>
  <si>
    <t>N° 7</t>
  </si>
  <si>
    <t>N° 8</t>
  </si>
  <si>
    <t>HT</t>
  </si>
  <si>
    <t>N° M.C.</t>
  </si>
  <si>
    <t>CONDITIONS DE MESURES :</t>
  </si>
  <si>
    <t>Procédure de mesures :</t>
  </si>
  <si>
    <t>Date de la mesure :</t>
  </si>
  <si>
    <t>Acier</t>
  </si>
  <si>
    <t>Fonte</t>
  </si>
  <si>
    <t>&gt;</t>
  </si>
  <si>
    <t>Aluminium</t>
  </si>
  <si>
    <t>Plastique</t>
  </si>
  <si>
    <t>Moyen de mesure</t>
  </si>
  <si>
    <t>Etalons</t>
  </si>
  <si>
    <t>MOYEN(S) DE MESURES UTILISE(S) :</t>
  </si>
  <si>
    <t>MMT01</t>
  </si>
  <si>
    <t>MMO02</t>
  </si>
  <si>
    <t>BMH01</t>
  </si>
  <si>
    <t>BCE1</t>
  </si>
  <si>
    <t>BLE1</t>
  </si>
  <si>
    <t>BLE2</t>
  </si>
  <si>
    <t>BLE4</t>
  </si>
  <si>
    <t>BLE8</t>
  </si>
  <si>
    <t>BLE9</t>
  </si>
  <si>
    <t>BLE10</t>
  </si>
  <si>
    <t>CE1</t>
  </si>
  <si>
    <t>CE3</t>
  </si>
  <si>
    <t>CE4</t>
  </si>
  <si>
    <t>TPL2</t>
  </si>
  <si>
    <t>TPL3</t>
  </si>
  <si>
    <t>Bte n° 1</t>
  </si>
  <si>
    <t>Bte n° 2</t>
  </si>
  <si>
    <t>Bte n° 4</t>
  </si>
  <si>
    <t>BS1</t>
  </si>
  <si>
    <t>JP2</t>
  </si>
  <si>
    <t>MIC2</t>
  </si>
  <si>
    <t>MIC7</t>
  </si>
  <si>
    <t>MIC8</t>
  </si>
  <si>
    <t>MIC9</t>
  </si>
  <si>
    <t>MIC3T 1/1</t>
  </si>
  <si>
    <t>MIC3T 1/2</t>
  </si>
  <si>
    <t>MIC3T 1/3</t>
  </si>
  <si>
    <t>MIC3T 2/1</t>
  </si>
  <si>
    <t>MIC3T 2/2</t>
  </si>
  <si>
    <t>MIC3T 2/3</t>
  </si>
  <si>
    <t>MIC3T 3/1</t>
  </si>
  <si>
    <t>MIC3T 3/2</t>
  </si>
  <si>
    <t>MIC3T 3/3</t>
  </si>
  <si>
    <t>MIC3T 3/4</t>
  </si>
  <si>
    <t>PAC1</t>
  </si>
  <si>
    <t>PAC5</t>
  </si>
  <si>
    <t>PAC7</t>
  </si>
  <si>
    <t>Moyens secondaires</t>
  </si>
  <si>
    <t>Moyen 2</t>
  </si>
  <si>
    <t>Moyen 3</t>
  </si>
  <si>
    <t>Moyen 4</t>
  </si>
  <si>
    <t>Etalon 1</t>
  </si>
  <si>
    <t>Etalon 2</t>
  </si>
  <si>
    <t>Etalon 3</t>
  </si>
  <si>
    <t>pages</t>
  </si>
  <si>
    <t>Ce document comprend</t>
  </si>
  <si>
    <t>Le responsable des mesures :</t>
  </si>
  <si>
    <t>J. LANOUX</t>
  </si>
  <si>
    <t>N° de la cote</t>
  </si>
  <si>
    <t>Valeurs Théoriques</t>
  </si>
  <si>
    <t>Tol. Sup.</t>
  </si>
  <si>
    <t>Tol. Inf.</t>
  </si>
  <si>
    <t>Mesure</t>
  </si>
  <si>
    <t>OBSERVATIONS</t>
  </si>
  <si>
    <t>Supprimer le plan de contrôle non utilisé</t>
  </si>
  <si>
    <t>R. RAVIER</t>
  </si>
  <si>
    <t>T. BODY</t>
  </si>
  <si>
    <t>T. RUCHETON</t>
  </si>
  <si>
    <t xml:space="preserve">Date de réception du produit présenté pour essai : </t>
  </si>
  <si>
    <t>Code Client</t>
  </si>
  <si>
    <t>N° DE RAPPORT A NOTER</t>
  </si>
  <si>
    <t>Tolérance de fabrication et Norme de référence non fournies. Tenir compte des résultats obtenus.</t>
  </si>
  <si>
    <t>CONFORME au plan de définition</t>
  </si>
  <si>
    <t>NON CONFORME au plan de définition</t>
  </si>
  <si>
    <r>
      <t xml:space="preserve">Source : </t>
    </r>
    <r>
      <rPr>
        <i/>
        <sz val="10"/>
        <color rgb="FFC00000"/>
        <rFont val="Arial"/>
        <family val="2"/>
      </rPr>
      <t>‪Z:\GED\TRIDIMENSIONNEL\Partage F\DEM\GESTION DU LABO5</t>
    </r>
  </si>
  <si>
    <t>PAC3</t>
  </si>
  <si>
    <t>N° PAGE A CHANGER</t>
  </si>
  <si>
    <t>Liste client dans l'ordre alphabétique</t>
  </si>
  <si>
    <t>Tolérances Générales du Plan :</t>
  </si>
  <si>
    <t>X &amp; Y axis / 0-200 mm</t>
  </si>
  <si>
    <t>Z axis / 0-300 mm</t>
  </si>
  <si>
    <t>±15,9+5L µm</t>
  </si>
  <si>
    <t>±15,9+5,1L µm</t>
  </si>
  <si>
    <t>Information sur E.M.T. pour Machine à mesurer optique AYONIS DELTEC DV-LEO-3100 (MMO02)</t>
  </si>
  <si>
    <t>EMT = (2.5 + L / 200) µm</t>
  </si>
  <si>
    <t>INCERTITUDES SUR MMT MITUTOYO</t>
  </si>
  <si>
    <t>24 heures minimum</t>
  </si>
  <si>
    <t>STABILISATION DU MATERIEL SOUMIS AUX ESSAIS :</t>
  </si>
  <si>
    <t xml:space="preserve">N° d'identification : </t>
  </si>
  <si>
    <t>Plan de déf. :</t>
  </si>
  <si>
    <t>CONFORME à la norme de référence</t>
  </si>
  <si>
    <t>NON CONFORME à la norme de référence</t>
  </si>
  <si>
    <t>Spécifications :</t>
  </si>
  <si>
    <t>Jugement :</t>
  </si>
  <si>
    <t>RELEVE DE MESURES :</t>
  </si>
  <si>
    <t xml:space="preserve">N° </t>
  </si>
  <si>
    <t>CODE CLIENT</t>
  </si>
  <si>
    <t>pièces</t>
  </si>
  <si>
    <t xml:space="preserve">Quantité mesurée : </t>
  </si>
  <si>
    <t>Laboratoire</t>
  </si>
  <si>
    <t>Machine de mesure tridimensionnelle MITUTOYO EURO-C APEX 7106 (MMT01)</t>
  </si>
  <si>
    <t>CE N° 23042101-OMA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</si>
</sst>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_-* #,##0.00\ [$€]_-;\-* #,##0.00\ [$€]_-;_-* &quot;-&quot;??\ [$€]_-;_-@_-"/>
    <numFmt numFmtId="166" formatCode="0.0000"/>
    <numFmt numFmtId="167" formatCode="&quot;+/-&quot;0.0000&quot; µm&quot;"/>
    <numFmt numFmtId="168" formatCode="&quot;+/-&quot;0.0000&quot; mm&quot;"/>
    <numFmt numFmtId="169" formatCode="&quot;Réf. Pièce :&quot;0.00"/>
    <numFmt numFmtId="170" formatCode="00"/>
    <numFmt numFmtId="171" formatCode="mm/yyyy"/>
    <numFmt numFmtId="172" formatCode="0.000"/>
    <numFmt numFmtId="173" formatCode="[$-40C]d\ mmmm\ yyyy;@"/>
  </numFmts>
  <fonts count="45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sz val="12"/>
      <name val="Helv"/>
    </font>
    <font>
      <sz val="11"/>
      <name val="Arial"/>
      <family val="2"/>
    </font>
    <font>
      <b/>
      <sz val="12"/>
      <name val="Helv"/>
    </font>
    <font>
      <b/>
      <sz val="11"/>
      <name val="Arial"/>
      <family val="2"/>
    </font>
    <font>
      <b/>
      <u/>
      <sz val="11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u/>
      <sz val="11"/>
      <name val="Bernhard Modern Roman"/>
      <family val="1"/>
    </font>
    <font>
      <sz val="10"/>
      <name val="Helv"/>
    </font>
    <font>
      <u/>
      <sz val="10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b/>
      <sz val="9"/>
      <name val="Arial"/>
      <family val="2"/>
    </font>
    <font>
      <sz val="14"/>
      <name val="Arial"/>
      <family val="2"/>
    </font>
    <font>
      <sz val="10"/>
      <color theme="1"/>
      <name val="Arial"/>
      <family val="2"/>
    </font>
    <font>
      <sz val="10"/>
      <color rgb="FF777777"/>
      <name val="Arial"/>
      <family val="2"/>
    </font>
    <font>
      <b/>
      <sz val="12"/>
      <color rgb="FFC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theme="10"/>
      <name val="Arial"/>
      <family val="2"/>
    </font>
    <font>
      <sz val="8"/>
      <color indexed="12"/>
      <name val="Arial"/>
      <family val="2"/>
    </font>
    <font>
      <sz val="10"/>
      <color rgb="FFC00000"/>
      <name val="Arial"/>
      <family val="2"/>
    </font>
    <font>
      <i/>
      <sz val="10"/>
      <color rgb="FFC00000"/>
      <name val="Arial"/>
      <family val="2"/>
    </font>
    <font>
      <sz val="10"/>
      <name val="MS Sans Serif"/>
      <family val="2"/>
    </font>
    <font>
      <b/>
      <i/>
      <sz val="11"/>
      <name val="Arial"/>
      <family val="2"/>
    </font>
    <font>
      <b/>
      <sz val="10"/>
      <name val="Helv"/>
    </font>
    <font>
      <b/>
      <sz val="14"/>
      <color rgb="FFFF0000"/>
      <name val="Arial"/>
      <family val="2"/>
    </font>
    <font>
      <sz val="9"/>
      <color indexed="9"/>
      <name val="Times New Roman"/>
      <family val="1"/>
    </font>
    <font>
      <sz val="9"/>
      <name val="Times New Roman"/>
      <family val="1"/>
    </font>
    <font>
      <sz val="10"/>
      <color theme="0"/>
      <name val="Arial"/>
      <family val="2"/>
    </font>
    <font>
      <i/>
      <sz val="11"/>
      <name val="Arial"/>
      <family val="2"/>
    </font>
    <font>
      <i/>
      <sz val="10"/>
      <name val="Arial"/>
      <family val="2"/>
    </font>
    <font>
      <b/>
      <u/>
      <sz val="10"/>
      <name val="Bernhard Modern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165" fontId="1" fillId="0" borderId="0" applyFont="0" applyFill="0" applyBorder="0" applyAlignment="0" applyProtection="0"/>
    <xf numFmtId="0" fontId="13" fillId="0" borderId="0"/>
    <xf numFmtId="0" fontId="11" fillId="0" borderId="0"/>
    <xf numFmtId="0" fontId="5" fillId="0" borderId="0"/>
    <xf numFmtId="0" fontId="19" fillId="0" borderId="0"/>
    <xf numFmtId="0" fontId="30" fillId="0" borderId="0" applyNumberFormat="0" applyFill="0" applyBorder="0" applyAlignment="0" applyProtection="0"/>
    <xf numFmtId="0" fontId="35" fillId="0" borderId="0"/>
    <xf numFmtId="0" fontId="1" fillId="0" borderId="0"/>
    <xf numFmtId="0" fontId="1" fillId="0" borderId="0"/>
  </cellStyleXfs>
  <cellXfs count="267">
    <xf numFmtId="0" fontId="0" fillId="0" borderId="0" xfId="0"/>
    <xf numFmtId="0" fontId="0" fillId="0" borderId="0" xfId="0" applyAlignment="1">
      <alignment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5" fillId="0" borderId="0" xfId="0" applyFont="1" applyAlignment="1">
      <alignment vertical="center"/>
    </xf>
    <xf numFmtId="0" fontId="2" fillId="2" borderId="0" xfId="0" applyFont="1" applyFill="1" applyAlignme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2" borderId="0" xfId="0" quotePrefix="1" applyFont="1" applyFill="1" applyAlignment="1">
      <alignment horizontal="left" vertical="center"/>
    </xf>
    <xf numFmtId="49" fontId="5" fillId="2" borderId="0" xfId="0" applyNumberFormat="1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 wrapText="1"/>
    </xf>
    <xf numFmtId="49" fontId="5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2" fillId="0" borderId="0" xfId="3" applyFont="1" applyAlignment="1">
      <alignment vertical="center"/>
    </xf>
    <xf numFmtId="0" fontId="12" fillId="0" borderId="0" xfId="3" applyFont="1" applyAlignment="1">
      <alignment horizontal="left" vertical="center"/>
    </xf>
    <xf numFmtId="0" fontId="14" fillId="0" borderId="0" xfId="2" applyFont="1" applyAlignment="1">
      <alignment vertical="center"/>
    </xf>
    <xf numFmtId="0" fontId="14" fillId="0" borderId="0" xfId="2" applyFont="1" applyAlignment="1">
      <alignment horizontal="right" vertical="center"/>
    </xf>
    <xf numFmtId="0" fontId="14" fillId="0" borderId="0" xfId="2" applyFont="1" applyAlignment="1">
      <alignment horizontal="center" vertical="center"/>
    </xf>
    <xf numFmtId="167" fontId="14" fillId="0" borderId="0" xfId="2" applyNumberFormat="1" applyFont="1" applyAlignment="1">
      <alignment horizontal="center" vertical="center"/>
    </xf>
    <xf numFmtId="0" fontId="14" fillId="0" borderId="0" xfId="2" applyFont="1" applyAlignment="1">
      <alignment horizontal="left" vertical="center"/>
    </xf>
    <xf numFmtId="167" fontId="12" fillId="0" borderId="0" xfId="2" applyNumberFormat="1" applyFont="1" applyAlignment="1">
      <alignment horizontal="center" vertical="center"/>
    </xf>
    <xf numFmtId="0" fontId="19" fillId="0" borderId="0" xfId="5"/>
    <xf numFmtId="0" fontId="19" fillId="0" borderId="0" xfId="5" applyAlignment="1">
      <alignment horizontal="center"/>
    </xf>
    <xf numFmtId="0" fontId="5" fillId="0" borderId="0" xfId="4"/>
    <xf numFmtId="0" fontId="17" fillId="0" borderId="0" xfId="5" applyFont="1" applyAlignment="1">
      <alignment horizontal="center"/>
    </xf>
    <xf numFmtId="0" fontId="9" fillId="0" borderId="0" xfId="5" applyFont="1"/>
    <xf numFmtId="0" fontId="22" fillId="0" borderId="0" xfId="5" applyFont="1" applyAlignment="1">
      <alignment horizontal="center" vertical="center"/>
    </xf>
    <xf numFmtId="0" fontId="9" fillId="0" borderId="0" xfId="5" applyFont="1" applyAlignment="1">
      <alignment vertical="center"/>
    </xf>
    <xf numFmtId="2" fontId="9" fillId="0" borderId="4" xfId="5" applyNumberFormat="1" applyFont="1" applyBorder="1" applyAlignment="1">
      <alignment horizontal="center" vertical="center"/>
    </xf>
    <xf numFmtId="2" fontId="9" fillId="0" borderId="0" xfId="5" applyNumberFormat="1" applyFont="1" applyAlignment="1">
      <alignment horizontal="center" vertical="center"/>
    </xf>
    <xf numFmtId="1" fontId="21" fillId="0" borderId="0" xfId="5" applyNumberFormat="1" applyFont="1" applyAlignment="1">
      <alignment horizontal="center" vertical="center"/>
    </xf>
    <xf numFmtId="2" fontId="21" fillId="0" borderId="0" xfId="5" applyNumberFormat="1" applyFont="1" applyAlignment="1">
      <alignment horizontal="center" vertical="center"/>
    </xf>
    <xf numFmtId="2" fontId="9" fillId="0" borderId="5" xfId="5" applyNumberFormat="1" applyFont="1" applyBorder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"/>
    </xf>
    <xf numFmtId="0" fontId="15" fillId="0" borderId="0" xfId="0" applyFont="1" applyAlignment="1">
      <alignment horizontal="centerContinuous"/>
    </xf>
    <xf numFmtId="0" fontId="14" fillId="0" borderId="0" xfId="0" applyFont="1" applyAlignment="1">
      <alignment horizontal="centerContinuous"/>
    </xf>
    <xf numFmtId="0" fontId="21" fillId="0" borderId="7" xfId="0" applyFont="1" applyBorder="1"/>
    <xf numFmtId="0" fontId="9" fillId="0" borderId="7" xfId="0" applyFont="1" applyBorder="1"/>
    <xf numFmtId="0" fontId="17" fillId="0" borderId="7" xfId="0" applyFont="1" applyBorder="1"/>
    <xf numFmtId="0" fontId="24" fillId="3" borderId="0" xfId="0" applyFont="1" applyFill="1" applyAlignment="1">
      <alignment vertical="center"/>
    </xf>
    <xf numFmtId="0" fontId="5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2" borderId="0" xfId="0" applyFont="1" applyFill="1" applyAlignment="1">
      <alignment horizontal="left"/>
    </xf>
    <xf numFmtId="0" fontId="22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9" fillId="0" borderId="1" xfId="0" applyFont="1" applyBorder="1"/>
    <xf numFmtId="0" fontId="9" fillId="0" borderId="2" xfId="0" applyFont="1" applyBorder="1"/>
    <xf numFmtId="0" fontId="9" fillId="0" borderId="3" xfId="0" applyFont="1" applyBorder="1"/>
    <xf numFmtId="0" fontId="17" fillId="0" borderId="4" xfId="0" applyFont="1" applyBorder="1"/>
    <xf numFmtId="0" fontId="17" fillId="0" borderId="5" xfId="0" applyFont="1" applyBorder="1" applyAlignment="1">
      <alignment horizontal="center"/>
    </xf>
    <xf numFmtId="0" fontId="21" fillId="0" borderId="6" xfId="0" applyFont="1" applyBorder="1"/>
    <xf numFmtId="0" fontId="17" fillId="0" borderId="8" xfId="0" applyFont="1" applyBorder="1"/>
    <xf numFmtId="0" fontId="5" fillId="0" borderId="12" xfId="0" applyFont="1" applyBorder="1" applyAlignment="1">
      <alignment vertical="center"/>
    </xf>
    <xf numFmtId="166" fontId="5" fillId="0" borderId="12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0" fillId="0" borderId="12" xfId="0" applyBorder="1" applyAlignment="1">
      <alignment vertical="center"/>
    </xf>
    <xf numFmtId="0" fontId="2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171" fontId="9" fillId="0" borderId="0" xfId="0" applyNumberFormat="1" applyFont="1" applyAlignment="1">
      <alignment horizontal="center" vertical="center"/>
    </xf>
    <xf numFmtId="0" fontId="9" fillId="0" borderId="0" xfId="0" quotePrefix="1" applyFont="1" applyAlignment="1">
      <alignment vertical="center"/>
    </xf>
    <xf numFmtId="0" fontId="9" fillId="2" borderId="0" xfId="0" applyFont="1" applyFill="1" applyAlignment="1">
      <alignment horizontal="center" vertical="center"/>
    </xf>
    <xf numFmtId="17" fontId="9" fillId="0" borderId="0" xfId="0" applyNumberFormat="1" applyFont="1" applyAlignment="1">
      <alignment horizontal="left" vertical="center"/>
    </xf>
    <xf numFmtId="17" fontId="9" fillId="0" borderId="0" xfId="0" applyNumberFormat="1" applyFont="1" applyAlignment="1">
      <alignment vertical="center"/>
    </xf>
    <xf numFmtId="0" fontId="31" fillId="0" borderId="0" xfId="6" applyFont="1" applyBorder="1" applyAlignment="1" applyProtection="1">
      <alignment horizontal="center" vertical="center"/>
    </xf>
    <xf numFmtId="0" fontId="32" fillId="2" borderId="0" xfId="6" applyFont="1" applyFill="1" applyBorder="1" applyAlignment="1" applyProtection="1">
      <alignment horizontal="center" vertical="center"/>
    </xf>
    <xf numFmtId="0" fontId="21" fillId="4" borderId="0" xfId="0" applyFont="1" applyFill="1" applyAlignment="1">
      <alignment vertical="center"/>
    </xf>
    <xf numFmtId="0" fontId="9" fillId="0" borderId="2" xfId="0" quotePrefix="1" applyFont="1" applyBorder="1" applyAlignment="1">
      <alignment vertical="center"/>
    </xf>
    <xf numFmtId="0" fontId="9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9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33" fillId="0" borderId="0" xfId="0" applyFont="1" applyAlignment="1">
      <alignment vertical="center"/>
    </xf>
    <xf numFmtId="0" fontId="28" fillId="2" borderId="0" xfId="0" applyFont="1" applyFill="1" applyAlignment="1">
      <alignment horizontal="left" vertical="center"/>
    </xf>
    <xf numFmtId="0" fontId="28" fillId="2" borderId="0" xfId="0" applyFont="1" applyFill="1" applyAlignment="1">
      <alignment vertical="center"/>
    </xf>
    <xf numFmtId="0" fontId="14" fillId="0" borderId="0" xfId="0" applyFont="1" applyAlignment="1">
      <alignment horizontal="center"/>
    </xf>
    <xf numFmtId="0" fontId="9" fillId="0" borderId="12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2" fontId="5" fillId="0" borderId="10" xfId="0" applyNumberFormat="1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Continuous" vertical="center"/>
    </xf>
    <xf numFmtId="0" fontId="9" fillId="0" borderId="15" xfId="0" applyFont="1" applyBorder="1" applyAlignment="1">
      <alignment horizontal="centerContinuous" vertical="center"/>
    </xf>
    <xf numFmtId="1" fontId="9" fillId="0" borderId="12" xfId="0" applyNumberFormat="1" applyFont="1" applyBorder="1" applyAlignment="1">
      <alignment horizontal="center" vertical="center"/>
    </xf>
    <xf numFmtId="2" fontId="2" fillId="0" borderId="11" xfId="0" applyNumberFormat="1" applyFont="1" applyBorder="1" applyAlignment="1">
      <alignment horizontal="centerContinuous" vertical="center"/>
    </xf>
    <xf numFmtId="0" fontId="9" fillId="0" borderId="12" xfId="0" quotePrefix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4" fontId="2" fillId="0" borderId="0" xfId="0" applyNumberFormat="1" applyFont="1" applyAlignment="1">
      <alignment horizontal="left" vertical="center"/>
    </xf>
    <xf numFmtId="0" fontId="37" fillId="0" borderId="12" xfId="0" applyFont="1" applyBorder="1" applyAlignment="1" applyProtection="1">
      <alignment horizontal="center"/>
      <protection locked="0"/>
    </xf>
    <xf numFmtId="0" fontId="23" fillId="6" borderId="12" xfId="0" applyFont="1" applyFill="1" applyBorder="1" applyAlignment="1">
      <alignment horizont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12" xfId="0" applyFont="1" applyBorder="1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5" fillId="0" borderId="0" xfId="6" applyFont="1" applyBorder="1" applyAlignment="1" applyProtection="1">
      <alignment horizontal="center" vertical="center"/>
    </xf>
    <xf numFmtId="49" fontId="5" fillId="0" borderId="0" xfId="0" applyNumberFormat="1" applyFont="1" applyAlignment="1">
      <alignment vertical="center"/>
    </xf>
    <xf numFmtId="0" fontId="5" fillId="0" borderId="0" xfId="0" quotePrefix="1" applyFont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0" fontId="38" fillId="0" borderId="0" xfId="0" applyFont="1" applyAlignment="1">
      <alignment vertical="center"/>
    </xf>
    <xf numFmtId="0" fontId="1" fillId="2" borderId="0" xfId="0" applyFont="1" applyFill="1" applyAlignment="1">
      <alignment horizontal="left"/>
    </xf>
    <xf numFmtId="168" fontId="2" fillId="0" borderId="0" xfId="2" applyNumberFormat="1" applyFont="1" applyAlignment="1">
      <alignment vertical="center"/>
    </xf>
    <xf numFmtId="0" fontId="10" fillId="0" borderId="0" xfId="2" applyFont="1" applyAlignment="1">
      <alignment vertical="center"/>
    </xf>
    <xf numFmtId="0" fontId="16" fillId="0" borderId="0" xfId="2" applyFont="1" applyAlignment="1">
      <alignment vertical="center"/>
    </xf>
    <xf numFmtId="168" fontId="10" fillId="0" borderId="0" xfId="2" applyNumberFormat="1" applyFont="1" applyAlignment="1">
      <alignment vertical="center"/>
    </xf>
    <xf numFmtId="0" fontId="2" fillId="0" borderId="0" xfId="0" quotePrefix="1" applyFont="1" applyAlignment="1">
      <alignment vertical="center"/>
    </xf>
    <xf numFmtId="0" fontId="2" fillId="0" borderId="0" xfId="2" quotePrefix="1" applyFont="1" applyAlignment="1">
      <alignment horizontal="left"/>
    </xf>
    <xf numFmtId="2" fontId="39" fillId="0" borderId="0" xfId="7" applyNumberFormat="1" applyFont="1"/>
    <xf numFmtId="0" fontId="39" fillId="0" borderId="0" xfId="7" applyFont="1"/>
    <xf numFmtId="0" fontId="1" fillId="0" borderId="0" xfId="0" applyFont="1" applyAlignment="1">
      <alignment horizontal="center" vertical="center"/>
    </xf>
    <xf numFmtId="0" fontId="1" fillId="0" borderId="0" xfId="0" applyFont="1"/>
    <xf numFmtId="2" fontId="40" fillId="0" borderId="0" xfId="7" applyNumberFormat="1" applyFont="1"/>
    <xf numFmtId="0" fontId="40" fillId="0" borderId="0" xfId="7" applyFont="1"/>
    <xf numFmtId="0" fontId="1" fillId="0" borderId="0" xfId="0" applyFont="1" applyAlignment="1">
      <alignment horizontal="center"/>
    </xf>
    <xf numFmtId="172" fontId="5" fillId="0" borderId="12" xfId="0" applyNumberFormat="1" applyFont="1" applyBorder="1" applyAlignment="1">
      <alignment horizontal="center" vertical="center"/>
    </xf>
    <xf numFmtId="172" fontId="5" fillId="0" borderId="13" xfId="0" applyNumberFormat="1" applyFont="1" applyBorder="1" applyAlignment="1">
      <alignment horizontal="center" vertical="center"/>
    </xf>
    <xf numFmtId="172" fontId="5" fillId="0" borderId="9" xfId="0" applyNumberFormat="1" applyFont="1" applyBorder="1" applyAlignment="1">
      <alignment horizontal="center" vertical="center"/>
    </xf>
    <xf numFmtId="172" fontId="2" fillId="0" borderId="12" xfId="7" applyNumberFormat="1" applyFont="1" applyBorder="1" applyAlignment="1">
      <alignment horizontal="centerContinuous" vertical="center"/>
    </xf>
    <xf numFmtId="0" fontId="17" fillId="0" borderId="0" xfId="0" applyFont="1"/>
    <xf numFmtId="2" fontId="9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/>
    </xf>
    <xf numFmtId="2" fontId="1" fillId="0" borderId="9" xfId="0" applyNumberFormat="1" applyFont="1" applyBorder="1" applyAlignment="1">
      <alignment horizontal="left" vertical="center"/>
    </xf>
    <xf numFmtId="0" fontId="1" fillId="0" borderId="0" xfId="9"/>
    <xf numFmtId="0" fontId="36" fillId="5" borderId="0" xfId="9" applyFont="1" applyFill="1"/>
    <xf numFmtId="0" fontId="1" fillId="5" borderId="0" xfId="9" applyFill="1"/>
    <xf numFmtId="14" fontId="1" fillId="0" borderId="0" xfId="0" applyNumberFormat="1" applyFont="1" applyAlignment="1">
      <alignment vertical="center"/>
    </xf>
    <xf numFmtId="0" fontId="1" fillId="2" borderId="0" xfId="0" applyFont="1" applyFill="1" applyAlignment="1">
      <alignment vertical="center"/>
    </xf>
    <xf numFmtId="2" fontId="5" fillId="0" borderId="9" xfId="0" applyNumberFormat="1" applyFont="1" applyBorder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168" fontId="17" fillId="0" borderId="0" xfId="2" applyNumberFormat="1" applyFont="1" applyAlignment="1">
      <alignment horizontal="center" vertical="center"/>
    </xf>
    <xf numFmtId="0" fontId="18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2" fontId="9" fillId="0" borderId="6" xfId="5" applyNumberFormat="1" applyFont="1" applyBorder="1" applyAlignment="1">
      <alignment horizontal="center" vertical="center"/>
    </xf>
    <xf numFmtId="2" fontId="9" fillId="0" borderId="7" xfId="5" applyNumberFormat="1" applyFont="1" applyBorder="1" applyAlignment="1">
      <alignment horizontal="center" vertical="center"/>
    </xf>
    <xf numFmtId="1" fontId="21" fillId="0" borderId="7" xfId="5" applyNumberFormat="1" applyFont="1" applyBorder="1" applyAlignment="1">
      <alignment horizontal="center" vertical="center"/>
    </xf>
    <xf numFmtId="2" fontId="21" fillId="0" borderId="7" xfId="5" applyNumberFormat="1" applyFont="1" applyBorder="1" applyAlignment="1">
      <alignment horizontal="center" vertical="center"/>
    </xf>
    <xf numFmtId="2" fontId="9" fillId="0" borderId="8" xfId="5" applyNumberFormat="1" applyFont="1" applyBorder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49" fontId="2" fillId="0" borderId="0" xfId="0" applyNumberFormat="1" applyFont="1" applyAlignment="1">
      <alignment vertical="center"/>
    </xf>
    <xf numFmtId="49" fontId="1" fillId="2" borderId="0" xfId="0" applyNumberFormat="1" applyFont="1" applyFill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6" applyFont="1" applyBorder="1" applyAlignment="1" applyProtection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4" xfId="6" applyFont="1" applyBorder="1" applyAlignment="1" applyProtection="1">
      <alignment horizontal="center" vertical="center"/>
    </xf>
    <xf numFmtId="171" fontId="9" fillId="0" borderId="0" xfId="0" quotePrefix="1" applyNumberFormat="1" applyFont="1" applyAlignment="1">
      <alignment vertical="center"/>
    </xf>
    <xf numFmtId="0" fontId="1" fillId="0" borderId="6" xfId="0" applyFont="1" applyBorder="1" applyAlignment="1">
      <alignment vertical="center"/>
    </xf>
    <xf numFmtId="171" fontId="9" fillId="0" borderId="7" xfId="0" quotePrefix="1" applyNumberFormat="1" applyFont="1" applyBorder="1" applyAlignment="1">
      <alignment vertical="center"/>
    </xf>
    <xf numFmtId="0" fontId="1" fillId="0" borderId="6" xfId="0" applyFont="1" applyBorder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9" fillId="0" borderId="0" xfId="0" applyFont="1" applyAlignment="1">
      <alignment wrapText="1"/>
    </xf>
    <xf numFmtId="0" fontId="7" fillId="2" borderId="7" xfId="0" applyFont="1" applyFill="1" applyBorder="1" applyAlignment="1">
      <alignment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9" applyFont="1" applyAlignment="1">
      <alignment horizontal="right"/>
    </xf>
    <xf numFmtId="0" fontId="7" fillId="0" borderId="0" xfId="9" applyFont="1" applyAlignment="1">
      <alignment horizontal="centerContinuous"/>
    </xf>
    <xf numFmtId="0" fontId="1" fillId="0" borderId="0" xfId="9" applyAlignment="1">
      <alignment horizontal="centerContinuous"/>
    </xf>
    <xf numFmtId="0" fontId="7" fillId="0" borderId="0" xfId="9" applyFont="1" applyAlignment="1">
      <alignment horizontal="left"/>
    </xf>
    <xf numFmtId="0" fontId="15" fillId="0" borderId="0" xfId="0" applyFont="1" applyAlignment="1">
      <alignment horizontal="left"/>
    </xf>
    <xf numFmtId="0" fontId="29" fillId="2" borderId="0" xfId="0" applyFont="1" applyFill="1" applyAlignment="1">
      <alignment vertical="center"/>
    </xf>
    <xf numFmtId="0" fontId="4" fillId="2" borderId="0" xfId="8" applyFont="1" applyFill="1" applyAlignment="1">
      <alignment vertical="center"/>
    </xf>
    <xf numFmtId="0" fontId="7" fillId="2" borderId="0" xfId="8" applyFont="1" applyFill="1" applyAlignment="1">
      <alignment vertical="center"/>
    </xf>
    <xf numFmtId="0" fontId="14" fillId="0" borderId="0" xfId="5" applyFont="1" applyAlignment="1">
      <alignment vertical="center"/>
    </xf>
    <xf numFmtId="0" fontId="15" fillId="0" borderId="0" xfId="5" applyFont="1" applyAlignment="1">
      <alignment horizontal="center"/>
    </xf>
    <xf numFmtId="0" fontId="15" fillId="0" borderId="4" xfId="5" applyFont="1" applyBorder="1" applyAlignment="1">
      <alignment horizontal="center"/>
    </xf>
    <xf numFmtId="0" fontId="15" fillId="0" borderId="5" xfId="5" applyFont="1" applyBorder="1" applyAlignment="1">
      <alignment horizontal="center"/>
    </xf>
    <xf numFmtId="0" fontId="19" fillId="0" borderId="4" xfId="5" applyBorder="1"/>
    <xf numFmtId="0" fontId="19" fillId="0" borderId="5" xfId="5" applyBorder="1"/>
    <xf numFmtId="0" fontId="19" fillId="0" borderId="6" xfId="5" applyBorder="1"/>
    <xf numFmtId="0" fontId="19" fillId="0" borderId="7" xfId="5" applyBorder="1"/>
    <xf numFmtId="0" fontId="19" fillId="0" borderId="8" xfId="5" applyBorder="1"/>
    <xf numFmtId="49" fontId="1" fillId="0" borderId="0" xfId="0" applyNumberFormat="1" applyFont="1" applyAlignment="1">
      <alignment vertical="center"/>
    </xf>
    <xf numFmtId="0" fontId="1" fillId="0" borderId="0" xfId="0" quotePrefix="1" applyFont="1" applyAlignment="1">
      <alignment horizontal="left" vertical="center"/>
    </xf>
    <xf numFmtId="0" fontId="12" fillId="0" borderId="0" xfId="0" applyFont="1" applyAlignment="1">
      <alignment vertical="center"/>
    </xf>
    <xf numFmtId="168" fontId="36" fillId="0" borderId="0" xfId="2" applyNumberFormat="1" applyFont="1" applyAlignment="1">
      <alignment horizontal="center" vertical="center"/>
    </xf>
    <xf numFmtId="0" fontId="1" fillId="0" borderId="0" xfId="2" applyFont="1" applyAlignment="1">
      <alignment vertical="center"/>
    </xf>
    <xf numFmtId="0" fontId="7" fillId="2" borderId="7" xfId="8" applyFont="1" applyFill="1" applyBorder="1" applyAlignment="1">
      <alignment vertical="center"/>
    </xf>
    <xf numFmtId="2" fontId="21" fillId="0" borderId="5" xfId="5" applyNumberFormat="1" applyFont="1" applyBorder="1" applyAlignment="1">
      <alignment horizontal="center" vertical="center"/>
    </xf>
    <xf numFmtId="3" fontId="0" fillId="0" borderId="10" xfId="0" applyNumberFormat="1" applyBorder="1" applyAlignment="1">
      <alignment horizontal="left" vertical="center"/>
    </xf>
    <xf numFmtId="3" fontId="0" fillId="0" borderId="10" xfId="0" applyNumberFormat="1" applyBorder="1" applyAlignment="1">
      <alignment horizontal="right" vertical="center"/>
    </xf>
    <xf numFmtId="0" fontId="9" fillId="0" borderId="10" xfId="0" applyFont="1" applyBorder="1" applyAlignment="1">
      <alignment vertical="center"/>
    </xf>
    <xf numFmtId="0" fontId="23" fillId="0" borderId="9" xfId="0" quotePrefix="1" applyFont="1" applyBorder="1" applyAlignment="1">
      <alignment horizontal="left" vertical="center"/>
    </xf>
    <xf numFmtId="0" fontId="0" fillId="0" borderId="10" xfId="0" applyBorder="1" applyAlignment="1">
      <alignment vertical="center"/>
    </xf>
    <xf numFmtId="169" fontId="23" fillId="0" borderId="10" xfId="0" applyNumberFormat="1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49" fontId="2" fillId="0" borderId="10" xfId="0" applyNumberFormat="1" applyFont="1" applyBorder="1" applyAlignment="1">
      <alignment horizontal="center" vertical="center"/>
    </xf>
    <xf numFmtId="170" fontId="0" fillId="0" borderId="11" xfId="0" applyNumberFormat="1" applyBorder="1" applyAlignment="1">
      <alignment horizontal="center" vertical="center"/>
    </xf>
    <xf numFmtId="171" fontId="1" fillId="0" borderId="0" xfId="0" quotePrefix="1" applyNumberFormat="1" applyFont="1" applyAlignment="1">
      <alignment vertical="center"/>
    </xf>
    <xf numFmtId="14" fontId="5" fillId="0" borderId="0" xfId="0" applyNumberFormat="1" applyFont="1" applyAlignment="1">
      <alignment vertical="center"/>
    </xf>
    <xf numFmtId="0" fontId="1" fillId="0" borderId="0" xfId="6" applyFont="1" applyBorder="1" applyAlignment="1" applyProtection="1">
      <alignment horizontal="center" vertical="center"/>
    </xf>
    <xf numFmtId="0" fontId="1" fillId="2" borderId="0" xfId="0" applyFont="1" applyFill="1" applyAlignment="1">
      <alignment horizontal="right" vertical="center"/>
    </xf>
    <xf numFmtId="14" fontId="5" fillId="0" borderId="0" xfId="0" applyNumberFormat="1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173" fontId="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6" fillId="0" borderId="0" xfId="2" applyFont="1" applyAlignment="1">
      <alignment horizontal="center" vertical="center"/>
    </xf>
    <xf numFmtId="168" fontId="14" fillId="0" borderId="0" xfId="2" applyNumberFormat="1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2" fillId="0" borderId="0" xfId="2" applyFont="1" applyAlignment="1">
      <alignment horizontal="center" vertical="center"/>
    </xf>
    <xf numFmtId="168" fontId="2" fillId="0" borderId="0" xfId="2" applyNumberFormat="1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168" fontId="42" fillId="0" borderId="0" xfId="2" applyNumberFormat="1" applyFont="1" applyAlignment="1">
      <alignment horizontal="center" vertical="center"/>
    </xf>
    <xf numFmtId="0" fontId="18" fillId="0" borderId="0" xfId="3" applyFont="1" applyAlignment="1">
      <alignment horizontal="center" vertical="center"/>
    </xf>
    <xf numFmtId="0" fontId="9" fillId="0" borderId="0" xfId="0" applyFont="1" applyAlignment="1">
      <alignment horizontal="center" wrapText="1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14" fontId="5" fillId="2" borderId="0" xfId="0" applyNumberFormat="1" applyFont="1" applyFill="1" applyAlignment="1">
      <alignment horizontal="center" vertical="center"/>
    </xf>
    <xf numFmtId="168" fontId="43" fillId="0" borderId="0" xfId="2" applyNumberFormat="1" applyFont="1" applyAlignment="1">
      <alignment horizontal="center" vertical="center"/>
    </xf>
    <xf numFmtId="0" fontId="44" fillId="0" borderId="0" xfId="3" applyFont="1" applyAlignment="1">
      <alignment horizontal="center" vertical="center"/>
    </xf>
    <xf numFmtId="0" fontId="28" fillId="2" borderId="0" xfId="0" applyFont="1" applyFill="1" applyAlignment="1">
      <alignment horizontal="left" vertical="center"/>
    </xf>
    <xf numFmtId="171" fontId="1" fillId="0" borderId="0" xfId="0" quotePrefix="1" applyNumberFormat="1" applyFont="1" applyAlignment="1">
      <alignment horizontal="left" vertical="center"/>
    </xf>
    <xf numFmtId="0" fontId="15" fillId="0" borderId="0" xfId="3" applyFont="1" applyAlignment="1">
      <alignment horizontal="center" vertical="center"/>
    </xf>
    <xf numFmtId="0" fontId="14" fillId="0" borderId="6" xfId="5" applyFont="1" applyBorder="1" applyAlignment="1">
      <alignment horizontal="center" vertical="center"/>
    </xf>
    <xf numFmtId="0" fontId="14" fillId="0" borderId="7" xfId="5" applyFont="1" applyBorder="1" applyAlignment="1">
      <alignment horizontal="center" vertical="center"/>
    </xf>
    <xf numFmtId="0" fontId="14" fillId="0" borderId="8" xfId="5" applyFont="1" applyBorder="1" applyAlignment="1">
      <alignment horizontal="center" vertical="center"/>
    </xf>
    <xf numFmtId="0" fontId="6" fillId="2" borderId="0" xfId="8" applyFont="1" applyFill="1" applyAlignment="1">
      <alignment horizontal="center" vertical="center"/>
    </xf>
    <xf numFmtId="0" fontId="4" fillId="2" borderId="0" xfId="8" applyFont="1" applyFill="1" applyAlignment="1">
      <alignment horizontal="center" vertical="center"/>
    </xf>
    <xf numFmtId="0" fontId="6" fillId="2" borderId="0" xfId="0" applyFont="1" applyFill="1" applyAlignment="1">
      <alignment horizontal="right" vertical="center"/>
    </xf>
    <xf numFmtId="0" fontId="14" fillId="0" borderId="1" xfId="5" applyFont="1" applyBorder="1" applyAlignment="1">
      <alignment horizontal="center" vertical="center"/>
    </xf>
    <xf numFmtId="0" fontId="14" fillId="0" borderId="2" xfId="5" applyFont="1" applyBorder="1" applyAlignment="1">
      <alignment horizontal="center" vertical="center"/>
    </xf>
    <xf numFmtId="0" fontId="14" fillId="0" borderId="3" xfId="5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20" fillId="2" borderId="0" xfId="4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8" xfId="0" applyFont="1" applyBorder="1" applyAlignment="1">
      <alignment horizontal="center"/>
    </xf>
    <xf numFmtId="0" fontId="15" fillId="0" borderId="0" xfId="0" applyFont="1" applyAlignment="1">
      <alignment horizontal="left"/>
    </xf>
    <xf numFmtId="172" fontId="1" fillId="0" borderId="12" xfId="0" applyNumberFormat="1" applyFont="1" applyBorder="1" applyAlignment="1">
      <alignment horizontal="center" vertical="center"/>
    </xf>
    <xf numFmtId="172" fontId="1" fillId="0" borderId="14" xfId="0" applyNumberFormat="1" applyFont="1" applyBorder="1" applyAlignment="1">
      <alignment horizontal="center" vertical="center"/>
    </xf>
    <xf numFmtId="172" fontId="41" fillId="0" borderId="10" xfId="0" applyNumberFormat="1" applyFont="1" applyBorder="1" applyAlignment="1">
      <alignment horizontal="center" vertical="center"/>
    </xf>
    <xf numFmtId="172" fontId="1" fillId="0" borderId="15" xfId="0" applyNumberFormat="1" applyFont="1" applyBorder="1" applyAlignment="1">
      <alignment horizontal="center" vertical="center"/>
    </xf>
    <xf numFmtId="172" fontId="41" fillId="0" borderId="12" xfId="0" applyNumberFormat="1" applyFont="1" applyBorder="1" applyAlignment="1">
      <alignment horizontal="center" vertical="center"/>
    </xf>
    <xf numFmtId="172" fontId="5" fillId="0" borderId="14" xfId="0" applyNumberFormat="1" applyFont="1" applyBorder="1" applyAlignment="1">
      <alignment horizontal="center" vertical="center"/>
    </xf>
    <xf numFmtId="172" fontId="5" fillId="0" borderId="10" xfId="0" applyNumberFormat="1" applyFont="1" applyBorder="1" applyAlignment="1">
      <alignment horizontal="center" vertical="center"/>
    </xf>
    <xf numFmtId="172" fontId="5" fillId="0" borderId="15" xfId="0" applyNumberFormat="1" applyFont="1" applyBorder="1" applyAlignment="1">
      <alignment horizontal="center" vertical="center"/>
    </xf>
  </cellXfs>
  <cellStyles count="10">
    <cellStyle name="Euro" xfId="1" xr:uid="{00000000-0005-0000-0000-000000000000}"/>
    <cellStyle name="Lien hypertexte" xfId="6" builtinId="8"/>
    <cellStyle name="Normal" xfId="0" builtinId="0"/>
    <cellStyle name="Normal 2" xfId="8" xr:uid="{00000000-0005-0000-0000-000003000000}"/>
    <cellStyle name="Normal_96002" xfId="7" xr:uid="{00000000-0005-0000-0000-000004000000}"/>
    <cellStyle name="Normal_FICHTECH_1" xfId="2" xr:uid="{00000000-0005-0000-0000-000005000000}"/>
    <cellStyle name="Normal_Methode1" xfId="3" xr:uid="{00000000-0005-0000-0000-000006000000}"/>
    <cellStyle name="Normal_Rapport d'essai-1 pièce" xfId="4" xr:uid="{00000000-0005-0000-0000-000007000000}"/>
    <cellStyle name="Normal_Rapport d'essai-1 pièce 2" xfId="9" xr:uid="{00000000-0005-0000-0000-000008000000}"/>
    <cellStyle name="Normal_RD_vierge NIPPLE" xfId="5" xr:uid="{00000000-0005-0000-0000-000009000000}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777777"/>
      <color rgb="FF808080"/>
      <color rgb="FFB2B2B2"/>
      <color rgb="FFC0C0C0"/>
      <color rgb="FF96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$W$114" fmlaRange="$T$116:$T$120" noThreeD="1" sel="3" val="0"/>
</file>

<file path=xl/ctrlProps/ctrlProp2.xml><?xml version="1.0" encoding="utf-8"?>
<formControlPr xmlns="http://schemas.microsoft.com/office/spreadsheetml/2009/9/main" objectType="Drop" dropStyle="combo" dx="22" fmlaLink="$U$55" fmlaRange="$T$54:$T$56" noThreeD="1" sel="2" val="0"/>
</file>

<file path=xl/ctrlProps/ctrlProp3.xml><?xml version="1.0" encoding="utf-8"?>
<formControlPr xmlns="http://schemas.microsoft.com/office/spreadsheetml/2009/9/main" objectType="Drop" dropStyle="combo" dx="22" fmlaLink="$U$65" fmlaRange="$T$64:$T$67" noThreeD="1" sel="3" val="0"/>
</file>

<file path=xl/ctrlProps/ctrlProp4.xml><?xml version="1.0" encoding="utf-8"?>
<formControlPr xmlns="http://schemas.microsoft.com/office/spreadsheetml/2009/9/main" objectType="Drop" dropStyle="combo" dx="22" fmlaLink="$T$41" fmlaRange="$T$48:$T$53" noThreeD="1" sel="4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12</xdr:col>
      <xdr:colOff>0</xdr:colOff>
      <xdr:row>2</xdr:row>
      <xdr:rowOff>0</xdr:rowOff>
    </xdr:to>
    <xdr:sp macro="" textlink="">
      <xdr:nvSpPr>
        <xdr:cNvPr id="11265" name="Text Box 1">
          <a:extLst>
            <a:ext uri="{FF2B5EF4-FFF2-40B4-BE49-F238E27FC236}">
              <a16:creationId xmlns:a16="http://schemas.microsoft.com/office/drawing/2014/main" id="{00000000-0008-0000-0000-0000012C0000}"/>
            </a:ext>
          </a:extLst>
        </xdr:cNvPr>
        <xdr:cNvSpPr txBox="1">
          <a:spLocks noChangeArrowheads="1"/>
        </xdr:cNvSpPr>
      </xdr:nvSpPr>
      <xdr:spPr bwMode="auto">
        <a:xfrm>
          <a:off x="4572000" y="38100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CONSTAT DE VERIFICATION</a:t>
          </a:r>
        </a:p>
      </xdr:txBody>
    </xdr:sp>
    <xdr:clientData/>
  </xdr:twoCellAnchor>
  <xdr:twoCellAnchor>
    <xdr:from>
      <xdr:col>12</xdr:col>
      <xdr:colOff>0</xdr:colOff>
      <xdr:row>16</xdr:row>
      <xdr:rowOff>85725</xdr:rowOff>
    </xdr:from>
    <xdr:to>
      <xdr:col>12</xdr:col>
      <xdr:colOff>0</xdr:colOff>
      <xdr:row>19</xdr:row>
      <xdr:rowOff>9525</xdr:rowOff>
    </xdr:to>
    <xdr:sp macro="" textlink="">
      <xdr:nvSpPr>
        <xdr:cNvPr id="11266" name="Text Box 2">
          <a:extLst>
            <a:ext uri="{FF2B5EF4-FFF2-40B4-BE49-F238E27FC236}">
              <a16:creationId xmlns:a16="http://schemas.microsoft.com/office/drawing/2014/main" id="{00000000-0008-0000-0000-0000022C0000}"/>
            </a:ext>
          </a:extLst>
        </xdr:cNvPr>
        <xdr:cNvSpPr txBox="1">
          <a:spLocks noChangeArrowheads="1"/>
        </xdr:cNvSpPr>
      </xdr:nvSpPr>
      <xdr:spPr bwMode="auto">
        <a:xfrm>
          <a:off x="4572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44</xdr:row>
      <xdr:rowOff>152400</xdr:rowOff>
    </xdr:from>
    <xdr:to>
      <xdr:col>12</xdr:col>
      <xdr:colOff>0</xdr:colOff>
      <xdr:row>48</xdr:row>
      <xdr:rowOff>152400</xdr:rowOff>
    </xdr:to>
    <xdr:sp macro="" textlink="">
      <xdr:nvSpPr>
        <xdr:cNvPr id="11267" name="Text Box 3">
          <a:extLst>
            <a:ext uri="{FF2B5EF4-FFF2-40B4-BE49-F238E27FC236}">
              <a16:creationId xmlns:a16="http://schemas.microsoft.com/office/drawing/2014/main" id="{00000000-0008-0000-0000-0000032C0000}"/>
            </a:ext>
          </a:extLst>
        </xdr:cNvPr>
        <xdr:cNvSpPr txBox="1">
          <a:spLocks noChangeArrowheads="1"/>
        </xdr:cNvSpPr>
      </xdr:nvSpPr>
      <xdr:spPr bwMode="auto">
        <a:xfrm>
          <a:off x="4572000" y="8153400"/>
          <a:ext cx="0" cy="5715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TE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: Température indiquée par la chaîne de référence.</a:t>
          </a: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TL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: Température lue sur l'indicateur.</a:t>
          </a: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TL - TE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: Ecart entre la température indiquée par la chaîne de référence et la température lue sur l'indicateur.</a:t>
          </a:r>
        </a:p>
      </xdr:txBody>
    </xdr:sp>
    <xdr:clientData/>
  </xdr:twoCellAnchor>
  <xdr:twoCellAnchor>
    <xdr:from>
      <xdr:col>18</xdr:col>
      <xdr:colOff>0</xdr:colOff>
      <xdr:row>12</xdr:row>
      <xdr:rowOff>9525</xdr:rowOff>
    </xdr:from>
    <xdr:to>
      <xdr:col>18</xdr:col>
      <xdr:colOff>0</xdr:colOff>
      <xdr:row>58</xdr:row>
      <xdr:rowOff>114300</xdr:rowOff>
    </xdr:to>
    <xdr:sp macro="" textlink="">
      <xdr:nvSpPr>
        <xdr:cNvPr id="11271" name="Text Box 7">
          <a:extLst>
            <a:ext uri="{FF2B5EF4-FFF2-40B4-BE49-F238E27FC236}">
              <a16:creationId xmlns:a16="http://schemas.microsoft.com/office/drawing/2014/main" id="{00000000-0008-0000-0000-0000072C0000}"/>
            </a:ext>
          </a:extLst>
        </xdr:cNvPr>
        <xdr:cNvSpPr txBox="1">
          <a:spLocks noChangeArrowheads="1"/>
        </xdr:cNvSpPr>
      </xdr:nvSpPr>
      <xdr:spPr bwMode="auto">
        <a:xfrm>
          <a:off x="6743700" y="2105025"/>
          <a:ext cx="0" cy="791527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Valeur étalon : 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Indication donnée par la sonde de température de référence positionnée dans l'équipement.</a:t>
          </a: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Espace de travail :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Partie du volume intérieur de l'enceinte dans laquelle les conditions d'environnement spécifiées sont maintenues dans les erreurs maximales tolérées.</a:t>
          </a: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Température de l'air dans l'équipement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Moyenne arithmétique des mesurages de la température de l'air dans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Valeur de consigne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 entrée sur le régulateur pour obtenir la condition désirée.</a:t>
          </a:r>
        </a:p>
        <a:p>
          <a:pPr algn="l" rtl="0">
            <a:defRPr sz="1000"/>
          </a:pPr>
          <a:endParaRPr lang="fr-FR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Ecart de consigne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entre la valeur de consigne et la valeur moyenne étalon mesurée dans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Indicateur d'environnement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Equipement associé au système de régulation affichant les paramètres internes de l'équipement.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Erreur d'indication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entre la valeur moyenne de l'indicateur d'environnement et la valeur moyenne étalon mesurée dans l'espace de travail. 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Homogénéité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maximale, entre les moyennes des mesures de chaque point de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Stabilité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 qui caractérise, en un point de l'espace de travail, les variations d'un paramètre d'environnement dans le temps.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Stabilité maximale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Plus grande valeur des stabilités déterminée, pendant la durée des mesures.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Homogénéité + stabilité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maximale entre toutes les mesures relevées pendant le durée des mesures. 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Régime établi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Etat atteint par l'environnement quand les écarts, entre les valeurs en chaque point de l'espace de travail et la valeur de consigne, sont stabilisés pour chacun des paramètres d'environnement.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Erreurs maximales tolérées (EMT)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Valeurs extrêmes d'une erreur tolérées par les spécifications, règlements, etc., pour un instrument de mesure donné.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12</xdr:col>
      <xdr:colOff>0</xdr:colOff>
      <xdr:row>19</xdr:row>
      <xdr:rowOff>9525</xdr:rowOff>
    </xdr:to>
    <xdr:sp macro="" textlink="">
      <xdr:nvSpPr>
        <xdr:cNvPr id="11272" name="Text Box 8">
          <a:extLst>
            <a:ext uri="{FF2B5EF4-FFF2-40B4-BE49-F238E27FC236}">
              <a16:creationId xmlns:a16="http://schemas.microsoft.com/office/drawing/2014/main" id="{00000000-0008-0000-0000-0000082C0000}"/>
            </a:ext>
          </a:extLst>
        </xdr:cNvPr>
        <xdr:cNvSpPr txBox="1">
          <a:spLocks noChangeArrowheads="1"/>
        </xdr:cNvSpPr>
      </xdr:nvSpPr>
      <xdr:spPr bwMode="auto">
        <a:xfrm>
          <a:off x="4572000" y="3238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85725</xdr:rowOff>
    </xdr:from>
    <xdr:to>
      <xdr:col>12</xdr:col>
      <xdr:colOff>0</xdr:colOff>
      <xdr:row>19</xdr:row>
      <xdr:rowOff>9525</xdr:rowOff>
    </xdr:to>
    <xdr:sp macro="" textlink="">
      <xdr:nvSpPr>
        <xdr:cNvPr id="11273" name="Text Box 9">
          <a:extLst>
            <a:ext uri="{FF2B5EF4-FFF2-40B4-BE49-F238E27FC236}">
              <a16:creationId xmlns:a16="http://schemas.microsoft.com/office/drawing/2014/main" id="{00000000-0008-0000-0000-0000092C0000}"/>
            </a:ext>
          </a:extLst>
        </xdr:cNvPr>
        <xdr:cNvSpPr txBox="1">
          <a:spLocks noChangeArrowheads="1"/>
        </xdr:cNvSpPr>
      </xdr:nvSpPr>
      <xdr:spPr bwMode="auto">
        <a:xfrm>
          <a:off x="4572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12</xdr:col>
      <xdr:colOff>0</xdr:colOff>
      <xdr:row>19</xdr:row>
      <xdr:rowOff>9525</xdr:rowOff>
    </xdr:to>
    <xdr:sp macro="" textlink="">
      <xdr:nvSpPr>
        <xdr:cNvPr id="11274" name="Text Box 10">
          <a:extLst>
            <a:ext uri="{FF2B5EF4-FFF2-40B4-BE49-F238E27FC236}">
              <a16:creationId xmlns:a16="http://schemas.microsoft.com/office/drawing/2014/main" id="{00000000-0008-0000-0000-00000A2C0000}"/>
            </a:ext>
          </a:extLst>
        </xdr:cNvPr>
        <xdr:cNvSpPr txBox="1">
          <a:spLocks noChangeArrowheads="1"/>
        </xdr:cNvSpPr>
      </xdr:nvSpPr>
      <xdr:spPr bwMode="auto">
        <a:xfrm>
          <a:off x="4572000" y="3238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85725</xdr:rowOff>
    </xdr:from>
    <xdr:to>
      <xdr:col>12</xdr:col>
      <xdr:colOff>0</xdr:colOff>
      <xdr:row>19</xdr:row>
      <xdr:rowOff>9525</xdr:rowOff>
    </xdr:to>
    <xdr:sp macro="" textlink="">
      <xdr:nvSpPr>
        <xdr:cNvPr id="11275" name="Text Box 11">
          <a:extLst>
            <a:ext uri="{FF2B5EF4-FFF2-40B4-BE49-F238E27FC236}">
              <a16:creationId xmlns:a16="http://schemas.microsoft.com/office/drawing/2014/main" id="{00000000-0008-0000-0000-00000B2C0000}"/>
            </a:ext>
          </a:extLst>
        </xdr:cNvPr>
        <xdr:cNvSpPr txBox="1">
          <a:spLocks noChangeArrowheads="1"/>
        </xdr:cNvSpPr>
      </xdr:nvSpPr>
      <xdr:spPr bwMode="auto">
        <a:xfrm>
          <a:off x="4572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12</xdr:col>
      <xdr:colOff>0</xdr:colOff>
      <xdr:row>19</xdr:row>
      <xdr:rowOff>9525</xdr:rowOff>
    </xdr:to>
    <xdr:sp macro="" textlink="">
      <xdr:nvSpPr>
        <xdr:cNvPr id="11276" name="Text Box 12">
          <a:extLst>
            <a:ext uri="{FF2B5EF4-FFF2-40B4-BE49-F238E27FC236}">
              <a16:creationId xmlns:a16="http://schemas.microsoft.com/office/drawing/2014/main" id="{00000000-0008-0000-0000-00000C2C0000}"/>
            </a:ext>
          </a:extLst>
        </xdr:cNvPr>
        <xdr:cNvSpPr txBox="1">
          <a:spLocks noChangeArrowheads="1"/>
        </xdr:cNvSpPr>
      </xdr:nvSpPr>
      <xdr:spPr bwMode="auto">
        <a:xfrm>
          <a:off x="4572000" y="3238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85725</xdr:rowOff>
    </xdr:from>
    <xdr:to>
      <xdr:col>12</xdr:col>
      <xdr:colOff>0</xdr:colOff>
      <xdr:row>19</xdr:row>
      <xdr:rowOff>9525</xdr:rowOff>
    </xdr:to>
    <xdr:sp macro="" textlink="">
      <xdr:nvSpPr>
        <xdr:cNvPr id="11277" name="Text Box 13">
          <a:extLst>
            <a:ext uri="{FF2B5EF4-FFF2-40B4-BE49-F238E27FC236}">
              <a16:creationId xmlns:a16="http://schemas.microsoft.com/office/drawing/2014/main" id="{00000000-0008-0000-0000-00000D2C0000}"/>
            </a:ext>
          </a:extLst>
        </xdr:cNvPr>
        <xdr:cNvSpPr txBox="1">
          <a:spLocks noChangeArrowheads="1"/>
        </xdr:cNvSpPr>
      </xdr:nvSpPr>
      <xdr:spPr bwMode="auto">
        <a:xfrm>
          <a:off x="4572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12</xdr:col>
      <xdr:colOff>0</xdr:colOff>
      <xdr:row>19</xdr:row>
      <xdr:rowOff>9525</xdr:rowOff>
    </xdr:to>
    <xdr:sp macro="" textlink="">
      <xdr:nvSpPr>
        <xdr:cNvPr id="11278" name="Text Box 14">
          <a:extLst>
            <a:ext uri="{FF2B5EF4-FFF2-40B4-BE49-F238E27FC236}">
              <a16:creationId xmlns:a16="http://schemas.microsoft.com/office/drawing/2014/main" id="{00000000-0008-0000-0000-00000E2C0000}"/>
            </a:ext>
          </a:extLst>
        </xdr:cNvPr>
        <xdr:cNvSpPr txBox="1">
          <a:spLocks noChangeArrowheads="1"/>
        </xdr:cNvSpPr>
      </xdr:nvSpPr>
      <xdr:spPr bwMode="auto">
        <a:xfrm>
          <a:off x="4572000" y="3238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13</xdr:col>
      <xdr:colOff>0</xdr:colOff>
      <xdr:row>16</xdr:row>
      <xdr:rowOff>85725</xdr:rowOff>
    </xdr:from>
    <xdr:to>
      <xdr:col>13</xdr:col>
      <xdr:colOff>0</xdr:colOff>
      <xdr:row>19</xdr:row>
      <xdr:rowOff>9525</xdr:rowOff>
    </xdr:to>
    <xdr:sp macro="" textlink="">
      <xdr:nvSpPr>
        <xdr:cNvPr id="11279" name="Text Box 15">
          <a:extLst>
            <a:ext uri="{FF2B5EF4-FFF2-40B4-BE49-F238E27FC236}">
              <a16:creationId xmlns:a16="http://schemas.microsoft.com/office/drawing/2014/main" id="{00000000-0008-0000-0000-00000F2C0000}"/>
            </a:ext>
          </a:extLst>
        </xdr:cNvPr>
        <xdr:cNvSpPr txBox="1">
          <a:spLocks noChangeArrowheads="1"/>
        </xdr:cNvSpPr>
      </xdr:nvSpPr>
      <xdr:spPr bwMode="auto">
        <a:xfrm>
          <a:off x="4953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85725</xdr:rowOff>
    </xdr:from>
    <xdr:to>
      <xdr:col>12</xdr:col>
      <xdr:colOff>0</xdr:colOff>
      <xdr:row>19</xdr:row>
      <xdr:rowOff>9525</xdr:rowOff>
    </xdr:to>
    <xdr:sp macro="" textlink="">
      <xdr:nvSpPr>
        <xdr:cNvPr id="11280" name="Text Box 16">
          <a:extLst>
            <a:ext uri="{FF2B5EF4-FFF2-40B4-BE49-F238E27FC236}">
              <a16:creationId xmlns:a16="http://schemas.microsoft.com/office/drawing/2014/main" id="{00000000-0008-0000-0000-0000102C0000}"/>
            </a:ext>
          </a:extLst>
        </xdr:cNvPr>
        <xdr:cNvSpPr txBox="1">
          <a:spLocks noChangeArrowheads="1"/>
        </xdr:cNvSpPr>
      </xdr:nvSpPr>
      <xdr:spPr bwMode="auto">
        <a:xfrm>
          <a:off x="4572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85725</xdr:rowOff>
    </xdr:from>
    <xdr:to>
      <xdr:col>10</xdr:col>
      <xdr:colOff>0</xdr:colOff>
      <xdr:row>19</xdr:row>
      <xdr:rowOff>9525</xdr:rowOff>
    </xdr:to>
    <xdr:sp macro="" textlink="">
      <xdr:nvSpPr>
        <xdr:cNvPr id="11289" name="Text Box 25">
          <a:extLst>
            <a:ext uri="{FF2B5EF4-FFF2-40B4-BE49-F238E27FC236}">
              <a16:creationId xmlns:a16="http://schemas.microsoft.com/office/drawing/2014/main" id="{00000000-0008-0000-0000-0000192C0000}"/>
            </a:ext>
          </a:extLst>
        </xdr:cNvPr>
        <xdr:cNvSpPr txBox="1">
          <a:spLocks noChangeArrowheads="1"/>
        </xdr:cNvSpPr>
      </xdr:nvSpPr>
      <xdr:spPr bwMode="auto">
        <a:xfrm>
          <a:off x="3810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10</xdr:col>
      <xdr:colOff>0</xdr:colOff>
      <xdr:row>19</xdr:row>
      <xdr:rowOff>9525</xdr:rowOff>
    </xdr:to>
    <xdr:sp macro="" textlink="">
      <xdr:nvSpPr>
        <xdr:cNvPr id="11290" name="Text Box 26">
          <a:extLst>
            <a:ext uri="{FF2B5EF4-FFF2-40B4-BE49-F238E27FC236}">
              <a16:creationId xmlns:a16="http://schemas.microsoft.com/office/drawing/2014/main" id="{00000000-0008-0000-0000-00001A2C0000}"/>
            </a:ext>
          </a:extLst>
        </xdr:cNvPr>
        <xdr:cNvSpPr txBox="1">
          <a:spLocks noChangeArrowheads="1"/>
        </xdr:cNvSpPr>
      </xdr:nvSpPr>
      <xdr:spPr bwMode="auto">
        <a:xfrm>
          <a:off x="3810000" y="3238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85725</xdr:rowOff>
    </xdr:from>
    <xdr:to>
      <xdr:col>10</xdr:col>
      <xdr:colOff>0</xdr:colOff>
      <xdr:row>19</xdr:row>
      <xdr:rowOff>9525</xdr:rowOff>
    </xdr:to>
    <xdr:sp macro="" textlink="">
      <xdr:nvSpPr>
        <xdr:cNvPr id="11291" name="Text Box 27">
          <a:extLst>
            <a:ext uri="{FF2B5EF4-FFF2-40B4-BE49-F238E27FC236}">
              <a16:creationId xmlns:a16="http://schemas.microsoft.com/office/drawing/2014/main" id="{00000000-0008-0000-0000-00001B2C0000}"/>
            </a:ext>
          </a:extLst>
        </xdr:cNvPr>
        <xdr:cNvSpPr txBox="1">
          <a:spLocks noChangeArrowheads="1"/>
        </xdr:cNvSpPr>
      </xdr:nvSpPr>
      <xdr:spPr bwMode="auto">
        <a:xfrm>
          <a:off x="3810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10</xdr:col>
      <xdr:colOff>0</xdr:colOff>
      <xdr:row>19</xdr:row>
      <xdr:rowOff>9525</xdr:rowOff>
    </xdr:to>
    <xdr:sp macro="" textlink="">
      <xdr:nvSpPr>
        <xdr:cNvPr id="11292" name="Text Box 28">
          <a:extLst>
            <a:ext uri="{FF2B5EF4-FFF2-40B4-BE49-F238E27FC236}">
              <a16:creationId xmlns:a16="http://schemas.microsoft.com/office/drawing/2014/main" id="{00000000-0008-0000-0000-00001C2C0000}"/>
            </a:ext>
          </a:extLst>
        </xdr:cNvPr>
        <xdr:cNvSpPr txBox="1">
          <a:spLocks noChangeArrowheads="1"/>
        </xdr:cNvSpPr>
      </xdr:nvSpPr>
      <xdr:spPr bwMode="auto">
        <a:xfrm>
          <a:off x="3810000" y="3238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85725</xdr:rowOff>
    </xdr:from>
    <xdr:to>
      <xdr:col>10</xdr:col>
      <xdr:colOff>0</xdr:colOff>
      <xdr:row>19</xdr:row>
      <xdr:rowOff>9525</xdr:rowOff>
    </xdr:to>
    <xdr:sp macro="" textlink="">
      <xdr:nvSpPr>
        <xdr:cNvPr id="11293" name="Text Box 29">
          <a:extLst>
            <a:ext uri="{FF2B5EF4-FFF2-40B4-BE49-F238E27FC236}">
              <a16:creationId xmlns:a16="http://schemas.microsoft.com/office/drawing/2014/main" id="{00000000-0008-0000-0000-00001D2C0000}"/>
            </a:ext>
          </a:extLst>
        </xdr:cNvPr>
        <xdr:cNvSpPr txBox="1">
          <a:spLocks noChangeArrowheads="1"/>
        </xdr:cNvSpPr>
      </xdr:nvSpPr>
      <xdr:spPr bwMode="auto">
        <a:xfrm>
          <a:off x="3810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10</xdr:col>
      <xdr:colOff>0</xdr:colOff>
      <xdr:row>19</xdr:row>
      <xdr:rowOff>9525</xdr:rowOff>
    </xdr:to>
    <xdr:sp macro="" textlink="">
      <xdr:nvSpPr>
        <xdr:cNvPr id="11294" name="Text Box 30">
          <a:extLst>
            <a:ext uri="{FF2B5EF4-FFF2-40B4-BE49-F238E27FC236}">
              <a16:creationId xmlns:a16="http://schemas.microsoft.com/office/drawing/2014/main" id="{00000000-0008-0000-0000-00001E2C0000}"/>
            </a:ext>
          </a:extLst>
        </xdr:cNvPr>
        <xdr:cNvSpPr txBox="1">
          <a:spLocks noChangeArrowheads="1"/>
        </xdr:cNvSpPr>
      </xdr:nvSpPr>
      <xdr:spPr bwMode="auto">
        <a:xfrm>
          <a:off x="3810000" y="3238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85725</xdr:rowOff>
    </xdr:from>
    <xdr:to>
      <xdr:col>10</xdr:col>
      <xdr:colOff>0</xdr:colOff>
      <xdr:row>19</xdr:row>
      <xdr:rowOff>9525</xdr:rowOff>
    </xdr:to>
    <xdr:sp macro="" textlink="">
      <xdr:nvSpPr>
        <xdr:cNvPr id="11295" name="Text Box 31">
          <a:extLst>
            <a:ext uri="{FF2B5EF4-FFF2-40B4-BE49-F238E27FC236}">
              <a16:creationId xmlns:a16="http://schemas.microsoft.com/office/drawing/2014/main" id="{00000000-0008-0000-0000-00001F2C0000}"/>
            </a:ext>
          </a:extLst>
        </xdr:cNvPr>
        <xdr:cNvSpPr txBox="1">
          <a:spLocks noChangeArrowheads="1"/>
        </xdr:cNvSpPr>
      </xdr:nvSpPr>
      <xdr:spPr bwMode="auto">
        <a:xfrm>
          <a:off x="3810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10</xdr:col>
      <xdr:colOff>0</xdr:colOff>
      <xdr:row>19</xdr:row>
      <xdr:rowOff>9525</xdr:rowOff>
    </xdr:to>
    <xdr:sp macro="" textlink="">
      <xdr:nvSpPr>
        <xdr:cNvPr id="11296" name="Text Box 32">
          <a:extLst>
            <a:ext uri="{FF2B5EF4-FFF2-40B4-BE49-F238E27FC236}">
              <a16:creationId xmlns:a16="http://schemas.microsoft.com/office/drawing/2014/main" id="{00000000-0008-0000-0000-0000202C0000}"/>
            </a:ext>
          </a:extLst>
        </xdr:cNvPr>
        <xdr:cNvSpPr txBox="1">
          <a:spLocks noChangeArrowheads="1"/>
        </xdr:cNvSpPr>
      </xdr:nvSpPr>
      <xdr:spPr bwMode="auto">
        <a:xfrm>
          <a:off x="3810000" y="3238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11</xdr:col>
      <xdr:colOff>0</xdr:colOff>
      <xdr:row>16</xdr:row>
      <xdr:rowOff>85725</xdr:rowOff>
    </xdr:from>
    <xdr:to>
      <xdr:col>11</xdr:col>
      <xdr:colOff>0</xdr:colOff>
      <xdr:row>19</xdr:row>
      <xdr:rowOff>9525</xdr:rowOff>
    </xdr:to>
    <xdr:sp macro="" textlink="">
      <xdr:nvSpPr>
        <xdr:cNvPr id="11297" name="Text Box 33">
          <a:extLst>
            <a:ext uri="{FF2B5EF4-FFF2-40B4-BE49-F238E27FC236}">
              <a16:creationId xmlns:a16="http://schemas.microsoft.com/office/drawing/2014/main" id="{00000000-0008-0000-0000-0000212C0000}"/>
            </a:ext>
          </a:extLst>
        </xdr:cNvPr>
        <xdr:cNvSpPr txBox="1">
          <a:spLocks noChangeArrowheads="1"/>
        </xdr:cNvSpPr>
      </xdr:nvSpPr>
      <xdr:spPr bwMode="auto">
        <a:xfrm>
          <a:off x="4191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85725</xdr:rowOff>
    </xdr:from>
    <xdr:to>
      <xdr:col>10</xdr:col>
      <xdr:colOff>0</xdr:colOff>
      <xdr:row>19</xdr:row>
      <xdr:rowOff>9525</xdr:rowOff>
    </xdr:to>
    <xdr:sp macro="" textlink="">
      <xdr:nvSpPr>
        <xdr:cNvPr id="11298" name="Text Box 34">
          <a:extLst>
            <a:ext uri="{FF2B5EF4-FFF2-40B4-BE49-F238E27FC236}">
              <a16:creationId xmlns:a16="http://schemas.microsoft.com/office/drawing/2014/main" id="{00000000-0008-0000-0000-0000222C0000}"/>
            </a:ext>
          </a:extLst>
        </xdr:cNvPr>
        <xdr:cNvSpPr txBox="1">
          <a:spLocks noChangeArrowheads="1"/>
        </xdr:cNvSpPr>
      </xdr:nvSpPr>
      <xdr:spPr bwMode="auto">
        <a:xfrm>
          <a:off x="3810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10</xdr:col>
      <xdr:colOff>0</xdr:colOff>
      <xdr:row>19</xdr:row>
      <xdr:rowOff>9525</xdr:rowOff>
    </xdr:to>
    <xdr:sp macro="" textlink="">
      <xdr:nvSpPr>
        <xdr:cNvPr id="11299" name="Text Box 35">
          <a:extLst>
            <a:ext uri="{FF2B5EF4-FFF2-40B4-BE49-F238E27FC236}">
              <a16:creationId xmlns:a16="http://schemas.microsoft.com/office/drawing/2014/main" id="{00000000-0008-0000-0000-0000232C0000}"/>
            </a:ext>
          </a:extLst>
        </xdr:cNvPr>
        <xdr:cNvSpPr txBox="1">
          <a:spLocks noChangeArrowheads="1"/>
        </xdr:cNvSpPr>
      </xdr:nvSpPr>
      <xdr:spPr bwMode="auto">
        <a:xfrm>
          <a:off x="3810000" y="3238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85725</xdr:rowOff>
    </xdr:from>
    <xdr:to>
      <xdr:col>10</xdr:col>
      <xdr:colOff>0</xdr:colOff>
      <xdr:row>19</xdr:row>
      <xdr:rowOff>9525</xdr:rowOff>
    </xdr:to>
    <xdr:sp macro="" textlink="">
      <xdr:nvSpPr>
        <xdr:cNvPr id="11300" name="Text Box 36">
          <a:extLst>
            <a:ext uri="{FF2B5EF4-FFF2-40B4-BE49-F238E27FC236}">
              <a16:creationId xmlns:a16="http://schemas.microsoft.com/office/drawing/2014/main" id="{00000000-0008-0000-0000-0000242C0000}"/>
            </a:ext>
          </a:extLst>
        </xdr:cNvPr>
        <xdr:cNvSpPr txBox="1">
          <a:spLocks noChangeArrowheads="1"/>
        </xdr:cNvSpPr>
      </xdr:nvSpPr>
      <xdr:spPr bwMode="auto">
        <a:xfrm>
          <a:off x="3810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10</xdr:col>
      <xdr:colOff>0</xdr:colOff>
      <xdr:row>19</xdr:row>
      <xdr:rowOff>9525</xdr:rowOff>
    </xdr:to>
    <xdr:sp macro="" textlink="">
      <xdr:nvSpPr>
        <xdr:cNvPr id="11301" name="Text Box 37">
          <a:extLst>
            <a:ext uri="{FF2B5EF4-FFF2-40B4-BE49-F238E27FC236}">
              <a16:creationId xmlns:a16="http://schemas.microsoft.com/office/drawing/2014/main" id="{00000000-0008-0000-0000-0000252C0000}"/>
            </a:ext>
          </a:extLst>
        </xdr:cNvPr>
        <xdr:cNvSpPr txBox="1">
          <a:spLocks noChangeArrowheads="1"/>
        </xdr:cNvSpPr>
      </xdr:nvSpPr>
      <xdr:spPr bwMode="auto">
        <a:xfrm>
          <a:off x="3810000" y="3238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85725</xdr:rowOff>
    </xdr:from>
    <xdr:to>
      <xdr:col>10</xdr:col>
      <xdr:colOff>0</xdr:colOff>
      <xdr:row>19</xdr:row>
      <xdr:rowOff>9525</xdr:rowOff>
    </xdr:to>
    <xdr:sp macro="" textlink="">
      <xdr:nvSpPr>
        <xdr:cNvPr id="11302" name="Text Box 38">
          <a:extLst>
            <a:ext uri="{FF2B5EF4-FFF2-40B4-BE49-F238E27FC236}">
              <a16:creationId xmlns:a16="http://schemas.microsoft.com/office/drawing/2014/main" id="{00000000-0008-0000-0000-0000262C0000}"/>
            </a:ext>
          </a:extLst>
        </xdr:cNvPr>
        <xdr:cNvSpPr txBox="1">
          <a:spLocks noChangeArrowheads="1"/>
        </xdr:cNvSpPr>
      </xdr:nvSpPr>
      <xdr:spPr bwMode="auto">
        <a:xfrm>
          <a:off x="3810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10</xdr:col>
      <xdr:colOff>0</xdr:colOff>
      <xdr:row>19</xdr:row>
      <xdr:rowOff>9525</xdr:rowOff>
    </xdr:to>
    <xdr:sp macro="" textlink="">
      <xdr:nvSpPr>
        <xdr:cNvPr id="11303" name="Text Box 39">
          <a:extLst>
            <a:ext uri="{FF2B5EF4-FFF2-40B4-BE49-F238E27FC236}">
              <a16:creationId xmlns:a16="http://schemas.microsoft.com/office/drawing/2014/main" id="{00000000-0008-0000-0000-0000272C0000}"/>
            </a:ext>
          </a:extLst>
        </xdr:cNvPr>
        <xdr:cNvSpPr txBox="1">
          <a:spLocks noChangeArrowheads="1"/>
        </xdr:cNvSpPr>
      </xdr:nvSpPr>
      <xdr:spPr bwMode="auto">
        <a:xfrm>
          <a:off x="3810000" y="3238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85725</xdr:rowOff>
    </xdr:from>
    <xdr:to>
      <xdr:col>10</xdr:col>
      <xdr:colOff>0</xdr:colOff>
      <xdr:row>19</xdr:row>
      <xdr:rowOff>9525</xdr:rowOff>
    </xdr:to>
    <xdr:sp macro="" textlink="">
      <xdr:nvSpPr>
        <xdr:cNvPr id="11304" name="Text Box 40">
          <a:extLst>
            <a:ext uri="{FF2B5EF4-FFF2-40B4-BE49-F238E27FC236}">
              <a16:creationId xmlns:a16="http://schemas.microsoft.com/office/drawing/2014/main" id="{00000000-0008-0000-0000-0000282C0000}"/>
            </a:ext>
          </a:extLst>
        </xdr:cNvPr>
        <xdr:cNvSpPr txBox="1">
          <a:spLocks noChangeArrowheads="1"/>
        </xdr:cNvSpPr>
      </xdr:nvSpPr>
      <xdr:spPr bwMode="auto">
        <a:xfrm>
          <a:off x="3810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10</xdr:col>
      <xdr:colOff>0</xdr:colOff>
      <xdr:row>19</xdr:row>
      <xdr:rowOff>9525</xdr:rowOff>
    </xdr:to>
    <xdr:sp macro="" textlink="">
      <xdr:nvSpPr>
        <xdr:cNvPr id="11305" name="Text Box 41">
          <a:extLst>
            <a:ext uri="{FF2B5EF4-FFF2-40B4-BE49-F238E27FC236}">
              <a16:creationId xmlns:a16="http://schemas.microsoft.com/office/drawing/2014/main" id="{00000000-0008-0000-0000-0000292C0000}"/>
            </a:ext>
          </a:extLst>
        </xdr:cNvPr>
        <xdr:cNvSpPr txBox="1">
          <a:spLocks noChangeArrowheads="1"/>
        </xdr:cNvSpPr>
      </xdr:nvSpPr>
      <xdr:spPr bwMode="auto">
        <a:xfrm>
          <a:off x="3810000" y="3238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11</xdr:col>
      <xdr:colOff>0</xdr:colOff>
      <xdr:row>16</xdr:row>
      <xdr:rowOff>85725</xdr:rowOff>
    </xdr:from>
    <xdr:to>
      <xdr:col>11</xdr:col>
      <xdr:colOff>0</xdr:colOff>
      <xdr:row>19</xdr:row>
      <xdr:rowOff>9525</xdr:rowOff>
    </xdr:to>
    <xdr:sp macro="" textlink="">
      <xdr:nvSpPr>
        <xdr:cNvPr id="11306" name="Text Box 42">
          <a:extLst>
            <a:ext uri="{FF2B5EF4-FFF2-40B4-BE49-F238E27FC236}">
              <a16:creationId xmlns:a16="http://schemas.microsoft.com/office/drawing/2014/main" id="{00000000-0008-0000-0000-00002A2C0000}"/>
            </a:ext>
          </a:extLst>
        </xdr:cNvPr>
        <xdr:cNvSpPr txBox="1">
          <a:spLocks noChangeArrowheads="1"/>
        </xdr:cNvSpPr>
      </xdr:nvSpPr>
      <xdr:spPr bwMode="auto">
        <a:xfrm>
          <a:off x="4191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85725</xdr:rowOff>
    </xdr:from>
    <xdr:to>
      <xdr:col>9</xdr:col>
      <xdr:colOff>0</xdr:colOff>
      <xdr:row>19</xdr:row>
      <xdr:rowOff>9525</xdr:rowOff>
    </xdr:to>
    <xdr:sp macro="" textlink="">
      <xdr:nvSpPr>
        <xdr:cNvPr id="11307" name="Text Box 43">
          <a:extLst>
            <a:ext uri="{FF2B5EF4-FFF2-40B4-BE49-F238E27FC236}">
              <a16:creationId xmlns:a16="http://schemas.microsoft.com/office/drawing/2014/main" id="{00000000-0008-0000-0000-00002B2C0000}"/>
            </a:ext>
          </a:extLst>
        </xdr:cNvPr>
        <xdr:cNvSpPr txBox="1">
          <a:spLocks noChangeArrowheads="1"/>
        </xdr:cNvSpPr>
      </xdr:nvSpPr>
      <xdr:spPr bwMode="auto">
        <a:xfrm>
          <a:off x="3429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9</xdr:col>
      <xdr:colOff>0</xdr:colOff>
      <xdr:row>19</xdr:row>
      <xdr:rowOff>9525</xdr:rowOff>
    </xdr:to>
    <xdr:sp macro="" textlink="">
      <xdr:nvSpPr>
        <xdr:cNvPr id="11308" name="Text Box 44">
          <a:extLst>
            <a:ext uri="{FF2B5EF4-FFF2-40B4-BE49-F238E27FC236}">
              <a16:creationId xmlns:a16="http://schemas.microsoft.com/office/drawing/2014/main" id="{00000000-0008-0000-0000-00002C2C0000}"/>
            </a:ext>
          </a:extLst>
        </xdr:cNvPr>
        <xdr:cNvSpPr txBox="1">
          <a:spLocks noChangeArrowheads="1"/>
        </xdr:cNvSpPr>
      </xdr:nvSpPr>
      <xdr:spPr bwMode="auto">
        <a:xfrm>
          <a:off x="3429000" y="3238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85725</xdr:rowOff>
    </xdr:from>
    <xdr:to>
      <xdr:col>9</xdr:col>
      <xdr:colOff>0</xdr:colOff>
      <xdr:row>19</xdr:row>
      <xdr:rowOff>9525</xdr:rowOff>
    </xdr:to>
    <xdr:sp macro="" textlink="">
      <xdr:nvSpPr>
        <xdr:cNvPr id="11309" name="Text Box 45">
          <a:extLst>
            <a:ext uri="{FF2B5EF4-FFF2-40B4-BE49-F238E27FC236}">
              <a16:creationId xmlns:a16="http://schemas.microsoft.com/office/drawing/2014/main" id="{00000000-0008-0000-0000-00002D2C0000}"/>
            </a:ext>
          </a:extLst>
        </xdr:cNvPr>
        <xdr:cNvSpPr txBox="1">
          <a:spLocks noChangeArrowheads="1"/>
        </xdr:cNvSpPr>
      </xdr:nvSpPr>
      <xdr:spPr bwMode="auto">
        <a:xfrm>
          <a:off x="3429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9</xdr:col>
      <xdr:colOff>0</xdr:colOff>
      <xdr:row>19</xdr:row>
      <xdr:rowOff>9525</xdr:rowOff>
    </xdr:to>
    <xdr:sp macro="" textlink="">
      <xdr:nvSpPr>
        <xdr:cNvPr id="11310" name="Text Box 46">
          <a:extLst>
            <a:ext uri="{FF2B5EF4-FFF2-40B4-BE49-F238E27FC236}">
              <a16:creationId xmlns:a16="http://schemas.microsoft.com/office/drawing/2014/main" id="{00000000-0008-0000-0000-00002E2C0000}"/>
            </a:ext>
          </a:extLst>
        </xdr:cNvPr>
        <xdr:cNvSpPr txBox="1">
          <a:spLocks noChangeArrowheads="1"/>
        </xdr:cNvSpPr>
      </xdr:nvSpPr>
      <xdr:spPr bwMode="auto">
        <a:xfrm>
          <a:off x="3429000" y="3238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85725</xdr:rowOff>
    </xdr:from>
    <xdr:to>
      <xdr:col>9</xdr:col>
      <xdr:colOff>0</xdr:colOff>
      <xdr:row>19</xdr:row>
      <xdr:rowOff>9525</xdr:rowOff>
    </xdr:to>
    <xdr:sp macro="" textlink="">
      <xdr:nvSpPr>
        <xdr:cNvPr id="11311" name="Text Box 47">
          <a:extLst>
            <a:ext uri="{FF2B5EF4-FFF2-40B4-BE49-F238E27FC236}">
              <a16:creationId xmlns:a16="http://schemas.microsoft.com/office/drawing/2014/main" id="{00000000-0008-0000-0000-00002F2C0000}"/>
            </a:ext>
          </a:extLst>
        </xdr:cNvPr>
        <xdr:cNvSpPr txBox="1">
          <a:spLocks noChangeArrowheads="1"/>
        </xdr:cNvSpPr>
      </xdr:nvSpPr>
      <xdr:spPr bwMode="auto">
        <a:xfrm>
          <a:off x="3429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9</xdr:col>
      <xdr:colOff>0</xdr:colOff>
      <xdr:row>19</xdr:row>
      <xdr:rowOff>9525</xdr:rowOff>
    </xdr:to>
    <xdr:sp macro="" textlink="">
      <xdr:nvSpPr>
        <xdr:cNvPr id="11312" name="Text Box 48">
          <a:extLst>
            <a:ext uri="{FF2B5EF4-FFF2-40B4-BE49-F238E27FC236}">
              <a16:creationId xmlns:a16="http://schemas.microsoft.com/office/drawing/2014/main" id="{00000000-0008-0000-0000-0000302C0000}"/>
            </a:ext>
          </a:extLst>
        </xdr:cNvPr>
        <xdr:cNvSpPr txBox="1">
          <a:spLocks noChangeArrowheads="1"/>
        </xdr:cNvSpPr>
      </xdr:nvSpPr>
      <xdr:spPr bwMode="auto">
        <a:xfrm>
          <a:off x="3429000" y="3238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85725</xdr:rowOff>
    </xdr:from>
    <xdr:to>
      <xdr:col>9</xdr:col>
      <xdr:colOff>0</xdr:colOff>
      <xdr:row>19</xdr:row>
      <xdr:rowOff>9525</xdr:rowOff>
    </xdr:to>
    <xdr:sp macro="" textlink="">
      <xdr:nvSpPr>
        <xdr:cNvPr id="11313" name="Text Box 49">
          <a:extLst>
            <a:ext uri="{FF2B5EF4-FFF2-40B4-BE49-F238E27FC236}">
              <a16:creationId xmlns:a16="http://schemas.microsoft.com/office/drawing/2014/main" id="{00000000-0008-0000-0000-0000312C0000}"/>
            </a:ext>
          </a:extLst>
        </xdr:cNvPr>
        <xdr:cNvSpPr txBox="1">
          <a:spLocks noChangeArrowheads="1"/>
        </xdr:cNvSpPr>
      </xdr:nvSpPr>
      <xdr:spPr bwMode="auto">
        <a:xfrm>
          <a:off x="3429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9</xdr:col>
      <xdr:colOff>0</xdr:colOff>
      <xdr:row>19</xdr:row>
      <xdr:rowOff>9525</xdr:rowOff>
    </xdr:to>
    <xdr:sp macro="" textlink="">
      <xdr:nvSpPr>
        <xdr:cNvPr id="11314" name="Text Box 50">
          <a:extLst>
            <a:ext uri="{FF2B5EF4-FFF2-40B4-BE49-F238E27FC236}">
              <a16:creationId xmlns:a16="http://schemas.microsoft.com/office/drawing/2014/main" id="{00000000-0008-0000-0000-0000322C0000}"/>
            </a:ext>
          </a:extLst>
        </xdr:cNvPr>
        <xdr:cNvSpPr txBox="1">
          <a:spLocks noChangeArrowheads="1"/>
        </xdr:cNvSpPr>
      </xdr:nvSpPr>
      <xdr:spPr bwMode="auto">
        <a:xfrm>
          <a:off x="3429000" y="3238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85725</xdr:rowOff>
    </xdr:from>
    <xdr:to>
      <xdr:col>10</xdr:col>
      <xdr:colOff>0</xdr:colOff>
      <xdr:row>19</xdr:row>
      <xdr:rowOff>9525</xdr:rowOff>
    </xdr:to>
    <xdr:sp macro="" textlink="">
      <xdr:nvSpPr>
        <xdr:cNvPr id="11315" name="Text Box 51">
          <a:extLst>
            <a:ext uri="{FF2B5EF4-FFF2-40B4-BE49-F238E27FC236}">
              <a16:creationId xmlns:a16="http://schemas.microsoft.com/office/drawing/2014/main" id="{00000000-0008-0000-0000-0000332C0000}"/>
            </a:ext>
          </a:extLst>
        </xdr:cNvPr>
        <xdr:cNvSpPr txBox="1">
          <a:spLocks noChangeArrowheads="1"/>
        </xdr:cNvSpPr>
      </xdr:nvSpPr>
      <xdr:spPr bwMode="auto">
        <a:xfrm>
          <a:off x="3810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85725</xdr:rowOff>
    </xdr:from>
    <xdr:to>
      <xdr:col>9</xdr:col>
      <xdr:colOff>0</xdr:colOff>
      <xdr:row>19</xdr:row>
      <xdr:rowOff>9525</xdr:rowOff>
    </xdr:to>
    <xdr:sp macro="" textlink="">
      <xdr:nvSpPr>
        <xdr:cNvPr id="11316" name="Text Box 52">
          <a:extLst>
            <a:ext uri="{FF2B5EF4-FFF2-40B4-BE49-F238E27FC236}">
              <a16:creationId xmlns:a16="http://schemas.microsoft.com/office/drawing/2014/main" id="{00000000-0008-0000-0000-0000342C0000}"/>
            </a:ext>
          </a:extLst>
        </xdr:cNvPr>
        <xdr:cNvSpPr txBox="1">
          <a:spLocks noChangeArrowheads="1"/>
        </xdr:cNvSpPr>
      </xdr:nvSpPr>
      <xdr:spPr bwMode="auto">
        <a:xfrm>
          <a:off x="3429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9</xdr:col>
      <xdr:colOff>0</xdr:colOff>
      <xdr:row>19</xdr:row>
      <xdr:rowOff>9525</xdr:rowOff>
    </xdr:to>
    <xdr:sp macro="" textlink="">
      <xdr:nvSpPr>
        <xdr:cNvPr id="11317" name="Text Box 53">
          <a:extLst>
            <a:ext uri="{FF2B5EF4-FFF2-40B4-BE49-F238E27FC236}">
              <a16:creationId xmlns:a16="http://schemas.microsoft.com/office/drawing/2014/main" id="{00000000-0008-0000-0000-0000352C0000}"/>
            </a:ext>
          </a:extLst>
        </xdr:cNvPr>
        <xdr:cNvSpPr txBox="1">
          <a:spLocks noChangeArrowheads="1"/>
        </xdr:cNvSpPr>
      </xdr:nvSpPr>
      <xdr:spPr bwMode="auto">
        <a:xfrm>
          <a:off x="3429000" y="3238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85725</xdr:rowOff>
    </xdr:from>
    <xdr:to>
      <xdr:col>9</xdr:col>
      <xdr:colOff>0</xdr:colOff>
      <xdr:row>19</xdr:row>
      <xdr:rowOff>9525</xdr:rowOff>
    </xdr:to>
    <xdr:sp macro="" textlink="">
      <xdr:nvSpPr>
        <xdr:cNvPr id="11318" name="Text Box 54">
          <a:extLst>
            <a:ext uri="{FF2B5EF4-FFF2-40B4-BE49-F238E27FC236}">
              <a16:creationId xmlns:a16="http://schemas.microsoft.com/office/drawing/2014/main" id="{00000000-0008-0000-0000-0000362C0000}"/>
            </a:ext>
          </a:extLst>
        </xdr:cNvPr>
        <xdr:cNvSpPr txBox="1">
          <a:spLocks noChangeArrowheads="1"/>
        </xdr:cNvSpPr>
      </xdr:nvSpPr>
      <xdr:spPr bwMode="auto">
        <a:xfrm>
          <a:off x="3429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9</xdr:col>
      <xdr:colOff>0</xdr:colOff>
      <xdr:row>19</xdr:row>
      <xdr:rowOff>9525</xdr:rowOff>
    </xdr:to>
    <xdr:sp macro="" textlink="">
      <xdr:nvSpPr>
        <xdr:cNvPr id="11319" name="Text Box 55">
          <a:extLst>
            <a:ext uri="{FF2B5EF4-FFF2-40B4-BE49-F238E27FC236}">
              <a16:creationId xmlns:a16="http://schemas.microsoft.com/office/drawing/2014/main" id="{00000000-0008-0000-0000-0000372C0000}"/>
            </a:ext>
          </a:extLst>
        </xdr:cNvPr>
        <xdr:cNvSpPr txBox="1">
          <a:spLocks noChangeArrowheads="1"/>
        </xdr:cNvSpPr>
      </xdr:nvSpPr>
      <xdr:spPr bwMode="auto">
        <a:xfrm>
          <a:off x="3429000" y="3238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85725</xdr:rowOff>
    </xdr:from>
    <xdr:to>
      <xdr:col>9</xdr:col>
      <xdr:colOff>0</xdr:colOff>
      <xdr:row>19</xdr:row>
      <xdr:rowOff>9525</xdr:rowOff>
    </xdr:to>
    <xdr:sp macro="" textlink="">
      <xdr:nvSpPr>
        <xdr:cNvPr id="11320" name="Text Box 56">
          <a:extLst>
            <a:ext uri="{FF2B5EF4-FFF2-40B4-BE49-F238E27FC236}">
              <a16:creationId xmlns:a16="http://schemas.microsoft.com/office/drawing/2014/main" id="{00000000-0008-0000-0000-0000382C0000}"/>
            </a:ext>
          </a:extLst>
        </xdr:cNvPr>
        <xdr:cNvSpPr txBox="1">
          <a:spLocks noChangeArrowheads="1"/>
        </xdr:cNvSpPr>
      </xdr:nvSpPr>
      <xdr:spPr bwMode="auto">
        <a:xfrm>
          <a:off x="3429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9</xdr:col>
      <xdr:colOff>0</xdr:colOff>
      <xdr:row>19</xdr:row>
      <xdr:rowOff>9525</xdr:rowOff>
    </xdr:to>
    <xdr:sp macro="" textlink="">
      <xdr:nvSpPr>
        <xdr:cNvPr id="11321" name="Text Box 57">
          <a:extLst>
            <a:ext uri="{FF2B5EF4-FFF2-40B4-BE49-F238E27FC236}">
              <a16:creationId xmlns:a16="http://schemas.microsoft.com/office/drawing/2014/main" id="{00000000-0008-0000-0000-0000392C0000}"/>
            </a:ext>
          </a:extLst>
        </xdr:cNvPr>
        <xdr:cNvSpPr txBox="1">
          <a:spLocks noChangeArrowheads="1"/>
        </xdr:cNvSpPr>
      </xdr:nvSpPr>
      <xdr:spPr bwMode="auto">
        <a:xfrm>
          <a:off x="3429000" y="3238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85725</xdr:rowOff>
    </xdr:from>
    <xdr:to>
      <xdr:col>9</xdr:col>
      <xdr:colOff>0</xdr:colOff>
      <xdr:row>19</xdr:row>
      <xdr:rowOff>9525</xdr:rowOff>
    </xdr:to>
    <xdr:sp macro="" textlink="">
      <xdr:nvSpPr>
        <xdr:cNvPr id="11322" name="Text Box 58">
          <a:extLst>
            <a:ext uri="{FF2B5EF4-FFF2-40B4-BE49-F238E27FC236}">
              <a16:creationId xmlns:a16="http://schemas.microsoft.com/office/drawing/2014/main" id="{00000000-0008-0000-0000-00003A2C0000}"/>
            </a:ext>
          </a:extLst>
        </xdr:cNvPr>
        <xdr:cNvSpPr txBox="1">
          <a:spLocks noChangeArrowheads="1"/>
        </xdr:cNvSpPr>
      </xdr:nvSpPr>
      <xdr:spPr bwMode="auto">
        <a:xfrm>
          <a:off x="3429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9</xdr:col>
      <xdr:colOff>0</xdr:colOff>
      <xdr:row>19</xdr:row>
      <xdr:rowOff>9525</xdr:rowOff>
    </xdr:to>
    <xdr:sp macro="" textlink="">
      <xdr:nvSpPr>
        <xdr:cNvPr id="11323" name="Text Box 59">
          <a:extLst>
            <a:ext uri="{FF2B5EF4-FFF2-40B4-BE49-F238E27FC236}">
              <a16:creationId xmlns:a16="http://schemas.microsoft.com/office/drawing/2014/main" id="{00000000-0008-0000-0000-00003B2C0000}"/>
            </a:ext>
          </a:extLst>
        </xdr:cNvPr>
        <xdr:cNvSpPr txBox="1">
          <a:spLocks noChangeArrowheads="1"/>
        </xdr:cNvSpPr>
      </xdr:nvSpPr>
      <xdr:spPr bwMode="auto">
        <a:xfrm>
          <a:off x="3429000" y="3238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85725</xdr:rowOff>
    </xdr:from>
    <xdr:to>
      <xdr:col>10</xdr:col>
      <xdr:colOff>0</xdr:colOff>
      <xdr:row>19</xdr:row>
      <xdr:rowOff>9525</xdr:rowOff>
    </xdr:to>
    <xdr:sp macro="" textlink="">
      <xdr:nvSpPr>
        <xdr:cNvPr id="11324" name="Text Box 60">
          <a:extLst>
            <a:ext uri="{FF2B5EF4-FFF2-40B4-BE49-F238E27FC236}">
              <a16:creationId xmlns:a16="http://schemas.microsoft.com/office/drawing/2014/main" id="{00000000-0008-0000-0000-00003C2C0000}"/>
            </a:ext>
          </a:extLst>
        </xdr:cNvPr>
        <xdr:cNvSpPr txBox="1">
          <a:spLocks noChangeArrowheads="1"/>
        </xdr:cNvSpPr>
      </xdr:nvSpPr>
      <xdr:spPr bwMode="auto">
        <a:xfrm>
          <a:off x="3810000" y="3133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 editAs="oneCell">
    <xdr:from>
      <xdr:col>1</xdr:col>
      <xdr:colOff>9526</xdr:colOff>
      <xdr:row>3</xdr:row>
      <xdr:rowOff>104776</xdr:rowOff>
    </xdr:from>
    <xdr:to>
      <xdr:col>4</xdr:col>
      <xdr:colOff>228600</xdr:colOff>
      <xdr:row>6</xdr:row>
      <xdr:rowOff>106466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457201" y="676276"/>
          <a:ext cx="1562099" cy="573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381000</xdr:colOff>
          <xdr:row>113</xdr:row>
          <xdr:rowOff>9525</xdr:rowOff>
        </xdr:from>
        <xdr:to>
          <xdr:col>21</xdr:col>
          <xdr:colOff>314325</xdr:colOff>
          <xdr:row>114</xdr:row>
          <xdr:rowOff>9525</xdr:rowOff>
        </xdr:to>
        <xdr:sp macro="" textlink="">
          <xdr:nvSpPr>
            <xdr:cNvPr id="14167" name="Drop Down 1879" hidden="1">
              <a:extLst>
                <a:ext uri="{63B3BB69-23CF-44E3-9099-C40C66FF867C}">
                  <a14:compatExt spid="_x0000_s14167"/>
                </a:ext>
                <a:ext uri="{FF2B5EF4-FFF2-40B4-BE49-F238E27FC236}">
                  <a16:creationId xmlns:a16="http://schemas.microsoft.com/office/drawing/2014/main" id="{00000000-0008-0000-0000-00005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342900</xdr:colOff>
          <xdr:row>53</xdr:row>
          <xdr:rowOff>9525</xdr:rowOff>
        </xdr:from>
        <xdr:to>
          <xdr:col>16</xdr:col>
          <xdr:colOff>9525</xdr:colOff>
          <xdr:row>54</xdr:row>
          <xdr:rowOff>19050</xdr:rowOff>
        </xdr:to>
        <xdr:sp macro="" textlink="">
          <xdr:nvSpPr>
            <xdr:cNvPr id="14225" name="Drop Down 1937" hidden="1">
              <a:extLst>
                <a:ext uri="{63B3BB69-23CF-44E3-9099-C40C66FF867C}">
                  <a14:compatExt spid="_x0000_s14225"/>
                </a:ext>
                <a:ext uri="{FF2B5EF4-FFF2-40B4-BE49-F238E27FC236}">
                  <a16:creationId xmlns:a16="http://schemas.microsoft.com/office/drawing/2014/main" id="{00000000-0008-0000-0000-00009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64</xdr:row>
          <xdr:rowOff>171450</xdr:rowOff>
        </xdr:from>
        <xdr:to>
          <xdr:col>15</xdr:col>
          <xdr:colOff>409575</xdr:colOff>
          <xdr:row>66</xdr:row>
          <xdr:rowOff>0</xdr:rowOff>
        </xdr:to>
        <xdr:sp macro="" textlink="">
          <xdr:nvSpPr>
            <xdr:cNvPr id="14226" name="Drop Down 1938" hidden="1">
              <a:extLst>
                <a:ext uri="{63B3BB69-23CF-44E3-9099-C40C66FF867C}">
                  <a14:compatExt spid="_x0000_s14226"/>
                </a:ext>
                <a:ext uri="{FF2B5EF4-FFF2-40B4-BE49-F238E27FC236}">
                  <a16:creationId xmlns:a16="http://schemas.microsoft.com/office/drawing/2014/main" id="{00000000-0008-0000-0000-00009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19050</xdr:rowOff>
        </xdr:from>
        <xdr:to>
          <xdr:col>15</xdr:col>
          <xdr:colOff>285750</xdr:colOff>
          <xdr:row>47</xdr:row>
          <xdr:rowOff>47625</xdr:rowOff>
        </xdr:to>
        <xdr:sp macro="" textlink="">
          <xdr:nvSpPr>
            <xdr:cNvPr id="14224" name="Drop Down 1936" hidden="1">
              <a:extLst>
                <a:ext uri="{63B3BB69-23CF-44E3-9099-C40C66FF867C}">
                  <a14:compatExt spid="_x0000_s14224"/>
                </a:ext>
                <a:ext uri="{FF2B5EF4-FFF2-40B4-BE49-F238E27FC236}">
                  <a16:creationId xmlns:a16="http://schemas.microsoft.com/office/drawing/2014/main" id="{00000000-0008-0000-0000-00009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54722</xdr:colOff>
      <xdr:row>9</xdr:row>
      <xdr:rowOff>14752</xdr:rowOff>
    </xdr:from>
    <xdr:to>
      <xdr:col>26</xdr:col>
      <xdr:colOff>245782</xdr:colOff>
      <xdr:row>10</xdr:row>
      <xdr:rowOff>14752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0789957" y="1830105"/>
          <a:ext cx="19106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</a:t>
          </a:r>
        </a:p>
      </xdr:txBody>
    </xdr:sp>
    <xdr:clientData/>
  </xdr:twoCellAnchor>
  <xdr:twoCellAnchor editAs="oneCell">
    <xdr:from>
      <xdr:col>26</xdr:col>
      <xdr:colOff>40714</xdr:colOff>
      <xdr:row>10</xdr:row>
      <xdr:rowOff>69102</xdr:rowOff>
    </xdr:from>
    <xdr:to>
      <xdr:col>26</xdr:col>
      <xdr:colOff>231214</xdr:colOff>
      <xdr:row>11</xdr:row>
      <xdr:rowOff>69102</xdr:rowOff>
    </xdr:to>
    <xdr:sp macro="" textlink="">
      <xdr:nvSpPr>
        <xdr:cNvPr id="4" name="Ellips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0775949" y="2074955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</a:t>
          </a:r>
        </a:p>
      </xdr:txBody>
    </xdr:sp>
    <xdr:clientData/>
  </xdr:twoCellAnchor>
  <xdr:twoCellAnchor editAs="oneCell">
    <xdr:from>
      <xdr:col>26</xdr:col>
      <xdr:colOff>51360</xdr:colOff>
      <xdr:row>11</xdr:row>
      <xdr:rowOff>79748</xdr:rowOff>
    </xdr:from>
    <xdr:to>
      <xdr:col>26</xdr:col>
      <xdr:colOff>241860</xdr:colOff>
      <xdr:row>12</xdr:row>
      <xdr:rowOff>79748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10786595" y="2276101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</a:t>
          </a:r>
        </a:p>
      </xdr:txBody>
    </xdr:sp>
    <xdr:clientData/>
  </xdr:twoCellAnchor>
  <xdr:twoCellAnchor editAs="oneCell">
    <xdr:from>
      <xdr:col>26</xdr:col>
      <xdr:colOff>59764</xdr:colOff>
      <xdr:row>12</xdr:row>
      <xdr:rowOff>61818</xdr:rowOff>
    </xdr:from>
    <xdr:to>
      <xdr:col>27</xdr:col>
      <xdr:colOff>3734</xdr:colOff>
      <xdr:row>13</xdr:row>
      <xdr:rowOff>61818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10794999" y="2448671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</a:t>
          </a:r>
        </a:p>
      </xdr:txBody>
    </xdr:sp>
    <xdr:clientData/>
  </xdr:twoCellAnchor>
  <xdr:twoCellAnchor editAs="oneCell">
    <xdr:from>
      <xdr:col>26</xdr:col>
      <xdr:colOff>66488</xdr:colOff>
      <xdr:row>13</xdr:row>
      <xdr:rowOff>35484</xdr:rowOff>
    </xdr:from>
    <xdr:to>
      <xdr:col>27</xdr:col>
      <xdr:colOff>10458</xdr:colOff>
      <xdr:row>14</xdr:row>
      <xdr:rowOff>35484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10801723" y="2612837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5</a:t>
          </a:r>
        </a:p>
      </xdr:txBody>
    </xdr:sp>
    <xdr:clientData/>
  </xdr:twoCellAnchor>
  <xdr:twoCellAnchor editAs="oneCell">
    <xdr:from>
      <xdr:col>26</xdr:col>
      <xdr:colOff>50799</xdr:colOff>
      <xdr:row>14</xdr:row>
      <xdr:rowOff>6349</xdr:rowOff>
    </xdr:from>
    <xdr:to>
      <xdr:col>26</xdr:col>
      <xdr:colOff>241299</xdr:colOff>
      <xdr:row>15</xdr:row>
      <xdr:rowOff>6349</xdr:rowOff>
    </xdr:to>
    <xdr:sp macro="" textlink="">
      <xdr:nvSpPr>
        <xdr:cNvPr id="8" name="Ellips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10785474" y="23971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6</a:t>
          </a:r>
        </a:p>
      </xdr:txBody>
    </xdr:sp>
    <xdr:clientData/>
  </xdr:twoCellAnchor>
  <xdr:twoCellAnchor editAs="oneCell">
    <xdr:from>
      <xdr:col>26</xdr:col>
      <xdr:colOff>50799</xdr:colOff>
      <xdr:row>15</xdr:row>
      <xdr:rowOff>6349</xdr:rowOff>
    </xdr:from>
    <xdr:to>
      <xdr:col>26</xdr:col>
      <xdr:colOff>241299</xdr:colOff>
      <xdr:row>16</xdr:row>
      <xdr:rowOff>6349</xdr:rowOff>
    </xdr:to>
    <xdr:sp macro="" textlink="">
      <xdr:nvSpPr>
        <xdr:cNvPr id="9" name="Ellips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10785474" y="25876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7</a:t>
          </a:r>
        </a:p>
      </xdr:txBody>
    </xdr:sp>
    <xdr:clientData/>
  </xdr:twoCellAnchor>
  <xdr:twoCellAnchor editAs="oneCell">
    <xdr:from>
      <xdr:col>26</xdr:col>
      <xdr:colOff>50799</xdr:colOff>
      <xdr:row>16</xdr:row>
      <xdr:rowOff>6349</xdr:rowOff>
    </xdr:from>
    <xdr:to>
      <xdr:col>26</xdr:col>
      <xdr:colOff>241299</xdr:colOff>
      <xdr:row>17</xdr:row>
      <xdr:rowOff>6349</xdr:rowOff>
    </xdr:to>
    <xdr:sp macro="" textlink="">
      <xdr:nvSpPr>
        <xdr:cNvPr id="10" name="Ellips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10785474" y="27781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8</a:t>
          </a:r>
        </a:p>
      </xdr:txBody>
    </xdr:sp>
    <xdr:clientData/>
  </xdr:twoCellAnchor>
  <xdr:twoCellAnchor editAs="oneCell">
    <xdr:from>
      <xdr:col>26</xdr:col>
      <xdr:colOff>50799</xdr:colOff>
      <xdr:row>17</xdr:row>
      <xdr:rowOff>6349</xdr:rowOff>
    </xdr:from>
    <xdr:to>
      <xdr:col>26</xdr:col>
      <xdr:colOff>241299</xdr:colOff>
      <xdr:row>18</xdr:row>
      <xdr:rowOff>6349</xdr:rowOff>
    </xdr:to>
    <xdr:sp macro="" textlink="">
      <xdr:nvSpPr>
        <xdr:cNvPr id="11" name="Ellips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0785474" y="29686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9</a:t>
          </a:r>
        </a:p>
      </xdr:txBody>
    </xdr:sp>
    <xdr:clientData/>
  </xdr:twoCellAnchor>
  <xdr:twoCellAnchor editAs="oneCell">
    <xdr:from>
      <xdr:col>27</xdr:col>
      <xdr:colOff>176305</xdr:colOff>
      <xdr:row>8</xdr:row>
      <xdr:rowOff>153706</xdr:rowOff>
    </xdr:from>
    <xdr:to>
      <xdr:col>28</xdr:col>
      <xdr:colOff>119155</xdr:colOff>
      <xdr:row>9</xdr:row>
      <xdr:rowOff>153706</xdr:rowOff>
    </xdr:to>
    <xdr:sp macro="" textlink="">
      <xdr:nvSpPr>
        <xdr:cNvPr id="12" name="Ellips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11158070" y="1778559"/>
          <a:ext cx="189379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10</a:t>
          </a:r>
        </a:p>
      </xdr:txBody>
    </xdr:sp>
    <xdr:clientData/>
  </xdr:twoCellAnchor>
  <xdr:twoCellAnchor editAs="oneCell">
    <xdr:from>
      <xdr:col>27</xdr:col>
      <xdr:colOff>165099</xdr:colOff>
      <xdr:row>9</xdr:row>
      <xdr:rowOff>176118</xdr:rowOff>
    </xdr:from>
    <xdr:to>
      <xdr:col>28</xdr:col>
      <xdr:colOff>107949</xdr:colOff>
      <xdr:row>10</xdr:row>
      <xdr:rowOff>176118</xdr:rowOff>
    </xdr:to>
    <xdr:sp macro="" textlink="">
      <xdr:nvSpPr>
        <xdr:cNvPr id="13" name="Ellips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11146864" y="1991471"/>
          <a:ext cx="189379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11</a:t>
          </a:r>
        </a:p>
      </xdr:txBody>
    </xdr:sp>
    <xdr:clientData/>
  </xdr:twoCellAnchor>
  <xdr:twoCellAnchor editAs="oneCell">
    <xdr:from>
      <xdr:col>27</xdr:col>
      <xdr:colOff>165099</xdr:colOff>
      <xdr:row>10</xdr:row>
      <xdr:rowOff>187324</xdr:rowOff>
    </xdr:from>
    <xdr:to>
      <xdr:col>28</xdr:col>
      <xdr:colOff>107949</xdr:colOff>
      <xdr:row>11</xdr:row>
      <xdr:rowOff>187324</xdr:rowOff>
    </xdr:to>
    <xdr:sp macro="" textlink="">
      <xdr:nvSpPr>
        <xdr:cNvPr id="14" name="Ellips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11147424" y="18160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12</a:t>
          </a:r>
        </a:p>
      </xdr:txBody>
    </xdr:sp>
    <xdr:clientData/>
  </xdr:twoCellAnchor>
  <xdr:twoCellAnchor editAs="oneCell">
    <xdr:from>
      <xdr:col>27</xdr:col>
      <xdr:colOff>165099</xdr:colOff>
      <xdr:row>11</xdr:row>
      <xdr:rowOff>187324</xdr:rowOff>
    </xdr:from>
    <xdr:to>
      <xdr:col>28</xdr:col>
      <xdr:colOff>107949</xdr:colOff>
      <xdr:row>12</xdr:row>
      <xdr:rowOff>187324</xdr:rowOff>
    </xdr:to>
    <xdr:sp macro="" textlink="">
      <xdr:nvSpPr>
        <xdr:cNvPr id="15" name="Ellips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 bwMode="auto">
        <a:xfrm>
          <a:off x="11147424" y="20065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13</a:t>
          </a:r>
        </a:p>
      </xdr:txBody>
    </xdr:sp>
    <xdr:clientData/>
  </xdr:twoCellAnchor>
  <xdr:twoCellAnchor editAs="oneCell">
    <xdr:from>
      <xdr:col>27</xdr:col>
      <xdr:colOff>165099</xdr:colOff>
      <xdr:row>12</xdr:row>
      <xdr:rowOff>187324</xdr:rowOff>
    </xdr:from>
    <xdr:to>
      <xdr:col>28</xdr:col>
      <xdr:colOff>107949</xdr:colOff>
      <xdr:row>13</xdr:row>
      <xdr:rowOff>187324</xdr:rowOff>
    </xdr:to>
    <xdr:sp macro="" textlink="">
      <xdr:nvSpPr>
        <xdr:cNvPr id="16" name="Ellips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 bwMode="auto">
        <a:xfrm>
          <a:off x="11147424" y="21970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14</a:t>
          </a:r>
        </a:p>
      </xdr:txBody>
    </xdr:sp>
    <xdr:clientData/>
  </xdr:twoCellAnchor>
  <xdr:twoCellAnchor editAs="oneCell">
    <xdr:from>
      <xdr:col>27</xdr:col>
      <xdr:colOff>165099</xdr:colOff>
      <xdr:row>13</xdr:row>
      <xdr:rowOff>187324</xdr:rowOff>
    </xdr:from>
    <xdr:to>
      <xdr:col>28</xdr:col>
      <xdr:colOff>107949</xdr:colOff>
      <xdr:row>14</xdr:row>
      <xdr:rowOff>187324</xdr:rowOff>
    </xdr:to>
    <xdr:sp macro="" textlink="">
      <xdr:nvSpPr>
        <xdr:cNvPr id="17" name="Ellips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 bwMode="auto">
        <a:xfrm>
          <a:off x="11147424" y="23875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15</a:t>
          </a:r>
        </a:p>
      </xdr:txBody>
    </xdr:sp>
    <xdr:clientData/>
  </xdr:twoCellAnchor>
  <xdr:twoCellAnchor editAs="oneCell">
    <xdr:from>
      <xdr:col>27</xdr:col>
      <xdr:colOff>165099</xdr:colOff>
      <xdr:row>14</xdr:row>
      <xdr:rowOff>187324</xdr:rowOff>
    </xdr:from>
    <xdr:to>
      <xdr:col>28</xdr:col>
      <xdr:colOff>107949</xdr:colOff>
      <xdr:row>15</xdr:row>
      <xdr:rowOff>187324</xdr:rowOff>
    </xdr:to>
    <xdr:sp macro="" textlink="">
      <xdr:nvSpPr>
        <xdr:cNvPr id="18" name="Ellips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11147424" y="25780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16</a:t>
          </a:r>
        </a:p>
      </xdr:txBody>
    </xdr:sp>
    <xdr:clientData/>
  </xdr:twoCellAnchor>
  <xdr:twoCellAnchor editAs="oneCell">
    <xdr:from>
      <xdr:col>27</xdr:col>
      <xdr:colOff>165099</xdr:colOff>
      <xdr:row>15</xdr:row>
      <xdr:rowOff>187324</xdr:rowOff>
    </xdr:from>
    <xdr:to>
      <xdr:col>28</xdr:col>
      <xdr:colOff>107949</xdr:colOff>
      <xdr:row>16</xdr:row>
      <xdr:rowOff>187324</xdr:rowOff>
    </xdr:to>
    <xdr:sp macro="" textlink="">
      <xdr:nvSpPr>
        <xdr:cNvPr id="19" name="Ellips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11147424" y="27685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17</a:t>
          </a:r>
        </a:p>
      </xdr:txBody>
    </xdr:sp>
    <xdr:clientData/>
  </xdr:twoCellAnchor>
  <xdr:twoCellAnchor editAs="oneCell">
    <xdr:from>
      <xdr:col>27</xdr:col>
      <xdr:colOff>165099</xdr:colOff>
      <xdr:row>16</xdr:row>
      <xdr:rowOff>187324</xdr:rowOff>
    </xdr:from>
    <xdr:to>
      <xdr:col>28</xdr:col>
      <xdr:colOff>107949</xdr:colOff>
      <xdr:row>17</xdr:row>
      <xdr:rowOff>187324</xdr:rowOff>
    </xdr:to>
    <xdr:sp macro="" textlink="">
      <xdr:nvSpPr>
        <xdr:cNvPr id="20" name="Ellips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11147424" y="29590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18</a:t>
          </a:r>
        </a:p>
      </xdr:txBody>
    </xdr:sp>
    <xdr:clientData/>
  </xdr:twoCellAnchor>
  <xdr:twoCellAnchor editAs="oneCell">
    <xdr:from>
      <xdr:col>27</xdr:col>
      <xdr:colOff>165099</xdr:colOff>
      <xdr:row>17</xdr:row>
      <xdr:rowOff>187324</xdr:rowOff>
    </xdr:from>
    <xdr:to>
      <xdr:col>28</xdr:col>
      <xdr:colOff>107949</xdr:colOff>
      <xdr:row>18</xdr:row>
      <xdr:rowOff>187324</xdr:rowOff>
    </xdr:to>
    <xdr:sp macro="" textlink="">
      <xdr:nvSpPr>
        <xdr:cNvPr id="21" name="Ellips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11147424" y="31495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19</a:t>
          </a:r>
        </a:p>
      </xdr:txBody>
    </xdr:sp>
    <xdr:clientData/>
  </xdr:twoCellAnchor>
  <xdr:twoCellAnchor editAs="oneCell">
    <xdr:from>
      <xdr:col>29</xdr:col>
      <xdr:colOff>58830</xdr:colOff>
      <xdr:row>8</xdr:row>
      <xdr:rowOff>163232</xdr:rowOff>
    </xdr:from>
    <xdr:to>
      <xdr:col>30</xdr:col>
      <xdr:colOff>2801</xdr:colOff>
      <xdr:row>9</xdr:row>
      <xdr:rowOff>163232</xdr:rowOff>
    </xdr:to>
    <xdr:sp macro="" textlink="">
      <xdr:nvSpPr>
        <xdr:cNvPr id="22" name="Ellips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11533654" y="1788085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20</a:t>
          </a:r>
        </a:p>
      </xdr:txBody>
    </xdr:sp>
    <xdr:clientData/>
  </xdr:twoCellAnchor>
  <xdr:twoCellAnchor editAs="oneCell">
    <xdr:from>
      <xdr:col>29</xdr:col>
      <xdr:colOff>47624</xdr:colOff>
      <xdr:row>10</xdr:row>
      <xdr:rowOff>6349</xdr:rowOff>
    </xdr:from>
    <xdr:to>
      <xdr:col>29</xdr:col>
      <xdr:colOff>238124</xdr:colOff>
      <xdr:row>11</xdr:row>
      <xdr:rowOff>6349</xdr:rowOff>
    </xdr:to>
    <xdr:sp macro="" textlink="">
      <xdr:nvSpPr>
        <xdr:cNvPr id="23" name="Ellips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11525249" y="16351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21</a:t>
          </a:r>
        </a:p>
      </xdr:txBody>
    </xdr:sp>
    <xdr:clientData/>
  </xdr:twoCellAnchor>
  <xdr:twoCellAnchor editAs="oneCell">
    <xdr:from>
      <xdr:col>29</xdr:col>
      <xdr:colOff>47624</xdr:colOff>
      <xdr:row>11</xdr:row>
      <xdr:rowOff>6349</xdr:rowOff>
    </xdr:from>
    <xdr:to>
      <xdr:col>29</xdr:col>
      <xdr:colOff>238124</xdr:colOff>
      <xdr:row>12</xdr:row>
      <xdr:rowOff>6349</xdr:rowOff>
    </xdr:to>
    <xdr:sp macro="" textlink="">
      <xdr:nvSpPr>
        <xdr:cNvPr id="24" name="Ellips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11525249" y="18256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22</a:t>
          </a:r>
        </a:p>
      </xdr:txBody>
    </xdr:sp>
    <xdr:clientData/>
  </xdr:twoCellAnchor>
  <xdr:twoCellAnchor editAs="oneCell">
    <xdr:from>
      <xdr:col>29</xdr:col>
      <xdr:colOff>47624</xdr:colOff>
      <xdr:row>12</xdr:row>
      <xdr:rowOff>6349</xdr:rowOff>
    </xdr:from>
    <xdr:to>
      <xdr:col>29</xdr:col>
      <xdr:colOff>238124</xdr:colOff>
      <xdr:row>13</xdr:row>
      <xdr:rowOff>6349</xdr:rowOff>
    </xdr:to>
    <xdr:sp macro="" textlink="">
      <xdr:nvSpPr>
        <xdr:cNvPr id="25" name="Ellips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11525249" y="20161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23</a:t>
          </a:r>
        </a:p>
      </xdr:txBody>
    </xdr:sp>
    <xdr:clientData/>
  </xdr:twoCellAnchor>
  <xdr:twoCellAnchor editAs="oneCell">
    <xdr:from>
      <xdr:col>29</xdr:col>
      <xdr:colOff>47624</xdr:colOff>
      <xdr:row>13</xdr:row>
      <xdr:rowOff>6349</xdr:rowOff>
    </xdr:from>
    <xdr:to>
      <xdr:col>29</xdr:col>
      <xdr:colOff>238124</xdr:colOff>
      <xdr:row>14</xdr:row>
      <xdr:rowOff>6349</xdr:rowOff>
    </xdr:to>
    <xdr:sp macro="" textlink="">
      <xdr:nvSpPr>
        <xdr:cNvPr id="26" name="Ellips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11525249" y="22066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24</a:t>
          </a:r>
        </a:p>
      </xdr:txBody>
    </xdr:sp>
    <xdr:clientData/>
  </xdr:twoCellAnchor>
  <xdr:twoCellAnchor editAs="oneCell">
    <xdr:from>
      <xdr:col>29</xdr:col>
      <xdr:colOff>47624</xdr:colOff>
      <xdr:row>14</xdr:row>
      <xdr:rowOff>6349</xdr:rowOff>
    </xdr:from>
    <xdr:to>
      <xdr:col>29</xdr:col>
      <xdr:colOff>238124</xdr:colOff>
      <xdr:row>15</xdr:row>
      <xdr:rowOff>6349</xdr:rowOff>
    </xdr:to>
    <xdr:sp macro="" textlink="">
      <xdr:nvSpPr>
        <xdr:cNvPr id="27" name="Ellips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11525249" y="23971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25</a:t>
          </a:r>
        </a:p>
      </xdr:txBody>
    </xdr:sp>
    <xdr:clientData/>
  </xdr:twoCellAnchor>
  <xdr:twoCellAnchor editAs="oneCell">
    <xdr:from>
      <xdr:col>29</xdr:col>
      <xdr:colOff>47624</xdr:colOff>
      <xdr:row>15</xdr:row>
      <xdr:rowOff>6349</xdr:rowOff>
    </xdr:from>
    <xdr:to>
      <xdr:col>29</xdr:col>
      <xdr:colOff>238124</xdr:colOff>
      <xdr:row>16</xdr:row>
      <xdr:rowOff>6349</xdr:rowOff>
    </xdr:to>
    <xdr:sp macro="" textlink="">
      <xdr:nvSpPr>
        <xdr:cNvPr id="28" name="Ellips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11525249" y="25876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26</a:t>
          </a:r>
        </a:p>
      </xdr:txBody>
    </xdr:sp>
    <xdr:clientData/>
  </xdr:twoCellAnchor>
  <xdr:twoCellAnchor editAs="oneCell">
    <xdr:from>
      <xdr:col>29</xdr:col>
      <xdr:colOff>47624</xdr:colOff>
      <xdr:row>16</xdr:row>
      <xdr:rowOff>6349</xdr:rowOff>
    </xdr:from>
    <xdr:to>
      <xdr:col>29</xdr:col>
      <xdr:colOff>238124</xdr:colOff>
      <xdr:row>17</xdr:row>
      <xdr:rowOff>6349</xdr:rowOff>
    </xdr:to>
    <xdr:sp macro="" textlink="">
      <xdr:nvSpPr>
        <xdr:cNvPr id="29" name="Ellips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11525249" y="27781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27</a:t>
          </a:r>
        </a:p>
      </xdr:txBody>
    </xdr:sp>
    <xdr:clientData/>
  </xdr:twoCellAnchor>
  <xdr:twoCellAnchor editAs="oneCell">
    <xdr:from>
      <xdr:col>29</xdr:col>
      <xdr:colOff>47624</xdr:colOff>
      <xdr:row>17</xdr:row>
      <xdr:rowOff>6349</xdr:rowOff>
    </xdr:from>
    <xdr:to>
      <xdr:col>29</xdr:col>
      <xdr:colOff>238124</xdr:colOff>
      <xdr:row>18</xdr:row>
      <xdr:rowOff>6349</xdr:rowOff>
    </xdr:to>
    <xdr:sp macro="" textlink="">
      <xdr:nvSpPr>
        <xdr:cNvPr id="30" name="Ellips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11525249" y="29686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28</a:t>
          </a:r>
        </a:p>
      </xdr:txBody>
    </xdr:sp>
    <xdr:clientData/>
  </xdr:twoCellAnchor>
  <xdr:twoCellAnchor editAs="oneCell">
    <xdr:from>
      <xdr:col>29</xdr:col>
      <xdr:colOff>47624</xdr:colOff>
      <xdr:row>18</xdr:row>
      <xdr:rowOff>6349</xdr:rowOff>
    </xdr:from>
    <xdr:to>
      <xdr:col>29</xdr:col>
      <xdr:colOff>238124</xdr:colOff>
      <xdr:row>19</xdr:row>
      <xdr:rowOff>6349</xdr:rowOff>
    </xdr:to>
    <xdr:sp macro="" textlink="">
      <xdr:nvSpPr>
        <xdr:cNvPr id="31" name="Ellips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11525249" y="31591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29</a:t>
          </a:r>
        </a:p>
      </xdr:txBody>
    </xdr:sp>
    <xdr:clientData/>
  </xdr:twoCellAnchor>
  <xdr:twoCellAnchor editAs="oneCell">
    <xdr:from>
      <xdr:col>30</xdr:col>
      <xdr:colOff>165099</xdr:colOff>
      <xdr:row>13</xdr:row>
      <xdr:rowOff>15874</xdr:rowOff>
    </xdr:from>
    <xdr:to>
      <xdr:col>31</xdr:col>
      <xdr:colOff>107949</xdr:colOff>
      <xdr:row>14</xdr:row>
      <xdr:rowOff>15874</xdr:rowOff>
    </xdr:to>
    <xdr:sp macro="" textlink="">
      <xdr:nvSpPr>
        <xdr:cNvPr id="32" name="Ellips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11890374" y="22161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34</a:t>
          </a:r>
        </a:p>
      </xdr:txBody>
    </xdr:sp>
    <xdr:clientData/>
  </xdr:twoCellAnchor>
  <xdr:twoCellAnchor editAs="oneCell">
    <xdr:from>
      <xdr:col>30</xdr:col>
      <xdr:colOff>165099</xdr:colOff>
      <xdr:row>14</xdr:row>
      <xdr:rowOff>15874</xdr:rowOff>
    </xdr:from>
    <xdr:to>
      <xdr:col>31</xdr:col>
      <xdr:colOff>107949</xdr:colOff>
      <xdr:row>15</xdr:row>
      <xdr:rowOff>15874</xdr:rowOff>
    </xdr:to>
    <xdr:sp macro="" textlink="">
      <xdr:nvSpPr>
        <xdr:cNvPr id="33" name="Ellips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11890374" y="24066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35</a:t>
          </a:r>
        </a:p>
      </xdr:txBody>
    </xdr:sp>
    <xdr:clientData/>
  </xdr:twoCellAnchor>
  <xdr:twoCellAnchor editAs="oneCell">
    <xdr:from>
      <xdr:col>30</xdr:col>
      <xdr:colOff>165099</xdr:colOff>
      <xdr:row>15</xdr:row>
      <xdr:rowOff>15874</xdr:rowOff>
    </xdr:from>
    <xdr:to>
      <xdr:col>31</xdr:col>
      <xdr:colOff>107949</xdr:colOff>
      <xdr:row>16</xdr:row>
      <xdr:rowOff>15874</xdr:rowOff>
    </xdr:to>
    <xdr:sp macro="" textlink="">
      <xdr:nvSpPr>
        <xdr:cNvPr id="34" name="Ellips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11890374" y="25971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36</a:t>
          </a:r>
        </a:p>
      </xdr:txBody>
    </xdr:sp>
    <xdr:clientData/>
  </xdr:twoCellAnchor>
  <xdr:twoCellAnchor editAs="oneCell">
    <xdr:from>
      <xdr:col>30</xdr:col>
      <xdr:colOff>165099</xdr:colOff>
      <xdr:row>16</xdr:row>
      <xdr:rowOff>15874</xdr:rowOff>
    </xdr:from>
    <xdr:to>
      <xdr:col>31</xdr:col>
      <xdr:colOff>107949</xdr:colOff>
      <xdr:row>17</xdr:row>
      <xdr:rowOff>15874</xdr:rowOff>
    </xdr:to>
    <xdr:sp macro="" textlink="">
      <xdr:nvSpPr>
        <xdr:cNvPr id="35" name="Ellips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11890374" y="27876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37</a:t>
          </a:r>
        </a:p>
      </xdr:txBody>
    </xdr:sp>
    <xdr:clientData/>
  </xdr:twoCellAnchor>
  <xdr:twoCellAnchor editAs="oneCell">
    <xdr:from>
      <xdr:col>30</xdr:col>
      <xdr:colOff>165099</xdr:colOff>
      <xdr:row>17</xdr:row>
      <xdr:rowOff>15874</xdr:rowOff>
    </xdr:from>
    <xdr:to>
      <xdr:col>31</xdr:col>
      <xdr:colOff>107949</xdr:colOff>
      <xdr:row>18</xdr:row>
      <xdr:rowOff>15874</xdr:rowOff>
    </xdr:to>
    <xdr:sp macro="" textlink="">
      <xdr:nvSpPr>
        <xdr:cNvPr id="36" name="Ellips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11890374" y="29781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38</a:t>
          </a:r>
        </a:p>
      </xdr:txBody>
    </xdr:sp>
    <xdr:clientData/>
  </xdr:twoCellAnchor>
  <xdr:twoCellAnchor editAs="oneCell">
    <xdr:from>
      <xdr:col>30</xdr:col>
      <xdr:colOff>165099</xdr:colOff>
      <xdr:row>18</xdr:row>
      <xdr:rowOff>15874</xdr:rowOff>
    </xdr:from>
    <xdr:to>
      <xdr:col>31</xdr:col>
      <xdr:colOff>107949</xdr:colOff>
      <xdr:row>19</xdr:row>
      <xdr:rowOff>15874</xdr:rowOff>
    </xdr:to>
    <xdr:sp macro="" textlink="">
      <xdr:nvSpPr>
        <xdr:cNvPr id="37" name="Ellips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11890374" y="31686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39</a:t>
          </a:r>
        </a:p>
      </xdr:txBody>
    </xdr:sp>
    <xdr:clientData/>
  </xdr:twoCellAnchor>
  <xdr:twoCellAnchor editAs="oneCell">
    <xdr:from>
      <xdr:col>32</xdr:col>
      <xdr:colOff>58830</xdr:colOff>
      <xdr:row>8</xdr:row>
      <xdr:rowOff>131294</xdr:rowOff>
    </xdr:from>
    <xdr:to>
      <xdr:col>33</xdr:col>
      <xdr:colOff>2801</xdr:colOff>
      <xdr:row>9</xdr:row>
      <xdr:rowOff>131294</xdr:rowOff>
    </xdr:to>
    <xdr:sp macro="" textlink="">
      <xdr:nvSpPr>
        <xdr:cNvPr id="38" name="Ellipse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12273242" y="1756147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40</a:t>
          </a:r>
        </a:p>
      </xdr:txBody>
    </xdr:sp>
    <xdr:clientData/>
  </xdr:twoCellAnchor>
  <xdr:twoCellAnchor editAs="oneCell">
    <xdr:from>
      <xdr:col>32</xdr:col>
      <xdr:colOff>47624</xdr:colOff>
      <xdr:row>9</xdr:row>
      <xdr:rowOff>131295</xdr:rowOff>
    </xdr:from>
    <xdr:to>
      <xdr:col>32</xdr:col>
      <xdr:colOff>238124</xdr:colOff>
      <xdr:row>10</xdr:row>
      <xdr:rowOff>131295</xdr:rowOff>
    </xdr:to>
    <xdr:sp macro="" textlink="">
      <xdr:nvSpPr>
        <xdr:cNvPr id="39" name="Ellipse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12262036" y="1946648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41</a:t>
          </a:r>
        </a:p>
      </xdr:txBody>
    </xdr:sp>
    <xdr:clientData/>
  </xdr:twoCellAnchor>
  <xdr:twoCellAnchor editAs="oneCell">
    <xdr:from>
      <xdr:col>32</xdr:col>
      <xdr:colOff>47624</xdr:colOff>
      <xdr:row>10</xdr:row>
      <xdr:rowOff>187324</xdr:rowOff>
    </xdr:from>
    <xdr:to>
      <xdr:col>32</xdr:col>
      <xdr:colOff>238124</xdr:colOff>
      <xdr:row>11</xdr:row>
      <xdr:rowOff>187324</xdr:rowOff>
    </xdr:to>
    <xdr:sp macro="" textlink="">
      <xdr:nvSpPr>
        <xdr:cNvPr id="40" name="Ellips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12268199" y="18160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42</a:t>
          </a:r>
        </a:p>
      </xdr:txBody>
    </xdr:sp>
    <xdr:clientData/>
  </xdr:twoCellAnchor>
  <xdr:twoCellAnchor editAs="oneCell">
    <xdr:from>
      <xdr:col>32</xdr:col>
      <xdr:colOff>47624</xdr:colOff>
      <xdr:row>11</xdr:row>
      <xdr:rowOff>187324</xdr:rowOff>
    </xdr:from>
    <xdr:to>
      <xdr:col>32</xdr:col>
      <xdr:colOff>238124</xdr:colOff>
      <xdr:row>12</xdr:row>
      <xdr:rowOff>187324</xdr:rowOff>
    </xdr:to>
    <xdr:sp macro="" textlink="">
      <xdr:nvSpPr>
        <xdr:cNvPr id="41" name="Ellips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12268199" y="20065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43</a:t>
          </a:r>
        </a:p>
      </xdr:txBody>
    </xdr:sp>
    <xdr:clientData/>
  </xdr:twoCellAnchor>
  <xdr:twoCellAnchor editAs="oneCell">
    <xdr:from>
      <xdr:col>32</xdr:col>
      <xdr:colOff>47624</xdr:colOff>
      <xdr:row>12</xdr:row>
      <xdr:rowOff>187324</xdr:rowOff>
    </xdr:from>
    <xdr:to>
      <xdr:col>32</xdr:col>
      <xdr:colOff>238124</xdr:colOff>
      <xdr:row>13</xdr:row>
      <xdr:rowOff>187324</xdr:rowOff>
    </xdr:to>
    <xdr:sp macro="" textlink="">
      <xdr:nvSpPr>
        <xdr:cNvPr id="42" name="Ellipse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12268199" y="21970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44</a:t>
          </a:r>
        </a:p>
      </xdr:txBody>
    </xdr:sp>
    <xdr:clientData/>
  </xdr:twoCellAnchor>
  <xdr:twoCellAnchor editAs="oneCell">
    <xdr:from>
      <xdr:col>32</xdr:col>
      <xdr:colOff>47624</xdr:colOff>
      <xdr:row>13</xdr:row>
      <xdr:rowOff>187324</xdr:rowOff>
    </xdr:from>
    <xdr:to>
      <xdr:col>32</xdr:col>
      <xdr:colOff>238124</xdr:colOff>
      <xdr:row>14</xdr:row>
      <xdr:rowOff>187324</xdr:rowOff>
    </xdr:to>
    <xdr:sp macro="" textlink="">
      <xdr:nvSpPr>
        <xdr:cNvPr id="43" name="Ellipse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12268199" y="23875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45</a:t>
          </a:r>
        </a:p>
      </xdr:txBody>
    </xdr:sp>
    <xdr:clientData/>
  </xdr:twoCellAnchor>
  <xdr:twoCellAnchor editAs="oneCell">
    <xdr:from>
      <xdr:col>32</xdr:col>
      <xdr:colOff>47624</xdr:colOff>
      <xdr:row>14</xdr:row>
      <xdr:rowOff>187324</xdr:rowOff>
    </xdr:from>
    <xdr:to>
      <xdr:col>32</xdr:col>
      <xdr:colOff>238124</xdr:colOff>
      <xdr:row>15</xdr:row>
      <xdr:rowOff>187324</xdr:rowOff>
    </xdr:to>
    <xdr:sp macro="" textlink="">
      <xdr:nvSpPr>
        <xdr:cNvPr id="44" name="Ellips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12268199" y="25780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46</a:t>
          </a:r>
        </a:p>
      </xdr:txBody>
    </xdr:sp>
    <xdr:clientData/>
  </xdr:twoCellAnchor>
  <xdr:twoCellAnchor editAs="oneCell">
    <xdr:from>
      <xdr:col>32</xdr:col>
      <xdr:colOff>47624</xdr:colOff>
      <xdr:row>15</xdr:row>
      <xdr:rowOff>187324</xdr:rowOff>
    </xdr:from>
    <xdr:to>
      <xdr:col>32</xdr:col>
      <xdr:colOff>238124</xdr:colOff>
      <xdr:row>16</xdr:row>
      <xdr:rowOff>187324</xdr:rowOff>
    </xdr:to>
    <xdr:sp macro="" textlink="">
      <xdr:nvSpPr>
        <xdr:cNvPr id="45" name="Ellips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12268199" y="27685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47</a:t>
          </a:r>
        </a:p>
      </xdr:txBody>
    </xdr:sp>
    <xdr:clientData/>
  </xdr:twoCellAnchor>
  <xdr:twoCellAnchor editAs="oneCell">
    <xdr:from>
      <xdr:col>32</xdr:col>
      <xdr:colOff>47624</xdr:colOff>
      <xdr:row>16</xdr:row>
      <xdr:rowOff>187324</xdr:rowOff>
    </xdr:from>
    <xdr:to>
      <xdr:col>32</xdr:col>
      <xdr:colOff>238124</xdr:colOff>
      <xdr:row>17</xdr:row>
      <xdr:rowOff>187324</xdr:rowOff>
    </xdr:to>
    <xdr:sp macro="" textlink="">
      <xdr:nvSpPr>
        <xdr:cNvPr id="46" name="Ellips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12268199" y="29590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48</a:t>
          </a:r>
        </a:p>
      </xdr:txBody>
    </xdr:sp>
    <xdr:clientData/>
  </xdr:twoCellAnchor>
  <xdr:twoCellAnchor editAs="oneCell">
    <xdr:from>
      <xdr:col>32</xdr:col>
      <xdr:colOff>47624</xdr:colOff>
      <xdr:row>17</xdr:row>
      <xdr:rowOff>187324</xdr:rowOff>
    </xdr:from>
    <xdr:to>
      <xdr:col>32</xdr:col>
      <xdr:colOff>238124</xdr:colOff>
      <xdr:row>18</xdr:row>
      <xdr:rowOff>187324</xdr:rowOff>
    </xdr:to>
    <xdr:sp macro="" textlink="">
      <xdr:nvSpPr>
        <xdr:cNvPr id="47" name="Ellipse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12268199" y="31495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49</a:t>
          </a:r>
        </a:p>
      </xdr:txBody>
    </xdr:sp>
    <xdr:clientData/>
  </xdr:twoCellAnchor>
  <xdr:twoCellAnchor editAs="oneCell">
    <xdr:from>
      <xdr:col>30</xdr:col>
      <xdr:colOff>153893</xdr:colOff>
      <xdr:row>8</xdr:row>
      <xdr:rowOff>150345</xdr:rowOff>
    </xdr:from>
    <xdr:to>
      <xdr:col>31</xdr:col>
      <xdr:colOff>96743</xdr:colOff>
      <xdr:row>9</xdr:row>
      <xdr:rowOff>150345</xdr:rowOff>
    </xdr:to>
    <xdr:sp macro="" textlink="">
      <xdr:nvSpPr>
        <xdr:cNvPr id="48" name="Ellips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11875246" y="1775198"/>
          <a:ext cx="189379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30</a:t>
          </a:r>
        </a:p>
      </xdr:txBody>
    </xdr:sp>
    <xdr:clientData/>
  </xdr:twoCellAnchor>
  <xdr:twoCellAnchor editAs="oneCell">
    <xdr:from>
      <xdr:col>30</xdr:col>
      <xdr:colOff>165099</xdr:colOff>
      <xdr:row>10</xdr:row>
      <xdr:rowOff>15874</xdr:rowOff>
    </xdr:from>
    <xdr:to>
      <xdr:col>31</xdr:col>
      <xdr:colOff>107949</xdr:colOff>
      <xdr:row>11</xdr:row>
      <xdr:rowOff>15874</xdr:rowOff>
    </xdr:to>
    <xdr:sp macro="" textlink="">
      <xdr:nvSpPr>
        <xdr:cNvPr id="49" name="Ellips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11890374" y="16446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31</a:t>
          </a:r>
        </a:p>
      </xdr:txBody>
    </xdr:sp>
    <xdr:clientData/>
  </xdr:twoCellAnchor>
  <xdr:twoCellAnchor editAs="oneCell">
    <xdr:from>
      <xdr:col>30</xdr:col>
      <xdr:colOff>165099</xdr:colOff>
      <xdr:row>11</xdr:row>
      <xdr:rowOff>15874</xdr:rowOff>
    </xdr:from>
    <xdr:to>
      <xdr:col>31</xdr:col>
      <xdr:colOff>107949</xdr:colOff>
      <xdr:row>12</xdr:row>
      <xdr:rowOff>15874</xdr:rowOff>
    </xdr:to>
    <xdr:sp macro="" textlink="">
      <xdr:nvSpPr>
        <xdr:cNvPr id="50" name="Ellipse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11890374" y="18351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32</a:t>
          </a:r>
        </a:p>
      </xdr:txBody>
    </xdr:sp>
    <xdr:clientData/>
  </xdr:twoCellAnchor>
  <xdr:twoCellAnchor editAs="oneCell">
    <xdr:from>
      <xdr:col>30</xdr:col>
      <xdr:colOff>165099</xdr:colOff>
      <xdr:row>12</xdr:row>
      <xdr:rowOff>15874</xdr:rowOff>
    </xdr:from>
    <xdr:to>
      <xdr:col>31</xdr:col>
      <xdr:colOff>107949</xdr:colOff>
      <xdr:row>13</xdr:row>
      <xdr:rowOff>15874</xdr:rowOff>
    </xdr:to>
    <xdr:sp macro="" textlink="">
      <xdr:nvSpPr>
        <xdr:cNvPr id="51" name="Ellipse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11890374" y="20256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33</a:t>
          </a:r>
        </a:p>
      </xdr:txBody>
    </xdr:sp>
    <xdr:clientData/>
  </xdr:twoCellAnchor>
  <xdr:twoCellAnchor editAs="oneCell">
    <xdr:from>
      <xdr:col>34</xdr:col>
      <xdr:colOff>152400</xdr:colOff>
      <xdr:row>7</xdr:row>
      <xdr:rowOff>9525</xdr:rowOff>
    </xdr:from>
    <xdr:to>
      <xdr:col>35</xdr:col>
      <xdr:colOff>95250</xdr:colOff>
      <xdr:row>8</xdr:row>
      <xdr:rowOff>9525</xdr:rowOff>
    </xdr:to>
    <xdr:sp macro="" textlink="">
      <xdr:nvSpPr>
        <xdr:cNvPr id="52" name="Ellips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12868275" y="14478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A</a:t>
          </a:r>
        </a:p>
      </xdr:txBody>
    </xdr:sp>
    <xdr:clientData/>
  </xdr:twoCellAnchor>
  <xdr:twoCellAnchor editAs="oneCell">
    <xdr:from>
      <xdr:col>34</xdr:col>
      <xdr:colOff>152400</xdr:colOff>
      <xdr:row>10</xdr:row>
      <xdr:rowOff>9525</xdr:rowOff>
    </xdr:from>
    <xdr:to>
      <xdr:col>35</xdr:col>
      <xdr:colOff>95250</xdr:colOff>
      <xdr:row>11</xdr:row>
      <xdr:rowOff>9525</xdr:rowOff>
    </xdr:to>
    <xdr:sp macro="" textlink="">
      <xdr:nvSpPr>
        <xdr:cNvPr id="53" name="Ellips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12868275" y="16383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B</a:t>
          </a:r>
        </a:p>
      </xdr:txBody>
    </xdr:sp>
    <xdr:clientData/>
  </xdr:twoCellAnchor>
  <xdr:twoCellAnchor editAs="oneCell">
    <xdr:from>
      <xdr:col>34</xdr:col>
      <xdr:colOff>152400</xdr:colOff>
      <xdr:row>11</xdr:row>
      <xdr:rowOff>9525</xdr:rowOff>
    </xdr:from>
    <xdr:to>
      <xdr:col>35</xdr:col>
      <xdr:colOff>95250</xdr:colOff>
      <xdr:row>12</xdr:row>
      <xdr:rowOff>9525</xdr:rowOff>
    </xdr:to>
    <xdr:sp macro="" textlink="">
      <xdr:nvSpPr>
        <xdr:cNvPr id="54" name="Ellipse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12868275" y="18288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C</a:t>
          </a:r>
        </a:p>
      </xdr:txBody>
    </xdr:sp>
    <xdr:clientData/>
  </xdr:twoCellAnchor>
  <xdr:twoCellAnchor editAs="oneCell">
    <xdr:from>
      <xdr:col>34</xdr:col>
      <xdr:colOff>152400</xdr:colOff>
      <xdr:row>12</xdr:row>
      <xdr:rowOff>9525</xdr:rowOff>
    </xdr:from>
    <xdr:to>
      <xdr:col>35</xdr:col>
      <xdr:colOff>95250</xdr:colOff>
      <xdr:row>13</xdr:row>
      <xdr:rowOff>9525</xdr:rowOff>
    </xdr:to>
    <xdr:sp macro="" textlink="">
      <xdr:nvSpPr>
        <xdr:cNvPr id="55" name="Ellipse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12868275" y="20193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D</a:t>
          </a:r>
        </a:p>
      </xdr:txBody>
    </xdr:sp>
    <xdr:clientData/>
  </xdr:twoCellAnchor>
  <xdr:twoCellAnchor editAs="oneCell">
    <xdr:from>
      <xdr:col>34</xdr:col>
      <xdr:colOff>152400</xdr:colOff>
      <xdr:row>13</xdr:row>
      <xdr:rowOff>9525</xdr:rowOff>
    </xdr:from>
    <xdr:to>
      <xdr:col>35</xdr:col>
      <xdr:colOff>95250</xdr:colOff>
      <xdr:row>14</xdr:row>
      <xdr:rowOff>9525</xdr:rowOff>
    </xdr:to>
    <xdr:sp macro="" textlink="">
      <xdr:nvSpPr>
        <xdr:cNvPr id="56" name="Ellips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12868275" y="22098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E</a:t>
          </a:r>
        </a:p>
      </xdr:txBody>
    </xdr:sp>
    <xdr:clientData/>
  </xdr:twoCellAnchor>
  <xdr:twoCellAnchor editAs="oneCell">
    <xdr:from>
      <xdr:col>34</xdr:col>
      <xdr:colOff>152400</xdr:colOff>
      <xdr:row>14</xdr:row>
      <xdr:rowOff>9525</xdr:rowOff>
    </xdr:from>
    <xdr:to>
      <xdr:col>35</xdr:col>
      <xdr:colOff>95250</xdr:colOff>
      <xdr:row>15</xdr:row>
      <xdr:rowOff>9525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12868275" y="24003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F</a:t>
          </a:r>
        </a:p>
      </xdr:txBody>
    </xdr:sp>
    <xdr:clientData/>
  </xdr:twoCellAnchor>
  <xdr:twoCellAnchor editAs="oneCell">
    <xdr:from>
      <xdr:col>34</xdr:col>
      <xdr:colOff>152400</xdr:colOff>
      <xdr:row>15</xdr:row>
      <xdr:rowOff>9525</xdr:rowOff>
    </xdr:from>
    <xdr:to>
      <xdr:col>35</xdr:col>
      <xdr:colOff>95250</xdr:colOff>
      <xdr:row>16</xdr:row>
      <xdr:rowOff>9525</xdr:rowOff>
    </xdr:to>
    <xdr:sp macro="" textlink="">
      <xdr:nvSpPr>
        <xdr:cNvPr id="58" name="Ellipse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12868275" y="25908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G</a:t>
          </a:r>
        </a:p>
      </xdr:txBody>
    </xdr:sp>
    <xdr:clientData/>
  </xdr:twoCellAnchor>
  <xdr:twoCellAnchor editAs="oneCell">
    <xdr:from>
      <xdr:col>34</xdr:col>
      <xdr:colOff>152400</xdr:colOff>
      <xdr:row>16</xdr:row>
      <xdr:rowOff>9525</xdr:rowOff>
    </xdr:from>
    <xdr:to>
      <xdr:col>35</xdr:col>
      <xdr:colOff>95250</xdr:colOff>
      <xdr:row>17</xdr:row>
      <xdr:rowOff>9525</xdr:rowOff>
    </xdr:to>
    <xdr:sp macro="" textlink="">
      <xdr:nvSpPr>
        <xdr:cNvPr id="59" name="Ellipse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12868275" y="27813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H</a:t>
          </a:r>
        </a:p>
      </xdr:txBody>
    </xdr:sp>
    <xdr:clientData/>
  </xdr:twoCellAnchor>
  <xdr:twoCellAnchor editAs="oneCell">
    <xdr:from>
      <xdr:col>34</xdr:col>
      <xdr:colOff>152400</xdr:colOff>
      <xdr:row>17</xdr:row>
      <xdr:rowOff>9525</xdr:rowOff>
    </xdr:from>
    <xdr:to>
      <xdr:col>35</xdr:col>
      <xdr:colOff>95250</xdr:colOff>
      <xdr:row>18</xdr:row>
      <xdr:rowOff>9525</xdr:rowOff>
    </xdr:to>
    <xdr:sp macro="" textlink="">
      <xdr:nvSpPr>
        <xdr:cNvPr id="60" name="Ellipse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12868275" y="29718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I</a:t>
          </a:r>
        </a:p>
      </xdr:txBody>
    </xdr:sp>
    <xdr:clientData/>
  </xdr:twoCellAnchor>
  <xdr:twoCellAnchor editAs="oneCell">
    <xdr:from>
      <xdr:col>0</xdr:col>
      <xdr:colOff>481853</xdr:colOff>
      <xdr:row>0</xdr:row>
      <xdr:rowOff>134470</xdr:rowOff>
    </xdr:from>
    <xdr:to>
      <xdr:col>4</xdr:col>
      <xdr:colOff>319489</xdr:colOff>
      <xdr:row>2</xdr:row>
      <xdr:rowOff>172118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481853" y="134470"/>
          <a:ext cx="1182342" cy="4853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50799</xdr:colOff>
      <xdr:row>6</xdr:row>
      <xdr:rowOff>6349</xdr:rowOff>
    </xdr:from>
    <xdr:to>
      <xdr:col>22</xdr:col>
      <xdr:colOff>241299</xdr:colOff>
      <xdr:row>7</xdr:row>
      <xdr:rowOff>34924</xdr:rowOff>
    </xdr:to>
    <xdr:sp macro="" textlink="">
      <xdr:nvSpPr>
        <xdr:cNvPr id="2" name="Ellips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9947274" y="14827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</a:t>
          </a:r>
        </a:p>
      </xdr:txBody>
    </xdr:sp>
    <xdr:clientData/>
  </xdr:twoCellAnchor>
  <xdr:twoCellAnchor editAs="oneCell">
    <xdr:from>
      <xdr:col>22</xdr:col>
      <xdr:colOff>50799</xdr:colOff>
      <xdr:row>7</xdr:row>
      <xdr:rowOff>6349</xdr:rowOff>
    </xdr:from>
    <xdr:to>
      <xdr:col>22</xdr:col>
      <xdr:colOff>241299</xdr:colOff>
      <xdr:row>8</xdr:row>
      <xdr:rowOff>34924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9947274" y="16732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</a:t>
          </a:r>
        </a:p>
      </xdr:txBody>
    </xdr:sp>
    <xdr:clientData/>
  </xdr:twoCellAnchor>
  <xdr:twoCellAnchor editAs="oneCell">
    <xdr:from>
      <xdr:col>22</xdr:col>
      <xdr:colOff>50799</xdr:colOff>
      <xdr:row>8</xdr:row>
      <xdr:rowOff>6349</xdr:rowOff>
    </xdr:from>
    <xdr:to>
      <xdr:col>22</xdr:col>
      <xdr:colOff>241299</xdr:colOff>
      <xdr:row>9</xdr:row>
      <xdr:rowOff>34924</xdr:rowOff>
    </xdr:to>
    <xdr:sp macro="" textlink="">
      <xdr:nvSpPr>
        <xdr:cNvPr id="4" name="Ellips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9947274" y="18637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</a:t>
          </a:r>
        </a:p>
      </xdr:txBody>
    </xdr:sp>
    <xdr:clientData/>
  </xdr:twoCellAnchor>
  <xdr:twoCellAnchor editAs="oneCell">
    <xdr:from>
      <xdr:col>22</xdr:col>
      <xdr:colOff>50799</xdr:colOff>
      <xdr:row>9</xdr:row>
      <xdr:rowOff>6349</xdr:rowOff>
    </xdr:from>
    <xdr:to>
      <xdr:col>22</xdr:col>
      <xdr:colOff>241299</xdr:colOff>
      <xdr:row>10</xdr:row>
      <xdr:rowOff>34924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9947274" y="20542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</a:t>
          </a:r>
        </a:p>
      </xdr:txBody>
    </xdr:sp>
    <xdr:clientData/>
  </xdr:twoCellAnchor>
  <xdr:twoCellAnchor editAs="oneCell">
    <xdr:from>
      <xdr:col>22</xdr:col>
      <xdr:colOff>50799</xdr:colOff>
      <xdr:row>10</xdr:row>
      <xdr:rowOff>6349</xdr:rowOff>
    </xdr:from>
    <xdr:to>
      <xdr:col>22</xdr:col>
      <xdr:colOff>241299</xdr:colOff>
      <xdr:row>11</xdr:row>
      <xdr:rowOff>34924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9947274" y="22447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5</a:t>
          </a:r>
        </a:p>
      </xdr:txBody>
    </xdr:sp>
    <xdr:clientData/>
  </xdr:twoCellAnchor>
  <xdr:twoCellAnchor editAs="oneCell">
    <xdr:from>
      <xdr:col>22</xdr:col>
      <xdr:colOff>50799</xdr:colOff>
      <xdr:row>11</xdr:row>
      <xdr:rowOff>6349</xdr:rowOff>
    </xdr:from>
    <xdr:to>
      <xdr:col>22</xdr:col>
      <xdr:colOff>241299</xdr:colOff>
      <xdr:row>12</xdr:row>
      <xdr:rowOff>34924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9947274" y="24352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6</a:t>
          </a:r>
        </a:p>
      </xdr:txBody>
    </xdr:sp>
    <xdr:clientData/>
  </xdr:twoCellAnchor>
  <xdr:twoCellAnchor editAs="oneCell">
    <xdr:from>
      <xdr:col>22</xdr:col>
      <xdr:colOff>50799</xdr:colOff>
      <xdr:row>12</xdr:row>
      <xdr:rowOff>6349</xdr:rowOff>
    </xdr:from>
    <xdr:to>
      <xdr:col>22</xdr:col>
      <xdr:colOff>241299</xdr:colOff>
      <xdr:row>13</xdr:row>
      <xdr:rowOff>34924</xdr:rowOff>
    </xdr:to>
    <xdr:sp macro="" textlink="">
      <xdr:nvSpPr>
        <xdr:cNvPr id="8" name="Ellips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9947274" y="26257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7</a:t>
          </a:r>
        </a:p>
      </xdr:txBody>
    </xdr:sp>
    <xdr:clientData/>
  </xdr:twoCellAnchor>
  <xdr:twoCellAnchor editAs="oneCell">
    <xdr:from>
      <xdr:col>22</xdr:col>
      <xdr:colOff>50799</xdr:colOff>
      <xdr:row>13</xdr:row>
      <xdr:rowOff>6349</xdr:rowOff>
    </xdr:from>
    <xdr:to>
      <xdr:col>22</xdr:col>
      <xdr:colOff>241299</xdr:colOff>
      <xdr:row>14</xdr:row>
      <xdr:rowOff>34924</xdr:rowOff>
    </xdr:to>
    <xdr:sp macro="" textlink="">
      <xdr:nvSpPr>
        <xdr:cNvPr id="9" name="Ellips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9947274" y="28162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8</a:t>
          </a:r>
        </a:p>
      </xdr:txBody>
    </xdr:sp>
    <xdr:clientData/>
  </xdr:twoCellAnchor>
  <xdr:twoCellAnchor editAs="oneCell">
    <xdr:from>
      <xdr:col>22</xdr:col>
      <xdr:colOff>50799</xdr:colOff>
      <xdr:row>14</xdr:row>
      <xdr:rowOff>6349</xdr:rowOff>
    </xdr:from>
    <xdr:to>
      <xdr:col>22</xdr:col>
      <xdr:colOff>241299</xdr:colOff>
      <xdr:row>15</xdr:row>
      <xdr:rowOff>34924</xdr:rowOff>
    </xdr:to>
    <xdr:sp macro="" textlink="">
      <xdr:nvSpPr>
        <xdr:cNvPr id="10" name="Ellips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9947274" y="30067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9</a:t>
          </a:r>
        </a:p>
      </xdr:txBody>
    </xdr:sp>
    <xdr:clientData/>
  </xdr:twoCellAnchor>
  <xdr:twoCellAnchor editAs="oneCell">
    <xdr:from>
      <xdr:col>23</xdr:col>
      <xdr:colOff>165099</xdr:colOff>
      <xdr:row>5</xdr:row>
      <xdr:rowOff>187324</xdr:rowOff>
    </xdr:from>
    <xdr:to>
      <xdr:col>24</xdr:col>
      <xdr:colOff>107949</xdr:colOff>
      <xdr:row>7</xdr:row>
      <xdr:rowOff>25399</xdr:rowOff>
    </xdr:to>
    <xdr:sp macro="" textlink="">
      <xdr:nvSpPr>
        <xdr:cNvPr id="11" name="Ellips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10309224" y="14731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10</a:t>
          </a:r>
        </a:p>
      </xdr:txBody>
    </xdr:sp>
    <xdr:clientData/>
  </xdr:twoCellAnchor>
  <xdr:twoCellAnchor editAs="oneCell">
    <xdr:from>
      <xdr:col>23</xdr:col>
      <xdr:colOff>165099</xdr:colOff>
      <xdr:row>6</xdr:row>
      <xdr:rowOff>187324</xdr:rowOff>
    </xdr:from>
    <xdr:to>
      <xdr:col>24</xdr:col>
      <xdr:colOff>107949</xdr:colOff>
      <xdr:row>8</xdr:row>
      <xdr:rowOff>25399</xdr:rowOff>
    </xdr:to>
    <xdr:sp macro="" textlink="">
      <xdr:nvSpPr>
        <xdr:cNvPr id="12" name="Ellips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10309224" y="16636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11</a:t>
          </a:r>
        </a:p>
      </xdr:txBody>
    </xdr:sp>
    <xdr:clientData/>
  </xdr:twoCellAnchor>
  <xdr:twoCellAnchor editAs="oneCell">
    <xdr:from>
      <xdr:col>23</xdr:col>
      <xdr:colOff>165099</xdr:colOff>
      <xdr:row>7</xdr:row>
      <xdr:rowOff>187324</xdr:rowOff>
    </xdr:from>
    <xdr:to>
      <xdr:col>24</xdr:col>
      <xdr:colOff>107949</xdr:colOff>
      <xdr:row>9</xdr:row>
      <xdr:rowOff>25399</xdr:rowOff>
    </xdr:to>
    <xdr:sp macro="" textlink="">
      <xdr:nvSpPr>
        <xdr:cNvPr id="13" name="Ellips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10309224" y="18541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12</a:t>
          </a:r>
        </a:p>
      </xdr:txBody>
    </xdr:sp>
    <xdr:clientData/>
  </xdr:twoCellAnchor>
  <xdr:twoCellAnchor editAs="oneCell">
    <xdr:from>
      <xdr:col>23</xdr:col>
      <xdr:colOff>165099</xdr:colOff>
      <xdr:row>8</xdr:row>
      <xdr:rowOff>187324</xdr:rowOff>
    </xdr:from>
    <xdr:to>
      <xdr:col>24</xdr:col>
      <xdr:colOff>107949</xdr:colOff>
      <xdr:row>10</xdr:row>
      <xdr:rowOff>25399</xdr:rowOff>
    </xdr:to>
    <xdr:sp macro="" textlink="">
      <xdr:nvSpPr>
        <xdr:cNvPr id="14" name="Ellips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10309224" y="20446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13</a:t>
          </a:r>
        </a:p>
      </xdr:txBody>
    </xdr:sp>
    <xdr:clientData/>
  </xdr:twoCellAnchor>
  <xdr:twoCellAnchor editAs="oneCell">
    <xdr:from>
      <xdr:col>23</xdr:col>
      <xdr:colOff>165099</xdr:colOff>
      <xdr:row>9</xdr:row>
      <xdr:rowOff>187324</xdr:rowOff>
    </xdr:from>
    <xdr:to>
      <xdr:col>24</xdr:col>
      <xdr:colOff>107949</xdr:colOff>
      <xdr:row>11</xdr:row>
      <xdr:rowOff>25399</xdr:rowOff>
    </xdr:to>
    <xdr:sp macro="" textlink="">
      <xdr:nvSpPr>
        <xdr:cNvPr id="15" name="Ellips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10309224" y="22351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14</a:t>
          </a:r>
        </a:p>
      </xdr:txBody>
    </xdr:sp>
    <xdr:clientData/>
  </xdr:twoCellAnchor>
  <xdr:twoCellAnchor editAs="oneCell">
    <xdr:from>
      <xdr:col>23</xdr:col>
      <xdr:colOff>165099</xdr:colOff>
      <xdr:row>10</xdr:row>
      <xdr:rowOff>187324</xdr:rowOff>
    </xdr:from>
    <xdr:to>
      <xdr:col>24</xdr:col>
      <xdr:colOff>107949</xdr:colOff>
      <xdr:row>12</xdr:row>
      <xdr:rowOff>25399</xdr:rowOff>
    </xdr:to>
    <xdr:sp macro="" textlink="">
      <xdr:nvSpPr>
        <xdr:cNvPr id="16" name="Ellips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 bwMode="auto">
        <a:xfrm>
          <a:off x="10309224" y="24256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15</a:t>
          </a:r>
        </a:p>
      </xdr:txBody>
    </xdr:sp>
    <xdr:clientData/>
  </xdr:twoCellAnchor>
  <xdr:twoCellAnchor editAs="oneCell">
    <xdr:from>
      <xdr:col>23</xdr:col>
      <xdr:colOff>165099</xdr:colOff>
      <xdr:row>11</xdr:row>
      <xdr:rowOff>187324</xdr:rowOff>
    </xdr:from>
    <xdr:to>
      <xdr:col>24</xdr:col>
      <xdr:colOff>107949</xdr:colOff>
      <xdr:row>13</xdr:row>
      <xdr:rowOff>25399</xdr:rowOff>
    </xdr:to>
    <xdr:sp macro="" textlink="">
      <xdr:nvSpPr>
        <xdr:cNvPr id="17" name="Ellips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 bwMode="auto">
        <a:xfrm>
          <a:off x="10309224" y="26161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16</a:t>
          </a:r>
        </a:p>
      </xdr:txBody>
    </xdr:sp>
    <xdr:clientData/>
  </xdr:twoCellAnchor>
  <xdr:twoCellAnchor editAs="oneCell">
    <xdr:from>
      <xdr:col>23</xdr:col>
      <xdr:colOff>165099</xdr:colOff>
      <xdr:row>12</xdr:row>
      <xdr:rowOff>187324</xdr:rowOff>
    </xdr:from>
    <xdr:to>
      <xdr:col>24</xdr:col>
      <xdr:colOff>107949</xdr:colOff>
      <xdr:row>14</xdr:row>
      <xdr:rowOff>25399</xdr:rowOff>
    </xdr:to>
    <xdr:sp macro="" textlink="">
      <xdr:nvSpPr>
        <xdr:cNvPr id="18" name="Ellips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 bwMode="auto">
        <a:xfrm>
          <a:off x="10309224" y="28066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17</a:t>
          </a:r>
        </a:p>
      </xdr:txBody>
    </xdr:sp>
    <xdr:clientData/>
  </xdr:twoCellAnchor>
  <xdr:twoCellAnchor editAs="oneCell">
    <xdr:from>
      <xdr:col>23</xdr:col>
      <xdr:colOff>165099</xdr:colOff>
      <xdr:row>13</xdr:row>
      <xdr:rowOff>187324</xdr:rowOff>
    </xdr:from>
    <xdr:to>
      <xdr:col>24</xdr:col>
      <xdr:colOff>107949</xdr:colOff>
      <xdr:row>15</xdr:row>
      <xdr:rowOff>25399</xdr:rowOff>
    </xdr:to>
    <xdr:sp macro="" textlink="">
      <xdr:nvSpPr>
        <xdr:cNvPr id="19" name="Ellips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 bwMode="auto">
        <a:xfrm>
          <a:off x="10309224" y="29971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18</a:t>
          </a:r>
        </a:p>
      </xdr:txBody>
    </xdr:sp>
    <xdr:clientData/>
  </xdr:twoCellAnchor>
  <xdr:twoCellAnchor editAs="oneCell">
    <xdr:from>
      <xdr:col>23</xdr:col>
      <xdr:colOff>165099</xdr:colOff>
      <xdr:row>14</xdr:row>
      <xdr:rowOff>187324</xdr:rowOff>
    </xdr:from>
    <xdr:to>
      <xdr:col>24</xdr:col>
      <xdr:colOff>107949</xdr:colOff>
      <xdr:row>16</xdr:row>
      <xdr:rowOff>25399</xdr:rowOff>
    </xdr:to>
    <xdr:sp macro="" textlink="">
      <xdr:nvSpPr>
        <xdr:cNvPr id="20" name="Ellips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 bwMode="auto">
        <a:xfrm>
          <a:off x="10309224" y="31876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19</a:t>
          </a:r>
        </a:p>
      </xdr:txBody>
    </xdr:sp>
    <xdr:clientData/>
  </xdr:twoCellAnchor>
  <xdr:twoCellAnchor editAs="oneCell">
    <xdr:from>
      <xdr:col>25</xdr:col>
      <xdr:colOff>47624</xdr:colOff>
      <xdr:row>6</xdr:row>
      <xdr:rowOff>6349</xdr:rowOff>
    </xdr:from>
    <xdr:to>
      <xdr:col>25</xdr:col>
      <xdr:colOff>238124</xdr:colOff>
      <xdr:row>7</xdr:row>
      <xdr:rowOff>34924</xdr:rowOff>
    </xdr:to>
    <xdr:sp macro="" textlink="">
      <xdr:nvSpPr>
        <xdr:cNvPr id="21" name="Ellips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 bwMode="auto">
        <a:xfrm>
          <a:off x="10687049" y="14827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20</a:t>
          </a:r>
        </a:p>
      </xdr:txBody>
    </xdr:sp>
    <xdr:clientData/>
  </xdr:twoCellAnchor>
  <xdr:twoCellAnchor editAs="oneCell">
    <xdr:from>
      <xdr:col>25</xdr:col>
      <xdr:colOff>47624</xdr:colOff>
      <xdr:row>7</xdr:row>
      <xdr:rowOff>6349</xdr:rowOff>
    </xdr:from>
    <xdr:to>
      <xdr:col>25</xdr:col>
      <xdr:colOff>238124</xdr:colOff>
      <xdr:row>8</xdr:row>
      <xdr:rowOff>34924</xdr:rowOff>
    </xdr:to>
    <xdr:sp macro="" textlink="">
      <xdr:nvSpPr>
        <xdr:cNvPr id="22" name="Ellips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 bwMode="auto">
        <a:xfrm>
          <a:off x="10687049" y="16732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21</a:t>
          </a:r>
        </a:p>
      </xdr:txBody>
    </xdr:sp>
    <xdr:clientData/>
  </xdr:twoCellAnchor>
  <xdr:twoCellAnchor editAs="oneCell">
    <xdr:from>
      <xdr:col>25</xdr:col>
      <xdr:colOff>47624</xdr:colOff>
      <xdr:row>8</xdr:row>
      <xdr:rowOff>6349</xdr:rowOff>
    </xdr:from>
    <xdr:to>
      <xdr:col>25</xdr:col>
      <xdr:colOff>238124</xdr:colOff>
      <xdr:row>9</xdr:row>
      <xdr:rowOff>34924</xdr:rowOff>
    </xdr:to>
    <xdr:sp macro="" textlink="">
      <xdr:nvSpPr>
        <xdr:cNvPr id="23" name="Ellips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10687049" y="18637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22</a:t>
          </a:r>
        </a:p>
      </xdr:txBody>
    </xdr:sp>
    <xdr:clientData/>
  </xdr:twoCellAnchor>
  <xdr:twoCellAnchor editAs="oneCell">
    <xdr:from>
      <xdr:col>25</xdr:col>
      <xdr:colOff>47624</xdr:colOff>
      <xdr:row>9</xdr:row>
      <xdr:rowOff>6349</xdr:rowOff>
    </xdr:from>
    <xdr:to>
      <xdr:col>25</xdr:col>
      <xdr:colOff>238124</xdr:colOff>
      <xdr:row>10</xdr:row>
      <xdr:rowOff>34924</xdr:rowOff>
    </xdr:to>
    <xdr:sp macro="" textlink="">
      <xdr:nvSpPr>
        <xdr:cNvPr id="24" name="Ellips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10687049" y="20542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23</a:t>
          </a:r>
        </a:p>
      </xdr:txBody>
    </xdr:sp>
    <xdr:clientData/>
  </xdr:twoCellAnchor>
  <xdr:twoCellAnchor editAs="oneCell">
    <xdr:from>
      <xdr:col>25</xdr:col>
      <xdr:colOff>47624</xdr:colOff>
      <xdr:row>10</xdr:row>
      <xdr:rowOff>6349</xdr:rowOff>
    </xdr:from>
    <xdr:to>
      <xdr:col>25</xdr:col>
      <xdr:colOff>238124</xdr:colOff>
      <xdr:row>11</xdr:row>
      <xdr:rowOff>34924</xdr:rowOff>
    </xdr:to>
    <xdr:sp macro="" textlink="">
      <xdr:nvSpPr>
        <xdr:cNvPr id="25" name="Ellips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 bwMode="auto">
        <a:xfrm>
          <a:off x="10687049" y="22447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24</a:t>
          </a:r>
        </a:p>
      </xdr:txBody>
    </xdr:sp>
    <xdr:clientData/>
  </xdr:twoCellAnchor>
  <xdr:twoCellAnchor editAs="oneCell">
    <xdr:from>
      <xdr:col>25</xdr:col>
      <xdr:colOff>47624</xdr:colOff>
      <xdr:row>11</xdr:row>
      <xdr:rowOff>6349</xdr:rowOff>
    </xdr:from>
    <xdr:to>
      <xdr:col>25</xdr:col>
      <xdr:colOff>238124</xdr:colOff>
      <xdr:row>12</xdr:row>
      <xdr:rowOff>34924</xdr:rowOff>
    </xdr:to>
    <xdr:sp macro="" textlink="">
      <xdr:nvSpPr>
        <xdr:cNvPr id="26" name="Ellips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10687049" y="24352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25</a:t>
          </a:r>
        </a:p>
      </xdr:txBody>
    </xdr:sp>
    <xdr:clientData/>
  </xdr:twoCellAnchor>
  <xdr:twoCellAnchor editAs="oneCell">
    <xdr:from>
      <xdr:col>25</xdr:col>
      <xdr:colOff>47624</xdr:colOff>
      <xdr:row>12</xdr:row>
      <xdr:rowOff>6349</xdr:rowOff>
    </xdr:from>
    <xdr:to>
      <xdr:col>25</xdr:col>
      <xdr:colOff>238124</xdr:colOff>
      <xdr:row>13</xdr:row>
      <xdr:rowOff>34924</xdr:rowOff>
    </xdr:to>
    <xdr:sp macro="" textlink="">
      <xdr:nvSpPr>
        <xdr:cNvPr id="27" name="Ellips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10687049" y="26257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26</a:t>
          </a:r>
        </a:p>
      </xdr:txBody>
    </xdr:sp>
    <xdr:clientData/>
  </xdr:twoCellAnchor>
  <xdr:twoCellAnchor editAs="oneCell">
    <xdr:from>
      <xdr:col>25</xdr:col>
      <xdr:colOff>47624</xdr:colOff>
      <xdr:row>13</xdr:row>
      <xdr:rowOff>6349</xdr:rowOff>
    </xdr:from>
    <xdr:to>
      <xdr:col>25</xdr:col>
      <xdr:colOff>238124</xdr:colOff>
      <xdr:row>14</xdr:row>
      <xdr:rowOff>34924</xdr:rowOff>
    </xdr:to>
    <xdr:sp macro="" textlink="">
      <xdr:nvSpPr>
        <xdr:cNvPr id="28" name="Ellips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10687049" y="28162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27</a:t>
          </a:r>
        </a:p>
      </xdr:txBody>
    </xdr:sp>
    <xdr:clientData/>
  </xdr:twoCellAnchor>
  <xdr:twoCellAnchor editAs="oneCell">
    <xdr:from>
      <xdr:col>25</xdr:col>
      <xdr:colOff>47624</xdr:colOff>
      <xdr:row>14</xdr:row>
      <xdr:rowOff>6349</xdr:rowOff>
    </xdr:from>
    <xdr:to>
      <xdr:col>25</xdr:col>
      <xdr:colOff>238124</xdr:colOff>
      <xdr:row>15</xdr:row>
      <xdr:rowOff>34924</xdr:rowOff>
    </xdr:to>
    <xdr:sp macro="" textlink="">
      <xdr:nvSpPr>
        <xdr:cNvPr id="29" name="Ellips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 bwMode="auto">
        <a:xfrm>
          <a:off x="10687049" y="30067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28</a:t>
          </a:r>
        </a:p>
      </xdr:txBody>
    </xdr:sp>
    <xdr:clientData/>
  </xdr:twoCellAnchor>
  <xdr:twoCellAnchor editAs="oneCell">
    <xdr:from>
      <xdr:col>25</xdr:col>
      <xdr:colOff>47624</xdr:colOff>
      <xdr:row>15</xdr:row>
      <xdr:rowOff>6349</xdr:rowOff>
    </xdr:from>
    <xdr:to>
      <xdr:col>25</xdr:col>
      <xdr:colOff>238124</xdr:colOff>
      <xdr:row>16</xdr:row>
      <xdr:rowOff>34924</xdr:rowOff>
    </xdr:to>
    <xdr:sp macro="" textlink="">
      <xdr:nvSpPr>
        <xdr:cNvPr id="30" name="Ellips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687049" y="319722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29</a:t>
          </a:r>
        </a:p>
      </xdr:txBody>
    </xdr:sp>
    <xdr:clientData/>
  </xdr:twoCellAnchor>
  <xdr:twoCellAnchor editAs="oneCell">
    <xdr:from>
      <xdr:col>26</xdr:col>
      <xdr:colOff>165099</xdr:colOff>
      <xdr:row>10</xdr:row>
      <xdr:rowOff>15874</xdr:rowOff>
    </xdr:from>
    <xdr:to>
      <xdr:col>27</xdr:col>
      <xdr:colOff>107948</xdr:colOff>
      <xdr:row>11</xdr:row>
      <xdr:rowOff>44449</xdr:rowOff>
    </xdr:to>
    <xdr:sp macro="" textlink="">
      <xdr:nvSpPr>
        <xdr:cNvPr id="31" name="Ellips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 bwMode="auto">
        <a:xfrm>
          <a:off x="11052174" y="22542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34</a:t>
          </a:r>
        </a:p>
      </xdr:txBody>
    </xdr:sp>
    <xdr:clientData/>
  </xdr:twoCellAnchor>
  <xdr:twoCellAnchor editAs="oneCell">
    <xdr:from>
      <xdr:col>26</xdr:col>
      <xdr:colOff>165099</xdr:colOff>
      <xdr:row>11</xdr:row>
      <xdr:rowOff>15874</xdr:rowOff>
    </xdr:from>
    <xdr:to>
      <xdr:col>27</xdr:col>
      <xdr:colOff>107948</xdr:colOff>
      <xdr:row>12</xdr:row>
      <xdr:rowOff>44449</xdr:rowOff>
    </xdr:to>
    <xdr:sp macro="" textlink="">
      <xdr:nvSpPr>
        <xdr:cNvPr id="32" name="Ellips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11052174" y="24447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35</a:t>
          </a:r>
        </a:p>
      </xdr:txBody>
    </xdr:sp>
    <xdr:clientData/>
  </xdr:twoCellAnchor>
  <xdr:twoCellAnchor editAs="oneCell">
    <xdr:from>
      <xdr:col>26</xdr:col>
      <xdr:colOff>165099</xdr:colOff>
      <xdr:row>12</xdr:row>
      <xdr:rowOff>15874</xdr:rowOff>
    </xdr:from>
    <xdr:to>
      <xdr:col>27</xdr:col>
      <xdr:colOff>107948</xdr:colOff>
      <xdr:row>13</xdr:row>
      <xdr:rowOff>44449</xdr:rowOff>
    </xdr:to>
    <xdr:sp macro="" textlink="">
      <xdr:nvSpPr>
        <xdr:cNvPr id="33" name="Ellips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 bwMode="auto">
        <a:xfrm>
          <a:off x="11052174" y="26352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36</a:t>
          </a:r>
        </a:p>
      </xdr:txBody>
    </xdr:sp>
    <xdr:clientData/>
  </xdr:twoCellAnchor>
  <xdr:twoCellAnchor editAs="oneCell">
    <xdr:from>
      <xdr:col>26</xdr:col>
      <xdr:colOff>165099</xdr:colOff>
      <xdr:row>13</xdr:row>
      <xdr:rowOff>15874</xdr:rowOff>
    </xdr:from>
    <xdr:to>
      <xdr:col>27</xdr:col>
      <xdr:colOff>107948</xdr:colOff>
      <xdr:row>14</xdr:row>
      <xdr:rowOff>44449</xdr:rowOff>
    </xdr:to>
    <xdr:sp macro="" textlink="">
      <xdr:nvSpPr>
        <xdr:cNvPr id="34" name="Ellips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11052174" y="28257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37</a:t>
          </a:r>
        </a:p>
      </xdr:txBody>
    </xdr:sp>
    <xdr:clientData/>
  </xdr:twoCellAnchor>
  <xdr:twoCellAnchor editAs="oneCell">
    <xdr:from>
      <xdr:col>26</xdr:col>
      <xdr:colOff>165099</xdr:colOff>
      <xdr:row>14</xdr:row>
      <xdr:rowOff>15874</xdr:rowOff>
    </xdr:from>
    <xdr:to>
      <xdr:col>27</xdr:col>
      <xdr:colOff>107948</xdr:colOff>
      <xdr:row>15</xdr:row>
      <xdr:rowOff>44449</xdr:rowOff>
    </xdr:to>
    <xdr:sp macro="" textlink="">
      <xdr:nvSpPr>
        <xdr:cNvPr id="35" name="Ellips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 bwMode="auto">
        <a:xfrm>
          <a:off x="11052174" y="30162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38</a:t>
          </a:r>
        </a:p>
      </xdr:txBody>
    </xdr:sp>
    <xdr:clientData/>
  </xdr:twoCellAnchor>
  <xdr:twoCellAnchor editAs="oneCell">
    <xdr:from>
      <xdr:col>26</xdr:col>
      <xdr:colOff>165099</xdr:colOff>
      <xdr:row>15</xdr:row>
      <xdr:rowOff>15874</xdr:rowOff>
    </xdr:from>
    <xdr:to>
      <xdr:col>27</xdr:col>
      <xdr:colOff>107948</xdr:colOff>
      <xdr:row>16</xdr:row>
      <xdr:rowOff>44449</xdr:rowOff>
    </xdr:to>
    <xdr:sp macro="" textlink="">
      <xdr:nvSpPr>
        <xdr:cNvPr id="36" name="Ellips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 bwMode="auto">
        <a:xfrm>
          <a:off x="11052174" y="32067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39</a:t>
          </a:r>
        </a:p>
      </xdr:txBody>
    </xdr:sp>
    <xdr:clientData/>
  </xdr:twoCellAnchor>
  <xdr:twoCellAnchor editAs="oneCell">
    <xdr:from>
      <xdr:col>28</xdr:col>
      <xdr:colOff>47624</xdr:colOff>
      <xdr:row>5</xdr:row>
      <xdr:rowOff>187324</xdr:rowOff>
    </xdr:from>
    <xdr:to>
      <xdr:col>28</xdr:col>
      <xdr:colOff>238124</xdr:colOff>
      <xdr:row>7</xdr:row>
      <xdr:rowOff>25399</xdr:rowOff>
    </xdr:to>
    <xdr:sp macro="" textlink="">
      <xdr:nvSpPr>
        <xdr:cNvPr id="37" name="Ellips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 bwMode="auto">
        <a:xfrm>
          <a:off x="11429999" y="14731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40</a:t>
          </a:r>
        </a:p>
      </xdr:txBody>
    </xdr:sp>
    <xdr:clientData/>
  </xdr:twoCellAnchor>
  <xdr:twoCellAnchor editAs="oneCell">
    <xdr:from>
      <xdr:col>28</xdr:col>
      <xdr:colOff>47624</xdr:colOff>
      <xdr:row>6</xdr:row>
      <xdr:rowOff>187324</xdr:rowOff>
    </xdr:from>
    <xdr:to>
      <xdr:col>28</xdr:col>
      <xdr:colOff>238124</xdr:colOff>
      <xdr:row>8</xdr:row>
      <xdr:rowOff>25399</xdr:rowOff>
    </xdr:to>
    <xdr:sp macro="" textlink="">
      <xdr:nvSpPr>
        <xdr:cNvPr id="38" name="Ellips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 bwMode="auto">
        <a:xfrm>
          <a:off x="11429999" y="16636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41</a:t>
          </a:r>
        </a:p>
      </xdr:txBody>
    </xdr:sp>
    <xdr:clientData/>
  </xdr:twoCellAnchor>
  <xdr:twoCellAnchor editAs="oneCell">
    <xdr:from>
      <xdr:col>28</xdr:col>
      <xdr:colOff>47624</xdr:colOff>
      <xdr:row>7</xdr:row>
      <xdr:rowOff>187324</xdr:rowOff>
    </xdr:from>
    <xdr:to>
      <xdr:col>28</xdr:col>
      <xdr:colOff>238124</xdr:colOff>
      <xdr:row>9</xdr:row>
      <xdr:rowOff>25399</xdr:rowOff>
    </xdr:to>
    <xdr:sp macro="" textlink="">
      <xdr:nvSpPr>
        <xdr:cNvPr id="39" name="Ellips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 bwMode="auto">
        <a:xfrm>
          <a:off x="11429999" y="18541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42</a:t>
          </a:r>
        </a:p>
      </xdr:txBody>
    </xdr:sp>
    <xdr:clientData/>
  </xdr:twoCellAnchor>
  <xdr:twoCellAnchor editAs="oneCell">
    <xdr:from>
      <xdr:col>28</xdr:col>
      <xdr:colOff>47624</xdr:colOff>
      <xdr:row>8</xdr:row>
      <xdr:rowOff>187324</xdr:rowOff>
    </xdr:from>
    <xdr:to>
      <xdr:col>28</xdr:col>
      <xdr:colOff>238124</xdr:colOff>
      <xdr:row>10</xdr:row>
      <xdr:rowOff>25399</xdr:rowOff>
    </xdr:to>
    <xdr:sp macro="" textlink="">
      <xdr:nvSpPr>
        <xdr:cNvPr id="40" name="Ellips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 bwMode="auto">
        <a:xfrm>
          <a:off x="11429999" y="20446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43</a:t>
          </a:r>
        </a:p>
      </xdr:txBody>
    </xdr:sp>
    <xdr:clientData/>
  </xdr:twoCellAnchor>
  <xdr:twoCellAnchor editAs="oneCell">
    <xdr:from>
      <xdr:col>28</xdr:col>
      <xdr:colOff>47624</xdr:colOff>
      <xdr:row>9</xdr:row>
      <xdr:rowOff>187324</xdr:rowOff>
    </xdr:from>
    <xdr:to>
      <xdr:col>28</xdr:col>
      <xdr:colOff>238124</xdr:colOff>
      <xdr:row>11</xdr:row>
      <xdr:rowOff>25399</xdr:rowOff>
    </xdr:to>
    <xdr:sp macro="" textlink="">
      <xdr:nvSpPr>
        <xdr:cNvPr id="41" name="Ellips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 bwMode="auto">
        <a:xfrm>
          <a:off x="11429999" y="22351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44</a:t>
          </a:r>
        </a:p>
      </xdr:txBody>
    </xdr:sp>
    <xdr:clientData/>
  </xdr:twoCellAnchor>
  <xdr:twoCellAnchor editAs="oneCell">
    <xdr:from>
      <xdr:col>28</xdr:col>
      <xdr:colOff>47624</xdr:colOff>
      <xdr:row>10</xdr:row>
      <xdr:rowOff>187324</xdr:rowOff>
    </xdr:from>
    <xdr:to>
      <xdr:col>28</xdr:col>
      <xdr:colOff>238124</xdr:colOff>
      <xdr:row>12</xdr:row>
      <xdr:rowOff>25399</xdr:rowOff>
    </xdr:to>
    <xdr:sp macro="" textlink="">
      <xdr:nvSpPr>
        <xdr:cNvPr id="42" name="Ellipse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 bwMode="auto">
        <a:xfrm>
          <a:off x="11429999" y="24256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45</a:t>
          </a:r>
        </a:p>
      </xdr:txBody>
    </xdr:sp>
    <xdr:clientData/>
  </xdr:twoCellAnchor>
  <xdr:twoCellAnchor editAs="oneCell">
    <xdr:from>
      <xdr:col>28</xdr:col>
      <xdr:colOff>47624</xdr:colOff>
      <xdr:row>11</xdr:row>
      <xdr:rowOff>187324</xdr:rowOff>
    </xdr:from>
    <xdr:to>
      <xdr:col>28</xdr:col>
      <xdr:colOff>238124</xdr:colOff>
      <xdr:row>13</xdr:row>
      <xdr:rowOff>25399</xdr:rowOff>
    </xdr:to>
    <xdr:sp macro="" textlink="">
      <xdr:nvSpPr>
        <xdr:cNvPr id="43" name="Ellips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 bwMode="auto">
        <a:xfrm>
          <a:off x="11429999" y="26161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46</a:t>
          </a:r>
        </a:p>
      </xdr:txBody>
    </xdr:sp>
    <xdr:clientData/>
  </xdr:twoCellAnchor>
  <xdr:twoCellAnchor editAs="oneCell">
    <xdr:from>
      <xdr:col>28</xdr:col>
      <xdr:colOff>47624</xdr:colOff>
      <xdr:row>12</xdr:row>
      <xdr:rowOff>187324</xdr:rowOff>
    </xdr:from>
    <xdr:to>
      <xdr:col>28</xdr:col>
      <xdr:colOff>238124</xdr:colOff>
      <xdr:row>14</xdr:row>
      <xdr:rowOff>25399</xdr:rowOff>
    </xdr:to>
    <xdr:sp macro="" textlink="">
      <xdr:nvSpPr>
        <xdr:cNvPr id="44" name="Ellips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 bwMode="auto">
        <a:xfrm>
          <a:off x="11429999" y="28066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47</a:t>
          </a:r>
        </a:p>
      </xdr:txBody>
    </xdr:sp>
    <xdr:clientData/>
  </xdr:twoCellAnchor>
  <xdr:twoCellAnchor editAs="oneCell">
    <xdr:from>
      <xdr:col>28</xdr:col>
      <xdr:colOff>47624</xdr:colOff>
      <xdr:row>13</xdr:row>
      <xdr:rowOff>187324</xdr:rowOff>
    </xdr:from>
    <xdr:to>
      <xdr:col>28</xdr:col>
      <xdr:colOff>238124</xdr:colOff>
      <xdr:row>15</xdr:row>
      <xdr:rowOff>25399</xdr:rowOff>
    </xdr:to>
    <xdr:sp macro="" textlink="">
      <xdr:nvSpPr>
        <xdr:cNvPr id="45" name="Ellips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 bwMode="auto">
        <a:xfrm>
          <a:off x="11429999" y="29971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48</a:t>
          </a:r>
        </a:p>
      </xdr:txBody>
    </xdr:sp>
    <xdr:clientData/>
  </xdr:twoCellAnchor>
  <xdr:twoCellAnchor editAs="oneCell">
    <xdr:from>
      <xdr:col>28</xdr:col>
      <xdr:colOff>47624</xdr:colOff>
      <xdr:row>14</xdr:row>
      <xdr:rowOff>187324</xdr:rowOff>
    </xdr:from>
    <xdr:to>
      <xdr:col>28</xdr:col>
      <xdr:colOff>238124</xdr:colOff>
      <xdr:row>16</xdr:row>
      <xdr:rowOff>25399</xdr:rowOff>
    </xdr:to>
    <xdr:sp macro="" textlink="">
      <xdr:nvSpPr>
        <xdr:cNvPr id="46" name="Ellips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 bwMode="auto">
        <a:xfrm>
          <a:off x="11429999" y="318769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49</a:t>
          </a:r>
        </a:p>
      </xdr:txBody>
    </xdr:sp>
    <xdr:clientData/>
  </xdr:twoCellAnchor>
  <xdr:twoCellAnchor editAs="oneCell">
    <xdr:from>
      <xdr:col>26</xdr:col>
      <xdr:colOff>165099</xdr:colOff>
      <xdr:row>6</xdr:row>
      <xdr:rowOff>15874</xdr:rowOff>
    </xdr:from>
    <xdr:to>
      <xdr:col>27</xdr:col>
      <xdr:colOff>107948</xdr:colOff>
      <xdr:row>7</xdr:row>
      <xdr:rowOff>44449</xdr:rowOff>
    </xdr:to>
    <xdr:sp macro="" textlink="">
      <xdr:nvSpPr>
        <xdr:cNvPr id="47" name="Ellips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 bwMode="auto">
        <a:xfrm>
          <a:off x="11052174" y="14922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30</a:t>
          </a:r>
        </a:p>
      </xdr:txBody>
    </xdr:sp>
    <xdr:clientData/>
  </xdr:twoCellAnchor>
  <xdr:twoCellAnchor editAs="oneCell">
    <xdr:from>
      <xdr:col>26</xdr:col>
      <xdr:colOff>165099</xdr:colOff>
      <xdr:row>7</xdr:row>
      <xdr:rowOff>15874</xdr:rowOff>
    </xdr:from>
    <xdr:to>
      <xdr:col>27</xdr:col>
      <xdr:colOff>107948</xdr:colOff>
      <xdr:row>8</xdr:row>
      <xdr:rowOff>44449</xdr:rowOff>
    </xdr:to>
    <xdr:sp macro="" textlink="">
      <xdr:nvSpPr>
        <xdr:cNvPr id="48" name="Ellips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 bwMode="auto">
        <a:xfrm>
          <a:off x="11052174" y="16827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31</a:t>
          </a:r>
        </a:p>
      </xdr:txBody>
    </xdr:sp>
    <xdr:clientData/>
  </xdr:twoCellAnchor>
  <xdr:twoCellAnchor editAs="oneCell">
    <xdr:from>
      <xdr:col>26</xdr:col>
      <xdr:colOff>165099</xdr:colOff>
      <xdr:row>8</xdr:row>
      <xdr:rowOff>15874</xdr:rowOff>
    </xdr:from>
    <xdr:to>
      <xdr:col>27</xdr:col>
      <xdr:colOff>107948</xdr:colOff>
      <xdr:row>9</xdr:row>
      <xdr:rowOff>44449</xdr:rowOff>
    </xdr:to>
    <xdr:sp macro="" textlink="">
      <xdr:nvSpPr>
        <xdr:cNvPr id="49" name="Ellips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11052174" y="18732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32</a:t>
          </a:r>
        </a:p>
      </xdr:txBody>
    </xdr:sp>
    <xdr:clientData/>
  </xdr:twoCellAnchor>
  <xdr:twoCellAnchor editAs="oneCell">
    <xdr:from>
      <xdr:col>26</xdr:col>
      <xdr:colOff>165099</xdr:colOff>
      <xdr:row>9</xdr:row>
      <xdr:rowOff>15874</xdr:rowOff>
    </xdr:from>
    <xdr:to>
      <xdr:col>27</xdr:col>
      <xdr:colOff>107948</xdr:colOff>
      <xdr:row>10</xdr:row>
      <xdr:rowOff>44449</xdr:rowOff>
    </xdr:to>
    <xdr:sp macro="" textlink="">
      <xdr:nvSpPr>
        <xdr:cNvPr id="50" name="Ellips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 bwMode="auto">
        <a:xfrm>
          <a:off x="11052174" y="206374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33</a:t>
          </a:r>
        </a:p>
      </xdr:txBody>
    </xdr:sp>
    <xdr:clientData/>
  </xdr:twoCellAnchor>
  <xdr:twoCellAnchor editAs="oneCell">
    <xdr:from>
      <xdr:col>30</xdr:col>
      <xdr:colOff>152400</xdr:colOff>
      <xdr:row>6</xdr:row>
      <xdr:rowOff>9525</xdr:rowOff>
    </xdr:from>
    <xdr:to>
      <xdr:col>31</xdr:col>
      <xdr:colOff>95251</xdr:colOff>
      <xdr:row>7</xdr:row>
      <xdr:rowOff>38100</xdr:rowOff>
    </xdr:to>
    <xdr:sp macro="" textlink="">
      <xdr:nvSpPr>
        <xdr:cNvPr id="51" name="Ellips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 bwMode="auto">
        <a:xfrm>
          <a:off x="12030075" y="14859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A</a:t>
          </a:r>
        </a:p>
      </xdr:txBody>
    </xdr:sp>
    <xdr:clientData/>
  </xdr:twoCellAnchor>
  <xdr:twoCellAnchor editAs="oneCell">
    <xdr:from>
      <xdr:col>30</xdr:col>
      <xdr:colOff>152400</xdr:colOff>
      <xdr:row>7</xdr:row>
      <xdr:rowOff>9525</xdr:rowOff>
    </xdr:from>
    <xdr:to>
      <xdr:col>31</xdr:col>
      <xdr:colOff>95251</xdr:colOff>
      <xdr:row>8</xdr:row>
      <xdr:rowOff>38100</xdr:rowOff>
    </xdr:to>
    <xdr:sp macro="" textlink="">
      <xdr:nvSpPr>
        <xdr:cNvPr id="52" name="Ellipse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 bwMode="auto">
        <a:xfrm>
          <a:off x="12030075" y="16764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B</a:t>
          </a:r>
        </a:p>
      </xdr:txBody>
    </xdr:sp>
    <xdr:clientData/>
  </xdr:twoCellAnchor>
  <xdr:twoCellAnchor editAs="oneCell">
    <xdr:from>
      <xdr:col>30</xdr:col>
      <xdr:colOff>152400</xdr:colOff>
      <xdr:row>8</xdr:row>
      <xdr:rowOff>9525</xdr:rowOff>
    </xdr:from>
    <xdr:to>
      <xdr:col>31</xdr:col>
      <xdr:colOff>95251</xdr:colOff>
      <xdr:row>9</xdr:row>
      <xdr:rowOff>38100</xdr:rowOff>
    </xdr:to>
    <xdr:sp macro="" textlink="">
      <xdr:nvSpPr>
        <xdr:cNvPr id="53" name="Ellips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 bwMode="auto">
        <a:xfrm>
          <a:off x="12030075" y="18669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C</a:t>
          </a:r>
        </a:p>
      </xdr:txBody>
    </xdr:sp>
    <xdr:clientData/>
  </xdr:twoCellAnchor>
  <xdr:twoCellAnchor editAs="oneCell">
    <xdr:from>
      <xdr:col>30</xdr:col>
      <xdr:colOff>152400</xdr:colOff>
      <xdr:row>9</xdr:row>
      <xdr:rowOff>9525</xdr:rowOff>
    </xdr:from>
    <xdr:to>
      <xdr:col>31</xdr:col>
      <xdr:colOff>95251</xdr:colOff>
      <xdr:row>10</xdr:row>
      <xdr:rowOff>38100</xdr:rowOff>
    </xdr:to>
    <xdr:sp macro="" textlink="">
      <xdr:nvSpPr>
        <xdr:cNvPr id="54" name="Ellipse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 bwMode="auto">
        <a:xfrm>
          <a:off x="12030075" y="20574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D</a:t>
          </a:r>
        </a:p>
      </xdr:txBody>
    </xdr:sp>
    <xdr:clientData/>
  </xdr:twoCellAnchor>
  <xdr:twoCellAnchor editAs="oneCell">
    <xdr:from>
      <xdr:col>30</xdr:col>
      <xdr:colOff>152400</xdr:colOff>
      <xdr:row>10</xdr:row>
      <xdr:rowOff>9525</xdr:rowOff>
    </xdr:from>
    <xdr:to>
      <xdr:col>31</xdr:col>
      <xdr:colOff>95251</xdr:colOff>
      <xdr:row>11</xdr:row>
      <xdr:rowOff>38100</xdr:rowOff>
    </xdr:to>
    <xdr:sp macro="" textlink="">
      <xdr:nvSpPr>
        <xdr:cNvPr id="55" name="Ellipse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 bwMode="auto">
        <a:xfrm>
          <a:off x="12030075" y="22479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E</a:t>
          </a:r>
        </a:p>
      </xdr:txBody>
    </xdr:sp>
    <xdr:clientData/>
  </xdr:twoCellAnchor>
  <xdr:twoCellAnchor editAs="oneCell">
    <xdr:from>
      <xdr:col>30</xdr:col>
      <xdr:colOff>152400</xdr:colOff>
      <xdr:row>11</xdr:row>
      <xdr:rowOff>9525</xdr:rowOff>
    </xdr:from>
    <xdr:to>
      <xdr:col>31</xdr:col>
      <xdr:colOff>95251</xdr:colOff>
      <xdr:row>12</xdr:row>
      <xdr:rowOff>38100</xdr:rowOff>
    </xdr:to>
    <xdr:sp macro="" textlink="">
      <xdr:nvSpPr>
        <xdr:cNvPr id="56" name="Ellipse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 bwMode="auto">
        <a:xfrm>
          <a:off x="12030075" y="24384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F</a:t>
          </a:r>
        </a:p>
      </xdr:txBody>
    </xdr:sp>
    <xdr:clientData/>
  </xdr:twoCellAnchor>
  <xdr:twoCellAnchor editAs="oneCell">
    <xdr:from>
      <xdr:col>30</xdr:col>
      <xdr:colOff>152400</xdr:colOff>
      <xdr:row>12</xdr:row>
      <xdr:rowOff>9525</xdr:rowOff>
    </xdr:from>
    <xdr:to>
      <xdr:col>31</xdr:col>
      <xdr:colOff>95251</xdr:colOff>
      <xdr:row>13</xdr:row>
      <xdr:rowOff>38100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 bwMode="auto">
        <a:xfrm>
          <a:off x="12030075" y="26289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G</a:t>
          </a:r>
        </a:p>
      </xdr:txBody>
    </xdr:sp>
    <xdr:clientData/>
  </xdr:twoCellAnchor>
  <xdr:twoCellAnchor editAs="oneCell">
    <xdr:from>
      <xdr:col>30</xdr:col>
      <xdr:colOff>152400</xdr:colOff>
      <xdr:row>13</xdr:row>
      <xdr:rowOff>9525</xdr:rowOff>
    </xdr:from>
    <xdr:to>
      <xdr:col>31</xdr:col>
      <xdr:colOff>95251</xdr:colOff>
      <xdr:row>14</xdr:row>
      <xdr:rowOff>38100</xdr:rowOff>
    </xdr:to>
    <xdr:sp macro="" textlink="">
      <xdr:nvSpPr>
        <xdr:cNvPr id="58" name="Ellipse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 bwMode="auto">
        <a:xfrm>
          <a:off x="12030075" y="28194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H</a:t>
          </a:r>
        </a:p>
      </xdr:txBody>
    </xdr:sp>
    <xdr:clientData/>
  </xdr:twoCellAnchor>
  <xdr:twoCellAnchor editAs="oneCell">
    <xdr:from>
      <xdr:col>30</xdr:col>
      <xdr:colOff>152400</xdr:colOff>
      <xdr:row>14</xdr:row>
      <xdr:rowOff>9525</xdr:rowOff>
    </xdr:from>
    <xdr:to>
      <xdr:col>31</xdr:col>
      <xdr:colOff>95251</xdr:colOff>
      <xdr:row>15</xdr:row>
      <xdr:rowOff>38100</xdr:rowOff>
    </xdr:to>
    <xdr:sp macro="" textlink="">
      <xdr:nvSpPr>
        <xdr:cNvPr id="59" name="Ellipse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 bwMode="auto">
        <a:xfrm>
          <a:off x="12030075" y="3009900"/>
          <a:ext cx="19050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I</a:t>
          </a:r>
        </a:p>
      </xdr:txBody>
    </xdr:sp>
    <xdr:clientData/>
  </xdr:twoCellAnchor>
  <xdr:twoCellAnchor editAs="oneCell">
    <xdr:from>
      <xdr:col>0</xdr:col>
      <xdr:colOff>212912</xdr:colOff>
      <xdr:row>0</xdr:row>
      <xdr:rowOff>190500</xdr:rowOff>
    </xdr:from>
    <xdr:to>
      <xdr:col>3</xdr:col>
      <xdr:colOff>53471</xdr:colOff>
      <xdr:row>3</xdr:row>
      <xdr:rowOff>4932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212912" y="190500"/>
          <a:ext cx="1185265" cy="4867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212912</xdr:colOff>
      <xdr:row>0</xdr:row>
      <xdr:rowOff>190500</xdr:rowOff>
    </xdr:from>
    <xdr:to>
      <xdr:col>3</xdr:col>
      <xdr:colOff>53471</xdr:colOff>
      <xdr:row>3</xdr:row>
      <xdr:rowOff>4932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212912" y="190500"/>
          <a:ext cx="1183584" cy="5002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DMINISTRATIF/ADRESS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GED/TRIDIMENSIONNEL/Partage%20F/RAPPORTS%20CLIENTS/2024/IOKEPLASTIC/Gestion%20des%20&#233;talons%20labo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DRESSE"/>
      <sheetName val="Rapport sur la compatibilité"/>
    </sheetNames>
    <sheetDataSet>
      <sheetData sheetId="0">
        <row r="2">
          <cell r="A2">
            <v>1</v>
          </cell>
          <cell r="B2" t="str">
            <v>AMCOR FLEXIBLES France</v>
          </cell>
          <cell r="C2" t="str">
            <v>Route de Chalais</v>
          </cell>
          <cell r="D2" t="str">
            <v>BP45</v>
          </cell>
          <cell r="E2">
            <v>16300</v>
          </cell>
          <cell r="F2" t="str">
            <v>BARBEZIEUX</v>
          </cell>
        </row>
        <row r="3">
          <cell r="A3">
            <v>2</v>
          </cell>
          <cell r="B3" t="str">
            <v>ATMC GROUP - ECM</v>
          </cell>
          <cell r="C3" t="str">
            <v>6 rue de la vallée du chat</v>
          </cell>
          <cell r="D3" t="str">
            <v>-</v>
          </cell>
          <cell r="E3">
            <v>45150</v>
          </cell>
          <cell r="F3" t="str">
            <v>JARGEAU</v>
          </cell>
        </row>
        <row r="4">
          <cell r="A4">
            <v>3</v>
          </cell>
          <cell r="B4" t="str">
            <v>BAZILLE SAS</v>
          </cell>
          <cell r="C4" t="str">
            <v>Z.A de la Crosne</v>
          </cell>
          <cell r="D4" t="str">
            <v>-</v>
          </cell>
          <cell r="E4">
            <v>45300</v>
          </cell>
          <cell r="F4" t="str">
            <v>ASCOUX</v>
          </cell>
        </row>
        <row r="5">
          <cell r="A5">
            <v>4</v>
          </cell>
          <cell r="B5" t="str">
            <v>CIRETEC</v>
          </cell>
          <cell r="C5" t="str">
            <v>1rue Jean Monnet</v>
          </cell>
          <cell r="D5" t="str">
            <v>Z.A.</v>
          </cell>
          <cell r="E5">
            <v>45130</v>
          </cell>
          <cell r="F5" t="str">
            <v>SAINT AY</v>
          </cell>
        </row>
        <row r="6">
          <cell r="A6">
            <v>5</v>
          </cell>
          <cell r="B6" t="str">
            <v>CM3D</v>
          </cell>
          <cell r="C6" t="str">
            <v>Rue des Cousseaux</v>
          </cell>
          <cell r="D6" t="str">
            <v>-</v>
          </cell>
          <cell r="E6" t="str">
            <v>41300</v>
          </cell>
          <cell r="F6" t="str">
            <v>SALBRIS</v>
          </cell>
        </row>
        <row r="7">
          <cell r="A7">
            <v>6</v>
          </cell>
          <cell r="B7" t="str">
            <v>COOPER CAPRI</v>
          </cell>
          <cell r="C7" t="str">
            <v>36-40 rue des fontenils</v>
          </cell>
          <cell r="D7" t="str">
            <v>-</v>
          </cell>
          <cell r="E7" t="str">
            <v>41600</v>
          </cell>
          <cell r="F7" t="str">
            <v>NOUAN LE FUSELIER</v>
          </cell>
        </row>
        <row r="8">
          <cell r="A8">
            <v>7</v>
          </cell>
          <cell r="B8" t="str">
            <v>CNPE EDF DE SAINT LAURENT</v>
          </cell>
          <cell r="C8" t="str">
            <v>MAGASIN RELAIS CNPE</v>
          </cell>
          <cell r="D8" t="str">
            <v>ORYS CHANTIER EASu</v>
          </cell>
          <cell r="E8">
            <v>41220</v>
          </cell>
          <cell r="F8" t="str">
            <v xml:space="preserve"> SAINT LAURENT NOUAN</v>
          </cell>
        </row>
        <row r="9">
          <cell r="A9">
            <v>8</v>
          </cell>
          <cell r="B9" t="str">
            <v>DIAGNOSTICA STAGO</v>
          </cell>
          <cell r="C9" t="str">
            <v>14-16 Avenue des Béthunes</v>
          </cell>
          <cell r="D9" t="str">
            <v>ZI Parc des Béthunes</v>
          </cell>
          <cell r="E9">
            <v>95310</v>
          </cell>
          <cell r="F9" t="str">
            <v>SAINT OUEN L'AUMONE</v>
          </cell>
        </row>
        <row r="10">
          <cell r="A10">
            <v>9</v>
          </cell>
          <cell r="B10" t="str">
            <v>EASY INOX</v>
          </cell>
          <cell r="C10" t="str">
            <v>22 route de Creton</v>
          </cell>
          <cell r="E10">
            <v>18110</v>
          </cell>
          <cell r="F10" t="str">
            <v>VASSELAY</v>
          </cell>
        </row>
        <row r="11">
          <cell r="A11">
            <v>10</v>
          </cell>
          <cell r="B11" t="str">
            <v>EDF-DPN</v>
          </cell>
          <cell r="C11" t="str">
            <v>CNPE de SAINT LAURENT NOUAN</v>
          </cell>
          <cell r="D11" t="str">
            <v>-</v>
          </cell>
          <cell r="E11" t="str">
            <v>41220</v>
          </cell>
          <cell r="F11" t="str">
            <v>SAINT LAURENT NOUAN</v>
          </cell>
        </row>
        <row r="12">
          <cell r="A12">
            <v>11</v>
          </cell>
          <cell r="B12" t="str">
            <v>EES - LAB ASSISTANCE</v>
          </cell>
          <cell r="C12" t="str">
            <v>19 ,rue Henri Dunant</v>
          </cell>
          <cell r="D12" t="str">
            <v>-</v>
          </cell>
          <cell r="E12" t="str">
            <v>45140</v>
          </cell>
          <cell r="F12" t="str">
            <v>INGRE</v>
          </cell>
        </row>
        <row r="13">
          <cell r="A13">
            <v>12</v>
          </cell>
          <cell r="B13" t="str">
            <v>EOLANE</v>
          </cell>
          <cell r="C13" t="str">
            <v>Z.A. de l'Ombrée</v>
          </cell>
          <cell r="D13" t="str">
            <v>Boulevard Jean-Baptiste Colbert</v>
          </cell>
          <cell r="E13">
            <v>49520</v>
          </cell>
          <cell r="F13" t="str">
            <v>COMBREE</v>
          </cell>
        </row>
        <row r="14">
          <cell r="A14">
            <v>13</v>
          </cell>
          <cell r="B14" t="str">
            <v>ESPA HUTCHINSON Group</v>
          </cell>
          <cell r="C14" t="str">
            <v>22, rue de Curembourg</v>
          </cell>
          <cell r="D14" t="str">
            <v>B.P. 206</v>
          </cell>
          <cell r="E14">
            <v>45401</v>
          </cell>
          <cell r="F14" t="str">
            <v>FLEURY LES AUBRAIS</v>
          </cell>
        </row>
        <row r="15">
          <cell r="A15">
            <v>14</v>
          </cell>
          <cell r="B15" t="str">
            <v>ETUDEMA</v>
          </cell>
          <cell r="C15" t="str">
            <v>25,rue Bernard PALISSY</v>
          </cell>
          <cell r="D15" t="str">
            <v>-</v>
          </cell>
          <cell r="E15">
            <v>45800</v>
          </cell>
          <cell r="F15" t="str">
            <v>SAINT JEAN DE BRAYE</v>
          </cell>
        </row>
        <row r="16">
          <cell r="A16">
            <v>15</v>
          </cell>
          <cell r="B16" t="str">
            <v>FRENEHARD S.A.S</v>
          </cell>
          <cell r="C16" t="str">
            <v>Z.A. Les Bredollières</v>
          </cell>
          <cell r="D16" t="str">
            <v>SSB 1</v>
          </cell>
          <cell r="E16">
            <v>61300</v>
          </cell>
          <cell r="F16" t="str">
            <v>SAINT SYMPHORIEN DES BRUYERES</v>
          </cell>
        </row>
        <row r="17">
          <cell r="A17">
            <v>16</v>
          </cell>
          <cell r="B17" t="str">
            <v>GUINAULT</v>
          </cell>
          <cell r="C17" t="str">
            <v>PAOS LA SAUSSAYE</v>
          </cell>
          <cell r="D17" t="str">
            <v>95, rue du rond d'eau- CS70004</v>
          </cell>
          <cell r="E17">
            <v>45590</v>
          </cell>
          <cell r="F17" t="str">
            <v>SAINT CYR EN VAL</v>
          </cell>
        </row>
        <row r="18">
          <cell r="A18">
            <v>17</v>
          </cell>
          <cell r="B18" t="str">
            <v>HAUZERWIZE</v>
          </cell>
          <cell r="C18" t="str">
            <v>Le Lab'O</v>
          </cell>
          <cell r="D18" t="str">
            <v>1,avenue du Champ-de-Mars</v>
          </cell>
          <cell r="E18">
            <v>45100</v>
          </cell>
          <cell r="F18" t="str">
            <v>ORLEANS</v>
          </cell>
        </row>
        <row r="19">
          <cell r="A19">
            <v>18</v>
          </cell>
          <cell r="B19" t="str">
            <v>HEBCO INDUSTRIE</v>
          </cell>
          <cell r="C19" t="str">
            <v>Avenue de l'Europe</v>
          </cell>
          <cell r="E19">
            <v>41600</v>
          </cell>
          <cell r="F19" t="str">
            <v>LAMOTTE BEUVRON</v>
          </cell>
        </row>
        <row r="20">
          <cell r="A20">
            <v>19</v>
          </cell>
          <cell r="B20" t="str">
            <v>HENRY</v>
          </cell>
          <cell r="C20" t="str">
            <v>185 Route des Trays</v>
          </cell>
          <cell r="E20">
            <v>45240</v>
          </cell>
          <cell r="F20" t="str">
            <v>LA FERTE SAINT AUBIN</v>
          </cell>
        </row>
        <row r="21">
          <cell r="A21">
            <v>20</v>
          </cell>
          <cell r="B21" t="str">
            <v>HUTCHINSON SNC</v>
          </cell>
          <cell r="C21" t="str">
            <v>Rue Gustave Nourry</v>
          </cell>
          <cell r="D21" t="str">
            <v>BP31</v>
          </cell>
          <cell r="E21">
            <v>45120</v>
          </cell>
          <cell r="F21" t="str">
            <v>CHALETTE SUR LOING</v>
          </cell>
        </row>
        <row r="22">
          <cell r="A22">
            <v>21</v>
          </cell>
          <cell r="B22" t="str">
            <v>ÏOKEPLASTIC S.A.S.</v>
          </cell>
          <cell r="C22" t="str">
            <v>Rue saint Georges</v>
          </cell>
          <cell r="D22" t="str">
            <v>Le Pont Jamineau</v>
          </cell>
          <cell r="E22">
            <v>37340</v>
          </cell>
          <cell r="F22" t="str">
            <v>SAVIGNE-SUR-LATHAN</v>
          </cell>
        </row>
        <row r="23">
          <cell r="A23">
            <v>22</v>
          </cell>
          <cell r="B23" t="str">
            <v>JICEY PRECISION SHIMS</v>
          </cell>
          <cell r="C23" t="str">
            <v>Rue des Côtes d'Orval</v>
          </cell>
          <cell r="E23" t="str">
            <v>78550</v>
          </cell>
          <cell r="F23" t="str">
            <v>HOUDAN</v>
          </cell>
        </row>
        <row r="24">
          <cell r="A24">
            <v>23</v>
          </cell>
          <cell r="B24" t="str">
            <v xml:space="preserve">JOHN DEERE S.A.S. </v>
          </cell>
          <cell r="C24" t="str">
            <v>Orléans-Saran Unit ,1 rue John DEERE</v>
          </cell>
          <cell r="D24" t="str">
            <v>B.P. 11013</v>
          </cell>
          <cell r="E24" t="str">
            <v>45401</v>
          </cell>
          <cell r="F24" t="str">
            <v>FLEURY LES AUBRAIS cedex</v>
          </cell>
        </row>
        <row r="25">
          <cell r="A25">
            <v>24</v>
          </cell>
          <cell r="B25" t="str">
            <v>JUNGHANS T2M S.A.S.</v>
          </cell>
          <cell r="C25" t="str">
            <v>Route d'ARDON</v>
          </cell>
          <cell r="E25" t="str">
            <v>45240</v>
          </cell>
          <cell r="F25" t="str">
            <v>LA FERTE SAINT AUBIN</v>
          </cell>
        </row>
        <row r="26">
          <cell r="A26">
            <v>25</v>
          </cell>
          <cell r="B26" t="str">
            <v>LA FERME D'ALLOU</v>
          </cell>
          <cell r="C26" t="str">
            <v>MOTO TRIUMPH</v>
          </cell>
          <cell r="E26">
            <v>45560</v>
          </cell>
          <cell r="F26" t="str">
            <v>SAINT DENIS EN VAL</v>
          </cell>
        </row>
        <row r="27">
          <cell r="A27">
            <v>26</v>
          </cell>
          <cell r="B27" t="str">
            <v>LOGIS ALLIANCE</v>
          </cell>
          <cell r="C27" t="str">
            <v>Rue 6ème avenue</v>
          </cell>
          <cell r="D27" t="str">
            <v>ZAC Synergie</v>
          </cell>
          <cell r="E27">
            <v>45130</v>
          </cell>
          <cell r="F27" t="str">
            <v>MEUNG SUR LOIRE</v>
          </cell>
        </row>
        <row r="28">
          <cell r="A28">
            <v>27</v>
          </cell>
          <cell r="B28" t="str">
            <v>M.P.A. BERTIN s.a.r.l.</v>
          </cell>
          <cell r="C28" t="str">
            <v>56-58-60,rue de la Burelle</v>
          </cell>
          <cell r="E28">
            <v>45800</v>
          </cell>
          <cell r="F28" t="str">
            <v>SAINT JEAN DE BRAYE</v>
          </cell>
        </row>
        <row r="29">
          <cell r="A29">
            <v>28</v>
          </cell>
          <cell r="B29" t="str">
            <v>M.P.O.</v>
          </cell>
          <cell r="C29" t="str">
            <v>108,rue du Petit Hameau</v>
          </cell>
          <cell r="E29">
            <v>45110</v>
          </cell>
          <cell r="F29" t="str">
            <v>CHATEAUNEUF SUR LOIRE</v>
          </cell>
        </row>
        <row r="30">
          <cell r="A30">
            <v>29</v>
          </cell>
          <cell r="B30" t="str">
            <v>MARS</v>
          </cell>
          <cell r="C30" t="str">
            <v>Boulevard des Chenâts</v>
          </cell>
          <cell r="D30" t="str">
            <v>CS20001</v>
          </cell>
          <cell r="E30" t="str">
            <v>45550</v>
          </cell>
          <cell r="F30" t="str">
            <v>SAINT DENIS DE L'HÔTEL</v>
          </cell>
        </row>
        <row r="31">
          <cell r="A31">
            <v>30</v>
          </cell>
          <cell r="B31" t="str">
            <v>MECA 2B</v>
          </cell>
          <cell r="C31" t="str">
            <v>Parc Archimède</v>
          </cell>
          <cell r="D31" t="str">
            <v>7,rue Bernard PALISSY</v>
          </cell>
          <cell r="E31" t="str">
            <v>45800</v>
          </cell>
          <cell r="F31" t="str">
            <v>SAINT JEAN DE BRAYE</v>
          </cell>
        </row>
        <row r="32">
          <cell r="A32">
            <v>31</v>
          </cell>
          <cell r="B32" t="str">
            <v>MECASPACE INDUSTRIE</v>
          </cell>
          <cell r="C32" t="str">
            <v>300,rue Marcel PAUL</v>
          </cell>
          <cell r="E32">
            <v>45770</v>
          </cell>
          <cell r="F32" t="str">
            <v>SARAN</v>
          </cell>
        </row>
        <row r="33">
          <cell r="A33">
            <v>32</v>
          </cell>
          <cell r="B33" t="str">
            <v>MECASUP</v>
          </cell>
          <cell r="C33" t="str">
            <v>ZA les Combles</v>
          </cell>
          <cell r="E33">
            <v>41300</v>
          </cell>
          <cell r="F33" t="str">
            <v>SALBRIS</v>
          </cell>
        </row>
        <row r="34">
          <cell r="A34">
            <v>33</v>
          </cell>
          <cell r="B34" t="str">
            <v>MSL circuits SAS</v>
          </cell>
          <cell r="C34" t="str">
            <v>B.P.14</v>
          </cell>
          <cell r="D34" t="str">
            <v>N°6, 3 Parc d'Activ. Synergie Val / Loire</v>
          </cell>
          <cell r="E34">
            <v>45130</v>
          </cell>
          <cell r="F34" t="str">
            <v>MEUNG/LOIRE</v>
          </cell>
        </row>
        <row r="35">
          <cell r="A35">
            <v>34</v>
          </cell>
          <cell r="B35" t="str">
            <v>NUMECAP</v>
          </cell>
          <cell r="C35" t="str">
            <v>Allée du Commerce</v>
          </cell>
          <cell r="D35" t="str">
            <v>Z.A.C. Cap Sud</v>
          </cell>
          <cell r="E35">
            <v>36250</v>
          </cell>
          <cell r="F35" t="str">
            <v>SAINT MAUR</v>
          </cell>
        </row>
        <row r="36">
          <cell r="A36">
            <v>35</v>
          </cell>
          <cell r="B36" t="str">
            <v>OUEST ALU</v>
          </cell>
          <cell r="C36" t="str">
            <v>24 Avenue des sables</v>
          </cell>
          <cell r="D36" t="str">
            <v>CS40129</v>
          </cell>
          <cell r="E36">
            <v>85501</v>
          </cell>
          <cell r="F36" t="str">
            <v>LES HERBIERS CEDEX</v>
          </cell>
        </row>
        <row r="37">
          <cell r="A37">
            <v>36</v>
          </cell>
          <cell r="B37" t="str">
            <v>OUTILLAGE PROGRESS</v>
          </cell>
          <cell r="C37" t="str">
            <v>18,rue des Sables</v>
          </cell>
          <cell r="E37" t="str">
            <v>37530</v>
          </cell>
          <cell r="F37" t="str">
            <v>NAZELLES-NEGRON</v>
          </cell>
        </row>
        <row r="38">
          <cell r="A38">
            <v>37</v>
          </cell>
          <cell r="B38" t="str">
            <v>POCLAIN TECHNICAST GRANDRY TECHNOLOGIES</v>
          </cell>
          <cell r="C38" t="str">
            <v>4 Boulevard de la Primaudière</v>
          </cell>
          <cell r="E38" t="str">
            <v>72302</v>
          </cell>
          <cell r="F38" t="str">
            <v>Sablé-sur-Sarthe Cedex</v>
          </cell>
        </row>
        <row r="39">
          <cell r="A39">
            <v>38</v>
          </cell>
          <cell r="B39" t="str">
            <v>PAULSTRA SNC</v>
          </cell>
          <cell r="C39" t="str">
            <v>Parc d'activités de l'églantier</v>
          </cell>
          <cell r="D39" t="str">
            <v>3 rue des Cerisiers</v>
          </cell>
          <cell r="E39" t="str">
            <v>91090</v>
          </cell>
          <cell r="F39" t="str">
            <v>LISSES</v>
          </cell>
        </row>
        <row r="40">
          <cell r="A40">
            <v>39</v>
          </cell>
          <cell r="B40" t="str">
            <v>ROXEL LA FERTE</v>
          </cell>
          <cell r="C40" t="str">
            <v>Route d'ARDON</v>
          </cell>
          <cell r="E40">
            <v>45240</v>
          </cell>
          <cell r="F40" t="str">
            <v>LA FERTE SAINT AUBIN</v>
          </cell>
        </row>
        <row r="41">
          <cell r="A41">
            <v>40</v>
          </cell>
          <cell r="B41" t="str">
            <v>ROXEL LE SUBDRAY</v>
          </cell>
          <cell r="C41" t="str">
            <v>Site MBDA</v>
          </cell>
          <cell r="D41" t="str">
            <v>RN 151</v>
          </cell>
          <cell r="E41">
            <v>18570</v>
          </cell>
          <cell r="F41" t="str">
            <v>LE SUBDRAY</v>
          </cell>
        </row>
        <row r="42">
          <cell r="A42">
            <v>41</v>
          </cell>
          <cell r="B42" t="str">
            <v>ROXEL ST MEDARD</v>
          </cell>
          <cell r="C42" t="str">
            <v>Route de CORBIAC</v>
          </cell>
          <cell r="D42" t="str">
            <v>Allée Louis MOREL</v>
          </cell>
          <cell r="E42">
            <v>33167</v>
          </cell>
          <cell r="F42" t="str">
            <v>SAINT-MEDARD-EN-JALLES</v>
          </cell>
        </row>
        <row r="43">
          <cell r="A43">
            <v>42</v>
          </cell>
          <cell r="B43" t="str">
            <v>S.N.C.F Technicentre S.E</v>
          </cell>
          <cell r="C43" t="str">
            <v>1 rue du TGV</v>
          </cell>
          <cell r="E43">
            <v>94190</v>
          </cell>
          <cell r="F43" t="str">
            <v>VILLEUNEUVE SAINT GEORGES</v>
          </cell>
        </row>
        <row r="44">
          <cell r="A44">
            <v>43</v>
          </cell>
          <cell r="B44" t="str">
            <v>SAVIPLAST</v>
          </cell>
          <cell r="C44" t="str">
            <v>ZI Terres de Vauplaines</v>
          </cell>
          <cell r="E44" t="str">
            <v>89700</v>
          </cell>
          <cell r="F44" t="str">
            <v>TONNERRE</v>
          </cell>
        </row>
        <row r="45">
          <cell r="A45">
            <v>44</v>
          </cell>
          <cell r="B45" t="str">
            <v>SCHROFF</v>
          </cell>
          <cell r="C45" t="str">
            <v>4 rue du Marais</v>
          </cell>
          <cell r="E45" t="str">
            <v>67660</v>
          </cell>
          <cell r="F45" t="str">
            <v>BETSCHDORF</v>
          </cell>
        </row>
        <row r="46">
          <cell r="A46">
            <v>45</v>
          </cell>
          <cell r="B46" t="str">
            <v>SCODIP</v>
          </cell>
          <cell r="C46" t="str">
            <v>14,chemin du Pont Cotelle</v>
          </cell>
          <cell r="E46">
            <v>45073</v>
          </cell>
          <cell r="F46" t="str">
            <v>ORLEANS Cedex 02</v>
          </cell>
        </row>
        <row r="47">
          <cell r="A47">
            <v>46</v>
          </cell>
          <cell r="B47" t="str">
            <v>SNCF Technicentre atlantique métrologie</v>
          </cell>
          <cell r="C47" t="str">
            <v>60 rue Etienne Deforges</v>
          </cell>
          <cell r="E47">
            <v>92320</v>
          </cell>
          <cell r="F47" t="str">
            <v>CHATILLON</v>
          </cell>
        </row>
        <row r="48">
          <cell r="A48">
            <v>47</v>
          </cell>
          <cell r="B48" t="str">
            <v>SPI</v>
          </cell>
          <cell r="C48" t="str">
            <v>ZI des Vigneaux</v>
          </cell>
          <cell r="D48" t="str">
            <v>6 rue de l'étang</v>
          </cell>
          <cell r="E48" t="str">
            <v>36210</v>
          </cell>
          <cell r="F48" t="str">
            <v>CHABRIS</v>
          </cell>
        </row>
        <row r="49">
          <cell r="A49">
            <v>48</v>
          </cell>
          <cell r="B49" t="str">
            <v>SPIE INDUSTRIE ET TERTIAIRE</v>
          </cell>
          <cell r="C49" t="str">
            <v>Z.A. Parc d'Archimède - Bât A</v>
          </cell>
          <cell r="D49" t="str">
            <v>7 rue Isaac Newton</v>
          </cell>
          <cell r="E49">
            <v>45800</v>
          </cell>
          <cell r="F49" t="str">
            <v>SAINT JEAN DE BRAYE</v>
          </cell>
        </row>
        <row r="50">
          <cell r="A50">
            <v>49</v>
          </cell>
          <cell r="B50" t="str">
            <v>SPIE NUCLEAIRE</v>
          </cell>
          <cell r="C50" t="str">
            <v>CNPE de Chinon</v>
          </cell>
          <cell r="D50" t="str">
            <v>Centrale EDF CNPE de Chinon</v>
          </cell>
          <cell r="E50">
            <v>37420</v>
          </cell>
          <cell r="F50" t="str">
            <v>AVOINE</v>
          </cell>
        </row>
        <row r="51">
          <cell r="A51">
            <v>50</v>
          </cell>
          <cell r="B51" t="str">
            <v>SPIE NUCLEAIRE</v>
          </cell>
          <cell r="C51" t="str">
            <v>Centre logistique Semoy</v>
          </cell>
          <cell r="D51" t="str">
            <v>825 rue Léonard de Vinci</v>
          </cell>
          <cell r="E51">
            <v>45400</v>
          </cell>
          <cell r="F51" t="str">
            <v>SEMOY</v>
          </cell>
        </row>
        <row r="52">
          <cell r="A52">
            <v>51</v>
          </cell>
          <cell r="B52" t="str">
            <v>SPIE NUCLEAIRE</v>
          </cell>
          <cell r="C52" t="str">
            <v>CNPE de Belleville</v>
          </cell>
          <cell r="D52" t="str">
            <v>-</v>
          </cell>
          <cell r="E52">
            <v>18240</v>
          </cell>
          <cell r="F52" t="str">
            <v>BELLEVILLE-SUR-LOIRE</v>
          </cell>
        </row>
        <row r="53">
          <cell r="A53">
            <v>52</v>
          </cell>
          <cell r="B53" t="str">
            <v>SPS MEDICAL</v>
          </cell>
          <cell r="C53" t="str">
            <v>5 rue de Montigny</v>
          </cell>
          <cell r="D53" t="str">
            <v>-</v>
          </cell>
          <cell r="E53">
            <v>77120</v>
          </cell>
          <cell r="F53" t="str">
            <v>COULOMMIERS</v>
          </cell>
        </row>
        <row r="54">
          <cell r="A54">
            <v>53</v>
          </cell>
          <cell r="B54" t="str">
            <v>THALES AIR SYSTEMS</v>
          </cell>
          <cell r="C54" t="str">
            <v>29,rue de Montaran</v>
          </cell>
          <cell r="D54" t="str">
            <v>-</v>
          </cell>
          <cell r="E54" t="str">
            <v>45404</v>
          </cell>
          <cell r="F54" t="str">
            <v>FLEURY-LES-AUBRAIS</v>
          </cell>
        </row>
        <row r="55">
          <cell r="A55">
            <v>54</v>
          </cell>
          <cell r="B55" t="str">
            <v>THALES LAS</v>
          </cell>
          <cell r="C55" t="str">
            <v>Route d'ARDON</v>
          </cell>
          <cell r="D55" t="str">
            <v>-</v>
          </cell>
          <cell r="E55" t="str">
            <v>45240</v>
          </cell>
          <cell r="F55" t="str">
            <v>LA FERTE SAINT AUBIN</v>
          </cell>
        </row>
        <row r="56">
          <cell r="A56">
            <v>55</v>
          </cell>
          <cell r="B56" t="str">
            <v>THERMOR S.A.S.</v>
          </cell>
          <cell r="C56" t="str">
            <v>17,rue Croix FAUCHET</v>
          </cell>
          <cell r="D56" t="str">
            <v>B.P.46</v>
          </cell>
          <cell r="E56">
            <v>45141</v>
          </cell>
          <cell r="F56" t="str">
            <v xml:space="preserve">SAINT JEAN DE LA RUELLE </v>
          </cell>
        </row>
        <row r="57">
          <cell r="A57">
            <v>56</v>
          </cell>
          <cell r="B57" t="str">
            <v>VERGNET HYDRO</v>
          </cell>
          <cell r="C57" t="str">
            <v>6 rue Lavoisier</v>
          </cell>
          <cell r="D57" t="str">
            <v>-</v>
          </cell>
          <cell r="E57">
            <v>45140</v>
          </cell>
          <cell r="F57" t="str">
            <v xml:space="preserve">SAINT JEAN DE LA RUELLE 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e des Etalons à jour"/>
      <sheetName val="raccordements à jour "/>
      <sheetName val="Liste des moyens "/>
      <sheetName val="Liste des Etalons en sommeil"/>
      <sheetName val="Gestion des étalons labo5"/>
      <sheetName val="Rapport d'essai"/>
    </sheetNames>
    <sheetDataSet>
      <sheetData sheetId="0"/>
      <sheetData sheetId="1">
        <row r="9">
          <cell r="B9" t="str">
            <v>Machine de mesure tridimensionnelle MITUTOYO EURO-C APEX 7106 (MMT01)</v>
          </cell>
        </row>
        <row r="10">
          <cell r="B10" t="str">
            <v>CE N° 23042101-OMA</v>
          </cell>
        </row>
        <row r="11">
          <cell r="B11">
            <v>45748</v>
          </cell>
        </row>
        <row r="12">
          <cell r="B12" t="str">
            <v>Machine à mesurer optique AYONIS DELTEC DV-LEO-3100 (MMO02)</v>
          </cell>
        </row>
        <row r="13">
          <cell r="B13" t="str">
            <v>CE N° 2023-2203</v>
          </cell>
        </row>
        <row r="14">
          <cell r="B14">
            <v>45901</v>
          </cell>
        </row>
        <row r="15">
          <cell r="B15" t="str">
            <v>Banc de mesure horizontal TRIMOS TEL300 (BMH01)</v>
          </cell>
        </row>
        <row r="16">
          <cell r="B16" t="str">
            <v>CE COFRAC N° CET0223417_01_A</v>
          </cell>
        </row>
        <row r="17">
          <cell r="B17">
            <v>45809</v>
          </cell>
        </row>
        <row r="19">
          <cell r="B19" t="str">
            <v>Boîte de cales CARY (BCE1)</v>
          </cell>
        </row>
        <row r="20">
          <cell r="B20" t="str">
            <v>CE COFRAC n° 033591_001</v>
          </cell>
        </row>
        <row r="21">
          <cell r="B21">
            <v>46935</v>
          </cell>
        </row>
        <row r="22">
          <cell r="B22" t="str">
            <v>Bague lisse 60 mm (BLE1)</v>
          </cell>
        </row>
        <row r="23">
          <cell r="B23" t="str">
            <v>CE COFRAC n° 030627_004</v>
          </cell>
        </row>
        <row r="24">
          <cell r="B24">
            <v>46174</v>
          </cell>
        </row>
        <row r="25">
          <cell r="B25" t="str">
            <v>Bague lisse 85 mm (BLE2)</v>
          </cell>
        </row>
        <row r="26">
          <cell r="B26" t="str">
            <v>CE COFRAC n° 030627_001</v>
          </cell>
        </row>
        <row r="27">
          <cell r="B27">
            <v>46174</v>
          </cell>
        </row>
        <row r="28">
          <cell r="B28" t="str">
            <v>Bague lisse 8 mm (BLE4)</v>
          </cell>
        </row>
        <row r="29">
          <cell r="B29" t="str">
            <v>CE COFRAC n° 030627_005</v>
          </cell>
        </row>
        <row r="30">
          <cell r="B30">
            <v>46174</v>
          </cell>
        </row>
        <row r="31">
          <cell r="B31" t="str">
            <v>Bague lisse 25 mm (BLE8)</v>
          </cell>
        </row>
        <row r="32">
          <cell r="B32" t="str">
            <v>CE COFRAC n° 030627_002</v>
          </cell>
        </row>
        <row r="33">
          <cell r="B33">
            <v>46174</v>
          </cell>
        </row>
        <row r="34">
          <cell r="B34" t="str">
            <v>Bague lisse 35 mm (BLE9)</v>
          </cell>
        </row>
        <row r="35">
          <cell r="B35" t="str">
            <v>CE COFRAC n° 030627_003</v>
          </cell>
        </row>
        <row r="36">
          <cell r="B36">
            <v>46174</v>
          </cell>
        </row>
        <row r="37">
          <cell r="B37" t="str">
            <v>Bague lisse 16 mm (BLE10)</v>
          </cell>
        </row>
        <row r="38">
          <cell r="B38" t="str">
            <v>CE COFRAC n° 030627_006</v>
          </cell>
        </row>
        <row r="39">
          <cell r="B39">
            <v>46174</v>
          </cell>
        </row>
        <row r="40">
          <cell r="B40" t="str">
            <v>Cale étalon 400 mm (CE1)</v>
          </cell>
        </row>
        <row r="41">
          <cell r="B41" t="str">
            <v>CE COFRAC n° 030627_008</v>
          </cell>
        </row>
        <row r="42">
          <cell r="B42">
            <v>46174</v>
          </cell>
        </row>
        <row r="43">
          <cell r="B43" t="str">
            <v>Cale étalon 200 mm (CE3)</v>
          </cell>
        </row>
        <row r="44">
          <cell r="B44" t="str">
            <v>CE COFRAC n° 030627_007</v>
          </cell>
        </row>
        <row r="45">
          <cell r="B45">
            <v>46174</v>
          </cell>
        </row>
        <row r="46">
          <cell r="B46" t="str">
            <v>Cale étalon 500 mm (CE4)</v>
          </cell>
        </row>
        <row r="47">
          <cell r="B47" t="str">
            <v>CE COFRAC n° 030627_009</v>
          </cell>
        </row>
        <row r="48">
          <cell r="B48">
            <v>46174</v>
          </cell>
        </row>
        <row r="49">
          <cell r="B49" t="str">
            <v>Tampon lisse Ø 15,9H8 (TPL2)</v>
          </cell>
        </row>
        <row r="50">
          <cell r="B50" t="str">
            <v>CE COFRAC n° 033213_001</v>
          </cell>
        </row>
        <row r="51">
          <cell r="B51">
            <v>46508</v>
          </cell>
        </row>
        <row r="52">
          <cell r="B52" t="str">
            <v>Tampon lisse double Ø 44,83 / 44,88 (TPL3)</v>
          </cell>
        </row>
        <row r="53">
          <cell r="B53" t="str">
            <v>CE COFRAC n° 033213_002</v>
          </cell>
        </row>
        <row r="54">
          <cell r="B54">
            <v>46508</v>
          </cell>
        </row>
        <row r="56">
          <cell r="B56" t="str">
            <v>Boîte de piges de 1 à 2 mm (Bte n°1)</v>
          </cell>
        </row>
        <row r="57">
          <cell r="B57" t="str">
            <v>CE N° 2105119725</v>
          </cell>
        </row>
        <row r="58">
          <cell r="B58">
            <v>45413</v>
          </cell>
        </row>
        <row r="59">
          <cell r="B59" t="str">
            <v>Boîte de piges de 0,5 à 1 mm (Bte n°2)</v>
          </cell>
        </row>
        <row r="60">
          <cell r="B60" t="str">
            <v>CE N° 2105119726</v>
          </cell>
        </row>
        <row r="61">
          <cell r="B61">
            <v>45413</v>
          </cell>
        </row>
        <row r="62">
          <cell r="B62" t="str">
            <v>Boîte de piges de 2 à 10 mm (Bte n°4)</v>
          </cell>
        </row>
        <row r="63">
          <cell r="B63" t="str">
            <v>CE N° 2106120537</v>
          </cell>
        </row>
        <row r="64">
          <cell r="B64">
            <v>45444</v>
          </cell>
        </row>
        <row r="65">
          <cell r="B65" t="str">
            <v>Barre sinus 200 mm (BS1)</v>
          </cell>
        </row>
        <row r="66">
          <cell r="B66" t="str">
            <v>CE N° 030098/J1</v>
          </cell>
        </row>
        <row r="67">
          <cell r="B67">
            <v>45383</v>
          </cell>
        </row>
        <row r="68">
          <cell r="B68" t="str">
            <v>Jauge de profondeur MITUTOYO 0-300 mm (JP2)</v>
          </cell>
        </row>
        <row r="69">
          <cell r="B69" t="str">
            <v>CV N° 2307143164</v>
          </cell>
        </row>
        <row r="70">
          <cell r="B70">
            <v>45474</v>
          </cell>
        </row>
        <row r="71">
          <cell r="B71" t="str">
            <v>Micromètre d'extértieur PAV 25-50 mm (MIC2)</v>
          </cell>
        </row>
        <row r="72">
          <cell r="B72" t="str">
            <v>CV N° 2307142981</v>
          </cell>
        </row>
        <row r="73">
          <cell r="B73">
            <v>45474</v>
          </cell>
        </row>
        <row r="74">
          <cell r="B74" t="str">
            <v>Micromètre d'extértieur MITUTOYO 50-75 mm (MIC7)</v>
          </cell>
        </row>
        <row r="75">
          <cell r="B75" t="str">
            <v>CV N° 2307142982</v>
          </cell>
        </row>
        <row r="76">
          <cell r="B76">
            <v>45474</v>
          </cell>
        </row>
        <row r="77">
          <cell r="B77" t="str">
            <v>Micromètre d'extértieur MITUTOYO 75-100 mm (MIC8)</v>
          </cell>
        </row>
        <row r="78">
          <cell r="B78" t="str">
            <v>CV N° 2307142983</v>
          </cell>
        </row>
        <row r="79">
          <cell r="B79">
            <v>45474</v>
          </cell>
        </row>
        <row r="80">
          <cell r="B80" t="str">
            <v>Micromètre d'extértieur MITUTOYO 0-25 mm (MIC9)</v>
          </cell>
        </row>
        <row r="81">
          <cell r="B81" t="str">
            <v>CV N° 2307142980</v>
          </cell>
        </row>
        <row r="82">
          <cell r="B82">
            <v>45474</v>
          </cell>
        </row>
        <row r="83">
          <cell r="B83" t="str">
            <v>Micromètre d'intérieur 3 touches TESA 6-8 mm (MIC3T 1/1)</v>
          </cell>
        </row>
        <row r="84">
          <cell r="B84" t="str">
            <v>CV N° 2105119694</v>
          </cell>
        </row>
        <row r="85">
          <cell r="B85">
            <v>45413</v>
          </cell>
        </row>
        <row r="86">
          <cell r="B86" t="str">
            <v>Micromètre d'intérieur 3 touches TESA 10-12 mm (MIC3T 1/2)</v>
          </cell>
        </row>
        <row r="87">
          <cell r="B87" t="str">
            <v>CV N° 2105119695</v>
          </cell>
        </row>
        <row r="88">
          <cell r="B88">
            <v>45413</v>
          </cell>
        </row>
        <row r="89">
          <cell r="B89" t="str">
            <v>Micromètre d'intérieur 3 touches TESA 8-10 mm (MIC3T 1/3)</v>
          </cell>
        </row>
        <row r="90">
          <cell r="B90" t="str">
            <v>CV N° 2105119696</v>
          </cell>
        </row>
        <row r="91">
          <cell r="B91">
            <v>45413</v>
          </cell>
        </row>
        <row r="92">
          <cell r="B92" t="str">
            <v>Micromètre d'intérieur 3 touches TESA 14-17 mm (MIC3T 2/1)</v>
          </cell>
        </row>
        <row r="93">
          <cell r="B93" t="str">
            <v>CV N° 2105119697</v>
          </cell>
        </row>
        <row r="94">
          <cell r="B94">
            <v>45413</v>
          </cell>
        </row>
        <row r="95">
          <cell r="B95" t="str">
            <v>Micromètre d'intérieur 3 touches TESA 11-14 mm (MIC3T 2/2)</v>
          </cell>
        </row>
        <row r="96">
          <cell r="B96" t="str">
            <v>CV N° 2105119698</v>
          </cell>
        </row>
        <row r="97">
          <cell r="B97">
            <v>45413</v>
          </cell>
        </row>
        <row r="98">
          <cell r="B98" t="str">
            <v>Micromètre d'intérieur 3 touches TESA 17-20 mm (MIC3T 2/3)</v>
          </cell>
        </row>
        <row r="99">
          <cell r="B99" t="str">
            <v>CV N° 2105119699</v>
          </cell>
        </row>
        <row r="100">
          <cell r="B100">
            <v>45413</v>
          </cell>
        </row>
        <row r="101">
          <cell r="B101" t="str">
            <v>Micromètre d'intérieur 3 touches TESA 20-25 mm (MIC3T 3/1)</v>
          </cell>
        </row>
        <row r="102">
          <cell r="B102" t="str">
            <v>CV N° 2105119700</v>
          </cell>
        </row>
        <row r="103">
          <cell r="B103">
            <v>45413</v>
          </cell>
        </row>
        <row r="104">
          <cell r="B104" t="str">
            <v>Micromètre d'intérieur 3 touches TESA 25-30 mm (MIC3T 3/2)</v>
          </cell>
        </row>
        <row r="105">
          <cell r="B105" t="str">
            <v>CV N° 2105119701</v>
          </cell>
        </row>
        <row r="106">
          <cell r="B106">
            <v>45413</v>
          </cell>
        </row>
        <row r="107">
          <cell r="B107" t="str">
            <v>Micromètre d'intérieur 3 touches TESA 30-35 mm (MIC3T 3/3)</v>
          </cell>
        </row>
        <row r="108">
          <cell r="B108" t="str">
            <v>CV N° 2105119702</v>
          </cell>
        </row>
        <row r="109">
          <cell r="B109">
            <v>45413</v>
          </cell>
        </row>
        <row r="110">
          <cell r="B110" t="str">
            <v>Micromètre d'intérieur 3 touches TESA 35-40 mm (MIC3T 3/4)</v>
          </cell>
        </row>
        <row r="111">
          <cell r="B111" t="str">
            <v>CV N° 2105119703</v>
          </cell>
        </row>
        <row r="112">
          <cell r="B112">
            <v>45413</v>
          </cell>
        </row>
        <row r="113">
          <cell r="B113" t="str">
            <v>Pied à coulisse MITUTOYO 0-150 mm (PAC1)</v>
          </cell>
        </row>
        <row r="114">
          <cell r="B114" t="str">
            <v>CV N° 2306142658</v>
          </cell>
        </row>
        <row r="115">
          <cell r="B115">
            <v>45444</v>
          </cell>
        </row>
        <row r="116">
          <cell r="B116" t="str">
            <v>Pied à coulisse ROCH 0-300 mm (PAC3)</v>
          </cell>
        </row>
        <row r="117">
          <cell r="B117" t="str">
            <v>CV N° 2306142660</v>
          </cell>
        </row>
        <row r="118">
          <cell r="B118">
            <v>45444</v>
          </cell>
        </row>
        <row r="119">
          <cell r="B119" t="str">
            <v>Pied à coulisse DIGIROCH 0-300 mm (PAC5)</v>
          </cell>
        </row>
        <row r="120">
          <cell r="B120" t="str">
            <v>CV N° 2306142659</v>
          </cell>
        </row>
        <row r="121">
          <cell r="B121">
            <v>45444</v>
          </cell>
        </row>
        <row r="122">
          <cell r="B122" t="str">
            <v>Pied à coulisse MITUTOYO 0-150 mm (PAC7)</v>
          </cell>
        </row>
        <row r="123">
          <cell r="B123" t="str">
            <v>CV N° 2307143146</v>
          </cell>
        </row>
        <row r="124">
          <cell r="B124">
            <v>45474</v>
          </cell>
        </row>
      </sheetData>
      <sheetData sheetId="2"/>
      <sheetData sheetId="3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CM2103"/>
  <sheetViews>
    <sheetView view="pageBreakPreview" topLeftCell="A10" zoomScaleSheetLayoutView="100" workbookViewId="0">
      <selection activeCell="U20" sqref="U20"/>
    </sheetView>
  </sheetViews>
  <sheetFormatPr baseColWidth="10" defaultRowHeight="12.75"/>
  <cols>
    <col min="1" max="16" width="6.7109375" customWidth="1"/>
    <col min="17" max="17" width="7.140625" customWidth="1"/>
    <col min="18" max="18" width="4" customWidth="1"/>
    <col min="19" max="23" width="10.7109375" customWidth="1"/>
    <col min="24" max="24" width="15.7109375" bestFit="1" customWidth="1"/>
    <col min="25" max="250" width="10.7109375" customWidth="1"/>
  </cols>
  <sheetData>
    <row r="1" spans="1:91" s="1" customFormat="1" ht="15" customHeight="1">
      <c r="A1" s="175"/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</row>
    <row r="2" spans="1:91" s="1" customFormat="1" ht="15" customHeight="1">
      <c r="A2" s="175"/>
      <c r="B2" s="175"/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</row>
    <row r="3" spans="1:91" s="1" customFormat="1" ht="15" customHeight="1">
      <c r="D3" s="151"/>
      <c r="E3" s="151"/>
      <c r="F3" s="151"/>
      <c r="G3" s="151"/>
      <c r="H3" s="151"/>
      <c r="I3" s="151"/>
      <c r="J3" s="151"/>
      <c r="K3" s="217" t="s">
        <v>4</v>
      </c>
      <c r="L3" s="217"/>
      <c r="M3" s="217"/>
      <c r="N3" s="217"/>
      <c r="O3" s="217"/>
      <c r="P3" s="163"/>
      <c r="Q3" s="2"/>
      <c r="R3" s="2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</row>
    <row r="4" spans="1:91" s="1" customFormat="1" ht="15" customHeight="1">
      <c r="D4" s="151"/>
      <c r="E4" s="151"/>
      <c r="F4" s="151"/>
      <c r="G4" s="151"/>
      <c r="H4" s="151"/>
      <c r="I4" s="151"/>
      <c r="J4" s="151"/>
      <c r="K4" s="217" t="s">
        <v>5</v>
      </c>
      <c r="L4" s="217"/>
      <c r="M4" s="217"/>
      <c r="N4" s="217"/>
      <c r="O4" s="217"/>
      <c r="P4" s="163"/>
      <c r="Q4" s="2"/>
      <c r="R4" s="2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</row>
    <row r="5" spans="1:91" s="1" customFormat="1" ht="15" customHeight="1">
      <c r="D5" s="151"/>
      <c r="E5" s="151"/>
      <c r="F5" s="151"/>
      <c r="G5" s="151"/>
      <c r="H5" s="151"/>
      <c r="I5" s="151"/>
      <c r="J5" s="151"/>
      <c r="K5" s="217" t="s">
        <v>6</v>
      </c>
      <c r="L5" s="217"/>
      <c r="M5" s="217"/>
      <c r="N5" s="217"/>
      <c r="O5" s="217"/>
      <c r="P5" s="163"/>
      <c r="Q5" s="2"/>
      <c r="R5" s="2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</row>
    <row r="6" spans="1:91" s="1" customFormat="1" ht="15" customHeight="1">
      <c r="D6" s="151"/>
      <c r="E6" s="151"/>
      <c r="F6" s="151"/>
      <c r="G6" s="151"/>
      <c r="H6" s="151"/>
      <c r="I6" s="151"/>
      <c r="J6" s="151"/>
      <c r="K6" s="217" t="s">
        <v>7</v>
      </c>
      <c r="L6" s="217"/>
      <c r="M6" s="217"/>
      <c r="N6" s="217"/>
      <c r="O6" s="217"/>
      <c r="P6" s="163"/>
      <c r="Q6" s="2"/>
      <c r="R6" s="2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</row>
    <row r="7" spans="1:91" s="1" customFormat="1" ht="15" customHeight="1">
      <c r="D7" s="151"/>
      <c r="E7" s="151"/>
      <c r="F7" s="151"/>
      <c r="G7" s="151"/>
      <c r="H7" s="151"/>
      <c r="I7" s="151"/>
      <c r="J7" s="151"/>
      <c r="K7" s="217" t="s">
        <v>8</v>
      </c>
      <c r="L7" s="217"/>
      <c r="M7" s="217"/>
      <c r="N7" s="217"/>
      <c r="O7" s="217"/>
      <c r="P7" s="163"/>
      <c r="Q7" s="2"/>
      <c r="R7" s="2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</row>
    <row r="8" spans="1:91" s="1" customFormat="1" ht="15" customHeight="1">
      <c r="D8" s="151"/>
      <c r="E8" s="151"/>
      <c r="F8" s="151"/>
      <c r="G8" s="151"/>
      <c r="H8" s="151"/>
      <c r="I8" s="151"/>
      <c r="J8" s="151"/>
      <c r="K8" s="217" t="s">
        <v>23</v>
      </c>
      <c r="L8" s="217"/>
      <c r="M8" s="217"/>
      <c r="N8" s="217"/>
      <c r="O8" s="217"/>
      <c r="P8" s="163"/>
      <c r="Q8" s="2"/>
      <c r="R8" s="2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</row>
    <row r="9" spans="1:91" s="1" customFormat="1" ht="15" customHeight="1">
      <c r="D9" s="151"/>
      <c r="E9" s="151"/>
      <c r="F9" s="151"/>
      <c r="G9" s="151"/>
      <c r="H9" s="151"/>
      <c r="I9" s="151"/>
      <c r="J9" s="151"/>
      <c r="K9" s="162"/>
      <c r="L9" s="162"/>
      <c r="M9" s="162"/>
      <c r="N9" s="162"/>
      <c r="O9" s="162"/>
      <c r="P9" s="163"/>
      <c r="Q9" s="2"/>
      <c r="R9" s="2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</row>
    <row r="10" spans="1:91" s="1" customFormat="1" ht="15" customHeight="1">
      <c r="D10" s="151"/>
      <c r="E10" s="151"/>
      <c r="F10" s="151"/>
      <c r="G10" s="151"/>
      <c r="H10" s="151"/>
      <c r="I10" s="151"/>
      <c r="J10" s="151"/>
      <c r="K10" s="162"/>
      <c r="L10" s="162"/>
      <c r="M10" s="162"/>
      <c r="N10" s="162"/>
      <c r="O10" s="162"/>
      <c r="P10" s="163"/>
      <c r="Q10" s="2"/>
      <c r="R10" s="2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</row>
    <row r="11" spans="1:91" s="1" customFormat="1" ht="15" customHeight="1">
      <c r="A11" s="151"/>
      <c r="B11" s="15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16"/>
      <c r="N11" s="116"/>
      <c r="O11" s="116"/>
      <c r="P11" s="116"/>
      <c r="Q11" s="5"/>
      <c r="R11" s="6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</row>
    <row r="12" spans="1:91" s="1" customFormat="1" ht="15" customHeight="1">
      <c r="A12" s="222" t="s">
        <v>24</v>
      </c>
      <c r="B12" s="222"/>
      <c r="C12" s="222"/>
      <c r="D12" s="222"/>
      <c r="E12" s="222"/>
      <c r="F12" s="222"/>
      <c r="G12" s="222"/>
      <c r="H12" s="222"/>
      <c r="I12" s="222"/>
      <c r="J12" s="222"/>
      <c r="K12" s="222"/>
      <c r="L12" s="222"/>
      <c r="M12" s="222"/>
      <c r="N12" s="222"/>
      <c r="O12" s="222"/>
      <c r="P12" s="222"/>
      <c r="Q12" s="5"/>
      <c r="R12" s="6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</row>
    <row r="13" spans="1:91" s="1" customFormat="1" ht="15" customHeight="1">
      <c r="A13" s="222"/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176"/>
      <c r="R13" s="176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</row>
    <row r="14" spans="1:91" s="1" customFormat="1" ht="15" customHeight="1">
      <c r="A14" s="221" t="s">
        <v>178</v>
      </c>
      <c r="B14" s="221"/>
      <c r="C14" s="221"/>
      <c r="D14" s="221"/>
      <c r="E14" s="221"/>
      <c r="F14" s="221"/>
      <c r="G14" s="221"/>
      <c r="H14" s="221"/>
      <c r="I14" s="221"/>
      <c r="J14" s="221"/>
      <c r="K14" s="221"/>
      <c r="L14" s="221"/>
      <c r="M14" s="221"/>
      <c r="N14" s="221"/>
      <c r="O14" s="221"/>
      <c r="P14" s="221"/>
      <c r="Q14" s="176"/>
      <c r="R14" s="176"/>
      <c r="S14" s="5"/>
      <c r="T14" s="124" t="s">
        <v>153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</row>
    <row r="15" spans="1:91" s="1" customFormat="1" ht="15" customHeight="1">
      <c r="Q15" s="177"/>
      <c r="R15" s="177"/>
      <c r="S15" s="5"/>
      <c r="T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</row>
    <row r="16" spans="1:91" s="1" customFormat="1" ht="15" customHeight="1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</row>
    <row r="17" spans="1:91" s="1" customFormat="1" ht="15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5"/>
      <c r="N17" s="3"/>
      <c r="O17" s="3"/>
      <c r="P17" s="3"/>
      <c r="Q17" s="4"/>
      <c r="R17" s="5"/>
      <c r="S17" s="5"/>
      <c r="T17" s="124" t="s">
        <v>179</v>
      </c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</row>
    <row r="18" spans="1:91" s="1" customFormat="1" ht="15" customHeight="1">
      <c r="A18" s="228" t="s">
        <v>9</v>
      </c>
      <c r="B18" s="228"/>
      <c r="C18" s="228"/>
      <c r="D18" s="114" t="str">
        <f>VLOOKUP(U19,[1]ADRESSE!$A$2:$F$150,2)</f>
        <v>AMCOR FLEXIBLES France</v>
      </c>
      <c r="E18" s="114"/>
      <c r="F18" s="114"/>
      <c r="G18" s="114"/>
      <c r="H18" s="114"/>
      <c r="I18" s="114"/>
      <c r="J18" s="114"/>
      <c r="K18" s="114"/>
      <c r="L18" s="114"/>
      <c r="M18" s="114"/>
      <c r="N18" s="114"/>
      <c r="O18" s="114"/>
      <c r="P18" s="114"/>
      <c r="Q18" s="114"/>
      <c r="R18" s="114"/>
      <c r="S18" s="5"/>
      <c r="T18" s="5"/>
      <c r="U18" s="113" t="s">
        <v>152</v>
      </c>
      <c r="V18" s="5"/>
      <c r="W18" s="115" t="s">
        <v>160</v>
      </c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</row>
    <row r="19" spans="1:91" s="1" customFormat="1" ht="15" customHeight="1">
      <c r="A19" s="2"/>
      <c r="B19" s="2"/>
      <c r="C19" s="5"/>
      <c r="D19" s="114" t="str">
        <f>VLOOKUP(U19,[1]ADRESSE!$A$2:$F$150,3)</f>
        <v>Route de Chalais</v>
      </c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5"/>
      <c r="T19" s="5"/>
      <c r="U19" s="112">
        <v>1</v>
      </c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</row>
    <row r="20" spans="1:91" s="1" customFormat="1" ht="15" customHeight="1">
      <c r="A20" s="2"/>
      <c r="B20" s="2"/>
      <c r="C20" s="5"/>
      <c r="D20" s="114" t="str">
        <f>VLOOKUP(U19,[1]ADRESSE!$A$2:$F$150,4)</f>
        <v>BP45</v>
      </c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</row>
    <row r="21" spans="1:91" s="1" customFormat="1" ht="15" customHeight="1">
      <c r="A21" s="2"/>
      <c r="B21" s="2"/>
      <c r="C21" s="2"/>
      <c r="D21" s="110">
        <f>VLOOKUP(U19,[1]ADRESSE!$A$2:$F$150,5)</f>
        <v>16300</v>
      </c>
      <c r="E21" s="114" t="str">
        <f>VLOOKUP(U19,[1]ADRESSE!$A$2:$F$150,6)</f>
        <v>BARBEZIEUX</v>
      </c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</row>
    <row r="22" spans="1:91" s="1" customFormat="1" ht="15" customHeight="1">
      <c r="A22" s="2"/>
      <c r="B22" s="2"/>
      <c r="C22" s="2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</row>
    <row r="23" spans="1:91" s="1" customFormat="1" ht="15" customHeight="1">
      <c r="A23" s="2"/>
      <c r="B23" s="2"/>
      <c r="C23" s="2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</row>
    <row r="24" spans="1:91" s="1" customFormat="1" ht="15" customHeight="1">
      <c r="A24" s="6" t="s">
        <v>32</v>
      </c>
      <c r="B24" s="6"/>
      <c r="C24" s="6"/>
      <c r="D24" s="6"/>
      <c r="E24" s="6"/>
      <c r="F24" s="4"/>
      <c r="G24" s="4"/>
      <c r="H24" s="4"/>
      <c r="I24" s="5"/>
      <c r="J24" s="5"/>
      <c r="K24" s="6" t="s">
        <v>82</v>
      </c>
      <c r="M24" s="6"/>
      <c r="N24" s="6"/>
      <c r="O24" s="6"/>
      <c r="P24" s="6"/>
      <c r="Q24" s="6"/>
      <c r="R24" s="6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</row>
    <row r="25" spans="1:91" s="1" customFormat="1" ht="15" customHeight="1">
      <c r="A25" s="2"/>
      <c r="B25" s="2"/>
      <c r="C25" s="2"/>
      <c r="D25" s="2"/>
      <c r="E25" s="2"/>
      <c r="F25" s="2"/>
      <c r="G25" s="2"/>
      <c r="H25" s="2"/>
      <c r="I25" s="5"/>
      <c r="J25" s="5"/>
      <c r="K25" s="2"/>
      <c r="L25" s="2"/>
      <c r="M25" s="2"/>
      <c r="N25" s="2"/>
      <c r="O25" s="4"/>
      <c r="P25" s="4"/>
      <c r="Q25" s="2"/>
      <c r="R25" s="2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</row>
    <row r="26" spans="1:91" s="1" customFormat="1" ht="15" customHeight="1">
      <c r="A26" s="2" t="s">
        <v>0</v>
      </c>
      <c r="B26" s="2"/>
      <c r="C26" s="2"/>
      <c r="D26" s="164"/>
      <c r="E26" s="120"/>
      <c r="F26" s="120"/>
      <c r="G26" s="120"/>
      <c r="H26" s="120"/>
      <c r="I26" s="120"/>
      <c r="J26" s="5"/>
      <c r="K26" s="2" t="s">
        <v>1</v>
      </c>
      <c r="L26" s="2"/>
      <c r="M26" s="2"/>
      <c r="N26" s="2"/>
      <c r="O26" s="5" t="s">
        <v>15</v>
      </c>
      <c r="P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</row>
    <row r="27" spans="1:91" s="1" customFormat="1" ht="15" customHeight="1">
      <c r="A27" s="2"/>
      <c r="B27" s="9"/>
      <c r="C27" s="9"/>
      <c r="D27" s="7"/>
      <c r="E27" s="5"/>
      <c r="F27" s="5"/>
      <c r="G27" s="5"/>
      <c r="H27" s="5"/>
      <c r="I27" s="5"/>
      <c r="J27" s="5"/>
      <c r="K27" s="3"/>
      <c r="L27" s="3"/>
      <c r="M27" s="3"/>
      <c r="N27" s="8"/>
      <c r="O27" s="8"/>
      <c r="P27" s="8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</row>
    <row r="28" spans="1:91" s="1" customFormat="1" ht="15" customHeight="1">
      <c r="A28" s="2" t="s">
        <v>25</v>
      </c>
      <c r="B28" s="2"/>
      <c r="C28" s="2"/>
      <c r="D28" s="164"/>
      <c r="F28" s="120"/>
      <c r="H28" s="2"/>
      <c r="I28" s="5"/>
      <c r="K28" s="2" t="s">
        <v>83</v>
      </c>
      <c r="L28" s="2"/>
      <c r="M28" s="2"/>
      <c r="N28" s="2"/>
      <c r="O28" s="5" t="s">
        <v>28</v>
      </c>
      <c r="P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</row>
    <row r="29" spans="1:91" s="1" customFormat="1" ht="15" customHeight="1">
      <c r="A29" s="2"/>
      <c r="B29" s="2"/>
      <c r="C29" s="2"/>
      <c r="D29" s="5"/>
      <c r="E29" s="5"/>
      <c r="F29" s="5"/>
      <c r="G29" s="5"/>
      <c r="H29" s="5"/>
      <c r="I29" s="5"/>
      <c r="J29" s="5"/>
      <c r="K29" s="3"/>
      <c r="L29" s="3"/>
      <c r="M29" s="5"/>
      <c r="N29" s="5"/>
      <c r="O29" s="7"/>
      <c r="P29" s="8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</row>
    <row r="30" spans="1:91" s="1" customFormat="1" ht="15" customHeight="1">
      <c r="A30" s="151" t="s">
        <v>26</v>
      </c>
      <c r="B30" s="151"/>
      <c r="C30" s="162"/>
      <c r="D30" s="198"/>
      <c r="E30" s="198"/>
      <c r="F30" s="120"/>
      <c r="G30" s="120"/>
      <c r="H30" s="120"/>
      <c r="I30" s="120"/>
      <c r="J30" s="5"/>
      <c r="K30" s="2" t="s">
        <v>11</v>
      </c>
      <c r="L30" s="2"/>
      <c r="M30" s="2"/>
      <c r="N30" s="2"/>
      <c r="O30" s="115" t="s">
        <v>182</v>
      </c>
      <c r="P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</row>
    <row r="31" spans="1:91" s="1" customFormat="1" ht="15" customHeight="1">
      <c r="A31" s="151"/>
      <c r="B31" s="151"/>
      <c r="C31" s="151"/>
      <c r="D31" s="115"/>
      <c r="E31" s="115"/>
      <c r="F31" s="5"/>
      <c r="G31" s="5"/>
      <c r="H31" s="5"/>
      <c r="I31" s="5"/>
      <c r="J31" s="5"/>
      <c r="K31" s="2" t="s">
        <v>2</v>
      </c>
      <c r="L31" s="2"/>
      <c r="M31" s="2"/>
      <c r="N31" s="2"/>
      <c r="O31" s="7" t="s">
        <v>29</v>
      </c>
      <c r="P31" s="7" t="s">
        <v>10</v>
      </c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</row>
    <row r="32" spans="1:91" s="1" customFormat="1" ht="15" customHeight="1">
      <c r="A32" s="151" t="s">
        <v>27</v>
      </c>
      <c r="B32" s="151"/>
      <c r="C32" s="151"/>
      <c r="D32" s="198"/>
      <c r="E32" s="198" t="s">
        <v>180</v>
      </c>
      <c r="F32" s="120"/>
      <c r="G32" s="120"/>
      <c r="H32" s="120"/>
      <c r="I32" s="120"/>
      <c r="J32" s="120"/>
      <c r="K32" s="2" t="s">
        <v>3</v>
      </c>
      <c r="L32" s="2"/>
      <c r="M32" s="2"/>
      <c r="N32" s="2"/>
      <c r="O32" s="116" t="s">
        <v>30</v>
      </c>
      <c r="P32" s="7" t="s">
        <v>21</v>
      </c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</row>
    <row r="33" spans="1:91" s="1" customFormat="1" ht="15" customHeight="1">
      <c r="B33" s="151"/>
      <c r="C33" s="151"/>
      <c r="D33" s="116"/>
      <c r="E33" s="199"/>
      <c r="F33" s="5"/>
      <c r="G33" s="121"/>
      <c r="H33" s="121"/>
      <c r="I33" s="5"/>
      <c r="J33" s="5"/>
      <c r="K33" s="3"/>
      <c r="L33" s="3"/>
      <c r="M33" s="5"/>
      <c r="N33" s="5"/>
      <c r="O33" s="7"/>
      <c r="P33" s="8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</row>
    <row r="34" spans="1:91" s="1" customFormat="1" ht="15" customHeight="1">
      <c r="A34" s="151" t="s">
        <v>181</v>
      </c>
      <c r="B34" s="151"/>
      <c r="C34" s="162"/>
      <c r="D34" s="198"/>
      <c r="E34" s="115" t="s">
        <v>180</v>
      </c>
      <c r="F34" s="120"/>
      <c r="G34" s="5"/>
      <c r="H34" s="5"/>
      <c r="I34" s="150"/>
      <c r="J34" s="150"/>
      <c r="K34" s="2" t="s">
        <v>84</v>
      </c>
      <c r="L34" s="2"/>
      <c r="M34" s="2"/>
      <c r="N34" s="2"/>
      <c r="O34" s="218"/>
      <c r="P34" s="218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</row>
    <row r="35" spans="1:91" s="1" customFormat="1" ht="15" customHeight="1">
      <c r="K35" s="2" t="s">
        <v>31</v>
      </c>
      <c r="L35" s="2"/>
      <c r="M35" s="2"/>
      <c r="N35" s="2"/>
      <c r="O35" s="219">
        <f ca="1">TODAY()</f>
        <v>45399</v>
      </c>
      <c r="P35" s="219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</row>
    <row r="36" spans="1:91" s="1" customFormat="1" ht="15" customHeight="1">
      <c r="K36" s="2"/>
      <c r="L36" s="2"/>
      <c r="M36" s="2"/>
      <c r="N36" s="2"/>
      <c r="O36" s="153"/>
      <c r="P36" s="153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</row>
    <row r="37" spans="1:91" s="1" customFormat="1" ht="15" customHeight="1">
      <c r="H37" s="115"/>
      <c r="K37" s="14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</row>
    <row r="38" spans="1:91" s="1" customFormat="1" ht="15" customHeight="1">
      <c r="A38" s="5" t="s">
        <v>151</v>
      </c>
      <c r="B38" s="5"/>
      <c r="C38" s="5"/>
      <c r="D38" s="2"/>
      <c r="E38" s="5"/>
      <c r="F38" s="5"/>
      <c r="G38" s="5"/>
      <c r="H38" s="220"/>
      <c r="I38" s="220"/>
      <c r="J38" s="220"/>
      <c r="K38" s="220"/>
      <c r="L38" s="10"/>
      <c r="M38" s="11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</row>
    <row r="39" spans="1:91" s="1" customFormat="1" ht="15" customHeight="1">
      <c r="A39" s="225"/>
      <c r="B39" s="225"/>
      <c r="C39" s="225"/>
      <c r="D39" s="123"/>
      <c r="E39" s="123"/>
      <c r="F39" s="2"/>
      <c r="G39" s="2"/>
      <c r="H39" s="2"/>
      <c r="M39" s="2"/>
      <c r="N39" s="2"/>
      <c r="O39" s="2"/>
      <c r="P39" s="2"/>
      <c r="Q39" s="2"/>
      <c r="R39" s="2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</row>
    <row r="40" spans="1:91" s="1" customFormat="1" ht="15" customHeight="1">
      <c r="A40" s="225" t="s">
        <v>19</v>
      </c>
      <c r="B40" s="225"/>
      <c r="C40" s="225"/>
      <c r="D40" s="123" t="s">
        <v>15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</row>
    <row r="41" spans="1:91" s="1" customFormat="1" ht="13.5" customHeight="1">
      <c r="A41" s="8"/>
      <c r="B41" s="8"/>
      <c r="C41" s="8"/>
      <c r="D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5"/>
      <c r="T41" s="115">
        <v>4</v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</row>
    <row r="42" spans="1:91" s="1" customFormat="1" ht="13.5" customHeight="1">
      <c r="A42" s="8"/>
      <c r="B42" s="8"/>
      <c r="C42" s="8"/>
      <c r="D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5"/>
      <c r="T42" s="11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</row>
    <row r="43" spans="1:91" s="1" customFormat="1" ht="13.5" customHeight="1">
      <c r="A43" s="8"/>
      <c r="B43" s="8"/>
      <c r="C43" s="8"/>
      <c r="D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5"/>
      <c r="T43" s="11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</row>
    <row r="44" spans="1:91" s="1" customFormat="1" ht="13.5" customHeight="1">
      <c r="S44" s="5"/>
      <c r="T44" s="11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</row>
    <row r="45" spans="1:91" s="1" customFormat="1" ht="15" customHeight="1">
      <c r="A45" s="234" t="s">
        <v>175</v>
      </c>
      <c r="B45" s="234"/>
      <c r="C45" s="234"/>
      <c r="D45" s="122" t="s">
        <v>15</v>
      </c>
      <c r="F45" s="5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5"/>
      <c r="T45" s="11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</row>
    <row r="46" spans="1:91" s="1" customFormat="1" ht="15" customHeight="1">
      <c r="A46" s="165"/>
      <c r="B46" s="165"/>
      <c r="C46" s="165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5"/>
      <c r="T46" s="11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</row>
    <row r="47" spans="1:91" s="1" customFormat="1" ht="15" customHeight="1">
      <c r="A47" s="235" t="s">
        <v>176</v>
      </c>
      <c r="B47" s="235"/>
      <c r="C47" s="235"/>
      <c r="D47" s="115" t="str">
        <f>IF(T41=1,"",IF(T41=2,T49,IF(T41=3,T50,IF(T41=4,T51,IF(T41=5,T52,IF(T41=6,T53))))))</f>
        <v>CONFORME au plan de définition</v>
      </c>
      <c r="F47" s="114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5"/>
      <c r="T47" s="11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</row>
    <row r="48" spans="1:91" s="1" customFormat="1" ht="15" customHeight="1">
      <c r="A48" s="163"/>
      <c r="B48" s="163"/>
      <c r="C48" s="163"/>
      <c r="D48" s="115"/>
      <c r="F48" s="114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5"/>
      <c r="T48" s="11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</row>
    <row r="49" spans="1:91" s="1" customFormat="1" ht="15" customHeight="1">
      <c r="A49" s="4"/>
      <c r="B49" s="4"/>
      <c r="C49" s="4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5"/>
      <c r="T49" s="114" t="s">
        <v>173</v>
      </c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</row>
    <row r="50" spans="1:91" s="1" customFormat="1" ht="15" customHeight="1">
      <c r="A50" s="12"/>
      <c r="B50" s="12"/>
      <c r="C50" s="12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"/>
      <c r="T50" s="114" t="s">
        <v>174</v>
      </c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</row>
    <row r="51" spans="1:91" s="1" customFormat="1" ht="15" customHeight="1">
      <c r="A51" s="12"/>
      <c r="B51" s="12"/>
      <c r="C51" s="12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5"/>
      <c r="T51" s="130" t="s">
        <v>155</v>
      </c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</row>
    <row r="52" spans="1:91" s="1" customFormat="1" ht="15" customHeight="1">
      <c r="S52" s="5"/>
      <c r="T52" s="130" t="s">
        <v>156</v>
      </c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</row>
    <row r="53" spans="1:91" s="1" customFormat="1" ht="1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5"/>
      <c r="N53" s="5"/>
      <c r="O53" s="5"/>
      <c r="P53" s="5"/>
      <c r="Q53" s="5"/>
      <c r="R53" s="5"/>
      <c r="S53" s="5"/>
      <c r="T53" s="131" t="s">
        <v>154</v>
      </c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</row>
    <row r="54" spans="1:91" s="1" customFormat="1" ht="15" customHeight="1">
      <c r="A54" s="2" t="s">
        <v>138</v>
      </c>
      <c r="B54" s="2"/>
      <c r="C54" s="2"/>
      <c r="D54" s="164"/>
      <c r="E54" s="3" t="s">
        <v>137</v>
      </c>
      <c r="G54" s="3"/>
      <c r="H54" s="3"/>
      <c r="K54" s="7" t="s">
        <v>139</v>
      </c>
      <c r="L54" s="5"/>
      <c r="M54" s="5"/>
      <c r="O54" s="115" t="str">
        <f>IF(U55=1,"",IF(U55=2,T55,IF(U55=3,T56)))</f>
        <v>J. LANOUX</v>
      </c>
      <c r="P54" s="115"/>
      <c r="S54" s="5"/>
      <c r="U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</row>
    <row r="55" spans="1:91" s="1" customFormat="1" ht="1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5"/>
      <c r="N55" s="5"/>
      <c r="O55" s="5"/>
      <c r="P55" s="5"/>
      <c r="Q55" s="5"/>
      <c r="R55" s="5"/>
      <c r="S55" s="5"/>
      <c r="T55" s="5" t="s">
        <v>140</v>
      </c>
      <c r="U55" s="5">
        <v>2</v>
      </c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</row>
    <row r="56" spans="1:91" s="1" customFormat="1" ht="1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5"/>
      <c r="N56" s="5"/>
      <c r="O56" s="5"/>
      <c r="P56" s="5"/>
      <c r="Q56" s="5"/>
      <c r="R56" s="5"/>
      <c r="S56" s="5"/>
      <c r="T56" s="5" t="s">
        <v>150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</row>
    <row r="57" spans="1:91" s="1" customFormat="1" ht="1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</row>
    <row r="58" spans="1:91" s="1" customFormat="1" ht="15" customHeight="1">
      <c r="A58" s="231" t="s">
        <v>18</v>
      </c>
      <c r="B58" s="231"/>
      <c r="C58" s="231"/>
      <c r="D58" s="231"/>
      <c r="E58" s="231"/>
      <c r="F58" s="231"/>
      <c r="G58" s="231"/>
      <c r="H58" s="231"/>
      <c r="I58" s="231"/>
      <c r="J58" s="231"/>
      <c r="K58" s="231"/>
      <c r="L58" s="231"/>
      <c r="M58" s="231"/>
      <c r="N58" s="231"/>
      <c r="O58" s="231"/>
      <c r="P58" s="231"/>
      <c r="Q58" s="178"/>
      <c r="R58" s="178"/>
      <c r="S58" s="5"/>
      <c r="T58" s="124" t="s">
        <v>159</v>
      </c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</row>
    <row r="59" spans="1:91" s="1" customFormat="1" ht="15" customHeight="1">
      <c r="A59" s="231"/>
      <c r="B59" s="231"/>
      <c r="C59" s="231"/>
      <c r="D59" s="231"/>
      <c r="E59" s="231"/>
      <c r="F59" s="231"/>
      <c r="G59" s="231"/>
      <c r="H59" s="231"/>
      <c r="I59" s="231"/>
      <c r="J59" s="231"/>
      <c r="K59" s="231"/>
      <c r="L59" s="231"/>
      <c r="M59" s="231"/>
      <c r="N59" s="231"/>
      <c r="O59" s="231"/>
      <c r="P59" s="231"/>
      <c r="Q59" s="178"/>
      <c r="R59" s="178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</row>
    <row r="60" spans="1:91" s="1" customFormat="1" ht="15" customHeight="1">
      <c r="A60" s="231"/>
      <c r="B60" s="231"/>
      <c r="C60" s="231"/>
      <c r="D60" s="231"/>
      <c r="E60" s="231"/>
      <c r="F60" s="231"/>
      <c r="G60" s="231"/>
      <c r="H60" s="231"/>
      <c r="I60" s="231"/>
      <c r="J60" s="231"/>
      <c r="K60" s="231"/>
      <c r="L60" s="231"/>
      <c r="M60" s="231"/>
      <c r="N60" s="231"/>
      <c r="O60" s="231"/>
      <c r="P60" s="231"/>
      <c r="Q60" s="178"/>
      <c r="R60" s="178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</row>
    <row r="61" spans="1:91" s="1" customFormat="1" ht="15" customHeight="1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</row>
    <row r="62" spans="1:91" s="1" customFormat="1" ht="15" customHeight="1">
      <c r="A62" s="232" t="s">
        <v>33</v>
      </c>
      <c r="B62" s="232"/>
      <c r="C62" s="232"/>
      <c r="D62" s="232"/>
      <c r="E62" s="232"/>
      <c r="F62" s="232"/>
      <c r="G62" s="232"/>
      <c r="H62" s="232"/>
      <c r="I62" s="232"/>
      <c r="J62" s="232"/>
      <c r="K62" s="232"/>
      <c r="L62" s="232"/>
      <c r="M62" s="232"/>
      <c r="N62" s="232"/>
      <c r="O62" s="232"/>
      <c r="P62" s="232"/>
      <c r="Q62" s="41"/>
      <c r="R62" s="41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</row>
    <row r="63" spans="1:91" s="1" customFormat="1" ht="15" customHeight="1">
      <c r="A63" s="233" t="str">
        <f>A14</f>
        <v xml:space="preserve">N° </v>
      </c>
      <c r="B63" s="233"/>
      <c r="C63" s="233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40"/>
      <c r="R63" s="40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</row>
    <row r="64" spans="1:91" s="1" customFormat="1" ht="1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</row>
    <row r="65" spans="1:91" s="1" customFormat="1" ht="1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 t="s">
        <v>148</v>
      </c>
      <c r="U65" s="5">
        <v>3</v>
      </c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</row>
    <row r="66" spans="1:91" s="1" customFormat="1" ht="15" customHeight="1">
      <c r="A66" s="228" t="s">
        <v>12</v>
      </c>
      <c r="B66" s="228"/>
      <c r="C66" s="228"/>
      <c r="D66" s="228"/>
      <c r="E66" s="236">
        <f>O34</f>
        <v>0</v>
      </c>
      <c r="F66" s="236"/>
      <c r="G66" s="10"/>
      <c r="H66" s="10"/>
      <c r="I66" s="3"/>
      <c r="J66" s="3"/>
      <c r="K66" s="6" t="s">
        <v>20</v>
      </c>
      <c r="L66" s="6"/>
      <c r="M66" s="6"/>
      <c r="N66" s="5" t="str">
        <f>IF(U65=1,"",IF(U65=2,T65,IF(U65=3,T66,IF(U65=4,T67))))</f>
        <v>T. BODY</v>
      </c>
      <c r="O66" s="5"/>
      <c r="P66" s="5"/>
      <c r="Q66" s="5"/>
      <c r="S66" s="5"/>
      <c r="T66" s="5" t="s">
        <v>149</v>
      </c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</row>
    <row r="67" spans="1:91" s="1" customFormat="1" ht="15" customHeight="1">
      <c r="A67" s="4"/>
      <c r="B67" s="4"/>
      <c r="C67" s="4"/>
      <c r="D67" s="4"/>
      <c r="E67" s="17"/>
      <c r="F67" s="18"/>
      <c r="G67" s="10"/>
      <c r="H67" s="10"/>
      <c r="I67" s="3"/>
      <c r="J67" s="3"/>
      <c r="L67" s="15"/>
      <c r="M67" s="15"/>
      <c r="N67" s="15"/>
      <c r="O67" s="5"/>
      <c r="P67" s="5"/>
      <c r="Q67" s="5"/>
      <c r="R67" s="5"/>
      <c r="S67" s="5"/>
      <c r="T67" s="5" t="s">
        <v>140</v>
      </c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</row>
    <row r="68" spans="1:91" s="1" customFormat="1" ht="15" customHeight="1">
      <c r="A68" s="4"/>
      <c r="B68" s="4"/>
      <c r="C68" s="4"/>
      <c r="D68" s="4"/>
      <c r="E68" s="10"/>
      <c r="F68" s="10"/>
      <c r="G68" s="10"/>
      <c r="H68" s="10"/>
      <c r="I68" s="3"/>
      <c r="J68" s="3"/>
      <c r="K68" s="15"/>
      <c r="L68" s="15"/>
      <c r="M68" s="1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83"/>
      <c r="AC68" s="83"/>
      <c r="AD68" s="83"/>
      <c r="AE68" s="83"/>
      <c r="AF68" s="83"/>
      <c r="AG68" s="83"/>
      <c r="AH68" s="83"/>
      <c r="AI68" s="83"/>
      <c r="AJ68" s="83"/>
      <c r="AK68" s="83"/>
      <c r="AL68" s="83"/>
      <c r="AM68" s="83"/>
      <c r="AN68" s="83"/>
      <c r="AO68" s="83"/>
      <c r="AP68" s="83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</row>
    <row r="69" spans="1:91" s="1" customFormat="1" ht="15" customHeight="1">
      <c r="A69" s="4" t="s">
        <v>16</v>
      </c>
      <c r="B69" s="4"/>
      <c r="C69" s="4"/>
      <c r="D69" s="4"/>
      <c r="E69" s="10"/>
      <c r="F69" s="10"/>
      <c r="G69" s="10"/>
      <c r="H69" s="10"/>
      <c r="I69" s="3"/>
      <c r="J69" s="3"/>
      <c r="K69" s="15"/>
      <c r="L69" s="15"/>
      <c r="M69" s="1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83"/>
      <c r="AC69" s="83"/>
      <c r="AD69" s="83"/>
      <c r="AE69" s="83"/>
      <c r="AF69" s="83"/>
      <c r="AG69" s="83"/>
      <c r="AH69" s="83"/>
      <c r="AI69" s="83"/>
      <c r="AJ69" s="83"/>
      <c r="AK69" s="83"/>
      <c r="AL69" s="83"/>
      <c r="AM69" s="83"/>
      <c r="AN69" s="83"/>
      <c r="AO69" s="83"/>
      <c r="AP69" s="83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</row>
    <row r="70" spans="1:91" s="1" customFormat="1" ht="15" customHeight="1">
      <c r="A70" s="20" t="s">
        <v>34</v>
      </c>
      <c r="B70" s="4"/>
      <c r="C70" s="4"/>
      <c r="D70" s="4"/>
      <c r="E70" s="4"/>
      <c r="F70" s="4"/>
      <c r="G70" s="4"/>
      <c r="H70" s="4"/>
      <c r="I70" s="4"/>
      <c r="J70" s="3"/>
      <c r="K70" s="15"/>
      <c r="L70" s="15"/>
      <c r="M70" s="1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83"/>
      <c r="AC70" s="83"/>
      <c r="AD70" s="83"/>
      <c r="AE70" s="83"/>
      <c r="AF70" s="83"/>
      <c r="AG70" s="83"/>
      <c r="AH70" s="83"/>
      <c r="AI70" s="83"/>
      <c r="AJ70" s="83"/>
      <c r="AK70" s="83"/>
      <c r="AL70" s="83"/>
      <c r="AM70" s="83"/>
      <c r="AN70" s="83"/>
      <c r="AO70" s="83"/>
      <c r="AP70" s="83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</row>
    <row r="71" spans="1:91" s="1" customFormat="1" ht="15" customHeight="1">
      <c r="A71" s="20" t="s">
        <v>35</v>
      </c>
      <c r="B71" s="20"/>
      <c r="C71" s="20"/>
      <c r="D71" s="20"/>
      <c r="E71" s="20"/>
      <c r="F71" s="20"/>
      <c r="G71" s="20"/>
      <c r="H71" s="20"/>
      <c r="I71" s="20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81"/>
      <c r="AC71" s="58"/>
      <c r="AD71" s="58"/>
      <c r="AE71" s="73"/>
      <c r="AF71" s="73"/>
      <c r="AG71" s="73"/>
      <c r="AH71" s="73"/>
      <c r="AI71" s="58"/>
      <c r="AJ71" s="74"/>
      <c r="AK71" s="58"/>
      <c r="AL71" s="75"/>
      <c r="AM71" s="76"/>
      <c r="AN71" s="76"/>
      <c r="AO71" s="76"/>
      <c r="AP71" s="76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</row>
    <row r="72" spans="1:91" s="1" customFormat="1" ht="15" customHeight="1">
      <c r="A72" s="20" t="s">
        <v>36</v>
      </c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5"/>
      <c r="T72" s="5"/>
      <c r="U72" s="5"/>
      <c r="V72" s="5"/>
      <c r="W72" s="5"/>
      <c r="X72" s="5"/>
      <c r="Y72" s="5"/>
      <c r="Z72" s="5"/>
      <c r="AA72" s="5"/>
      <c r="AB72" s="82"/>
      <c r="AC72" s="58"/>
      <c r="AD72" s="58"/>
      <c r="AE72" s="73"/>
      <c r="AF72" s="73"/>
      <c r="AG72" s="73"/>
      <c r="AH72" s="73"/>
      <c r="AI72" s="58"/>
      <c r="AJ72" s="74"/>
      <c r="AK72" s="58"/>
      <c r="AL72" s="75"/>
      <c r="AM72" s="76"/>
      <c r="AN72" s="76"/>
      <c r="AO72" s="76"/>
      <c r="AP72" s="76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</row>
    <row r="73" spans="1:91" s="1" customFormat="1" ht="15" customHeight="1"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5"/>
      <c r="T73" s="5"/>
      <c r="U73" s="5"/>
      <c r="V73" s="5"/>
      <c r="W73" s="5"/>
      <c r="X73" s="5"/>
      <c r="Y73" s="5"/>
      <c r="Z73" s="5"/>
      <c r="AA73" s="70" t="s">
        <v>90</v>
      </c>
      <c r="AB73" s="78"/>
      <c r="AC73" s="77"/>
      <c r="AD73" s="58"/>
      <c r="AE73" s="73"/>
      <c r="AF73" s="73"/>
      <c r="AG73" s="73"/>
      <c r="AH73" s="73"/>
      <c r="AI73" s="70" t="s">
        <v>130</v>
      </c>
      <c r="AJ73" s="74"/>
      <c r="AK73" s="58"/>
      <c r="AL73" s="75"/>
      <c r="AM73" s="76"/>
      <c r="AN73" s="76"/>
      <c r="AO73" s="76"/>
      <c r="AP73" s="76"/>
      <c r="AQ73" s="115"/>
      <c r="AR73" s="70" t="s">
        <v>91</v>
      </c>
      <c r="AS73" s="115"/>
      <c r="AT73" s="115"/>
      <c r="AU73" s="115"/>
      <c r="AV73" s="115"/>
      <c r="AW73" s="115"/>
      <c r="AX73" s="11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</row>
    <row r="74" spans="1:91" s="1" customFormat="1" ht="15" customHeight="1">
      <c r="J74" s="20"/>
      <c r="K74" s="20"/>
      <c r="L74" s="20"/>
      <c r="M74" s="20"/>
      <c r="N74" s="20"/>
      <c r="O74" s="20"/>
      <c r="P74" s="20"/>
      <c r="Q74" s="20"/>
      <c r="R74" s="20"/>
      <c r="S74" s="5"/>
      <c r="T74" s="5"/>
      <c r="U74" s="5"/>
      <c r="V74" s="5"/>
      <c r="W74" s="5"/>
      <c r="X74" s="5"/>
      <c r="Y74" s="5"/>
      <c r="Z74" s="5"/>
      <c r="AA74" s="115"/>
      <c r="AB74" s="83"/>
      <c r="AC74" s="83"/>
      <c r="AD74" s="83"/>
      <c r="AE74" s="83"/>
      <c r="AF74" s="83"/>
      <c r="AG74" s="83"/>
      <c r="AH74" s="83"/>
      <c r="AI74" s="83"/>
      <c r="AJ74" s="83"/>
      <c r="AK74" s="83"/>
      <c r="AL74" s="83"/>
      <c r="AM74" s="83"/>
      <c r="AN74" s="83"/>
      <c r="AO74" s="83"/>
      <c r="AP74" s="83"/>
      <c r="AQ74" s="115"/>
      <c r="AR74" s="115"/>
      <c r="AS74" s="115"/>
      <c r="AT74" s="115"/>
      <c r="AU74" s="115"/>
      <c r="AV74" s="115"/>
      <c r="AW74" s="115"/>
      <c r="AX74" s="11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</row>
    <row r="75" spans="1:91" s="1" customFormat="1" ht="15" customHeight="1">
      <c r="A75" s="6" t="s">
        <v>92</v>
      </c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5"/>
      <c r="T75" s="97" t="s">
        <v>157</v>
      </c>
      <c r="U75" s="5"/>
      <c r="V75" s="5"/>
      <c r="W75" s="5"/>
      <c r="X75" s="5"/>
      <c r="Y75" s="5"/>
      <c r="Z75" s="5"/>
      <c r="AA75" s="166" t="s">
        <v>93</v>
      </c>
      <c r="AB75" s="85" t="str">
        <f>'[2]raccordements à jour '!$B$9</f>
        <v>Machine de mesure tridimensionnelle MITUTOYO EURO-C APEX 7106 (MMT01)</v>
      </c>
      <c r="AC75" s="92"/>
      <c r="AD75" s="92"/>
      <c r="AE75" s="92"/>
      <c r="AF75" s="92"/>
      <c r="AG75" s="93"/>
      <c r="AI75" s="167" t="s">
        <v>127</v>
      </c>
      <c r="AJ75" s="84" t="str">
        <f>'[2]raccordements à jour '!$B$113</f>
        <v>Pied à coulisse MITUTOYO 0-150 mm (PAC1)</v>
      </c>
      <c r="AK75" s="85"/>
      <c r="AL75" s="86"/>
      <c r="AM75" s="85"/>
      <c r="AN75" s="85"/>
      <c r="AO75" s="87"/>
      <c r="AP75" s="58"/>
      <c r="AQ75" s="115"/>
      <c r="AR75" s="168" t="s">
        <v>96</v>
      </c>
      <c r="AS75" s="85" t="str">
        <f>'[2]raccordements à jour '!$B$19</f>
        <v>Boîte de cales CARY (BCE1)</v>
      </c>
      <c r="AT75" s="85"/>
      <c r="AU75" s="86"/>
      <c r="AV75" s="85"/>
      <c r="AW75" s="92"/>
      <c r="AX75" s="93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</row>
    <row r="76" spans="1:91" s="1" customFormat="1" ht="15" customHeight="1">
      <c r="A76" s="98" t="s">
        <v>37</v>
      </c>
      <c r="B76" s="163"/>
      <c r="C76" s="163"/>
      <c r="D76" s="116" t="s">
        <v>183</v>
      </c>
      <c r="E76" s="163"/>
      <c r="F76" s="163"/>
      <c r="G76" s="4"/>
      <c r="H76" s="4"/>
      <c r="I76" s="4"/>
      <c r="J76" s="4"/>
      <c r="K76" s="4"/>
      <c r="L76" s="4"/>
      <c r="M76" s="4"/>
      <c r="N76" s="4"/>
      <c r="O76" s="4"/>
      <c r="P76" s="4"/>
      <c r="Q76" s="3"/>
      <c r="R76" s="3"/>
      <c r="S76" s="5"/>
      <c r="T76" s="5"/>
      <c r="U76" s="5"/>
      <c r="V76" s="5"/>
      <c r="W76" s="5"/>
      <c r="X76" s="5"/>
      <c r="Y76" s="5"/>
      <c r="Z76" s="5"/>
      <c r="AA76" s="169"/>
      <c r="AB76" s="58" t="str">
        <f>'[2]raccordements à jour '!$B$10</f>
        <v>CE N° 23042101-OMA</v>
      </c>
      <c r="AG76" s="94"/>
      <c r="AI76" s="169"/>
      <c r="AJ76" s="77" t="str">
        <f>'[2]raccordements à jour '!$B$114</f>
        <v>CV N° 2306142658</v>
      </c>
      <c r="AK76" s="58"/>
      <c r="AL76" s="73"/>
      <c r="AM76" s="58"/>
      <c r="AN76" s="58"/>
      <c r="AO76" s="88"/>
      <c r="AP76" s="58"/>
      <c r="AQ76" s="115"/>
      <c r="AR76" s="170"/>
      <c r="AS76" s="58" t="str">
        <f>'[2]raccordements à jour '!$B$20</f>
        <v>CE COFRAC n° 033591_001</v>
      </c>
      <c r="AT76" s="58"/>
      <c r="AU76" s="73"/>
      <c r="AV76" s="58"/>
      <c r="AX76" s="94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</row>
    <row r="77" spans="1:91" s="1" customFormat="1" ht="15" customHeight="1">
      <c r="A77" s="239" t="s">
        <v>13</v>
      </c>
      <c r="B77" s="235"/>
      <c r="C77" s="235"/>
      <c r="D77" s="116" t="s">
        <v>184</v>
      </c>
      <c r="E77" s="163"/>
      <c r="F77" s="163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5"/>
      <c r="T77" s="70"/>
      <c r="U77" s="5"/>
      <c r="V77" s="5"/>
      <c r="W77" s="5"/>
      <c r="X77" s="5"/>
      <c r="Y77" s="5"/>
      <c r="Z77" s="5"/>
      <c r="AA77" s="169"/>
      <c r="AB77" s="171">
        <f>'[2]raccordements à jour '!$B$11</f>
        <v>45748</v>
      </c>
      <c r="AG77" s="94"/>
      <c r="AI77" s="169"/>
      <c r="AJ77" s="171">
        <f>'[2]raccordements à jour '!$B$115</f>
        <v>45444</v>
      </c>
      <c r="AK77" s="58"/>
      <c r="AL77" s="73"/>
      <c r="AM77" s="58"/>
      <c r="AN77" s="58"/>
      <c r="AO77" s="88"/>
      <c r="AP77" s="58"/>
      <c r="AQ77" s="115"/>
      <c r="AR77" s="118"/>
      <c r="AS77" s="171">
        <f>'[2]raccordements à jour '!$B$21</f>
        <v>46935</v>
      </c>
      <c r="AT77" s="58"/>
      <c r="AU77" s="73"/>
      <c r="AV77" s="58"/>
      <c r="AX77" s="94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</row>
    <row r="78" spans="1:91" s="1" customFormat="1" ht="15" customHeight="1">
      <c r="A78" s="239" t="s">
        <v>14</v>
      </c>
      <c r="B78" s="235"/>
      <c r="C78" s="235"/>
      <c r="D78" s="240">
        <v>45748</v>
      </c>
      <c r="E78" s="240"/>
      <c r="F78" s="165"/>
      <c r="G78" s="3"/>
      <c r="H78" s="3"/>
      <c r="I78" s="3"/>
      <c r="J78" s="3"/>
      <c r="K78" s="3"/>
      <c r="L78" s="3"/>
      <c r="M78" s="3"/>
      <c r="N78" s="3"/>
      <c r="O78" s="3"/>
      <c r="P78" s="3"/>
      <c r="Q78" s="4"/>
      <c r="R78" s="4"/>
      <c r="S78" s="5"/>
      <c r="T78" s="5"/>
      <c r="U78" s="5"/>
      <c r="V78" s="5"/>
      <c r="W78" s="5"/>
      <c r="X78" s="7"/>
      <c r="Y78" s="5"/>
      <c r="Z78" s="5"/>
      <c r="AA78" s="169" t="s">
        <v>94</v>
      </c>
      <c r="AB78" s="58" t="str">
        <f>'[2]raccordements à jour '!$B$12</f>
        <v>Machine à mesurer optique AYONIS DELTEC DV-LEO-3100 (MMO02)</v>
      </c>
      <c r="AG78" s="94"/>
      <c r="AI78" s="118" t="s">
        <v>158</v>
      </c>
      <c r="AJ78" s="77" t="str">
        <f>'[2]raccordements à jour '!$B$116</f>
        <v>Pied à coulisse ROCH 0-300 mm (PAC3)</v>
      </c>
      <c r="AK78" s="58"/>
      <c r="AL78" s="73"/>
      <c r="AM78" s="58"/>
      <c r="AN78" s="58"/>
      <c r="AO78" s="88"/>
      <c r="AP78" s="58"/>
      <c r="AQ78" s="115"/>
      <c r="AR78" s="118" t="s">
        <v>103</v>
      </c>
      <c r="AS78" s="58" t="str">
        <f>'[2]raccordements à jour '!$B$40</f>
        <v>Cale étalon 400 mm (CE1)</v>
      </c>
      <c r="AT78" s="58"/>
      <c r="AU78" s="73"/>
      <c r="AV78" s="58"/>
      <c r="AX78" s="94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</row>
    <row r="79" spans="1:91" s="1" customFormat="1" ht="15" customHeight="1">
      <c r="A79" s="186"/>
      <c r="B79" s="6"/>
      <c r="C79" s="6"/>
      <c r="D79" s="6"/>
      <c r="E79" s="6"/>
      <c r="F79" s="6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5"/>
      <c r="T79" s="5"/>
      <c r="U79" s="5"/>
      <c r="V79" s="5"/>
      <c r="W79" s="5"/>
      <c r="X79" s="115"/>
      <c r="Y79" s="5"/>
      <c r="Z79" s="5"/>
      <c r="AA79" s="169"/>
      <c r="AB79" s="58" t="str">
        <f>'[2]raccordements à jour '!$B$13</f>
        <v>CE N° 2023-2203</v>
      </c>
      <c r="AG79" s="94"/>
      <c r="AI79" s="169"/>
      <c r="AJ79" s="77" t="str">
        <f>'[2]raccordements à jour '!$B$117</f>
        <v>CV N° 2306142660</v>
      </c>
      <c r="AK79" s="58"/>
      <c r="AL79" s="73"/>
      <c r="AM79" s="58"/>
      <c r="AN79" s="58"/>
      <c r="AO79" s="88"/>
      <c r="AP79" s="58"/>
      <c r="AQ79" s="115"/>
      <c r="AR79" s="118"/>
      <c r="AS79" s="58" t="str">
        <f>'[2]raccordements à jour '!$B$41</f>
        <v>CE COFRAC n° 030627_008</v>
      </c>
      <c r="AT79" s="58"/>
      <c r="AU79" s="73"/>
      <c r="AV79" s="58"/>
      <c r="AX79" s="94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</row>
    <row r="80" spans="1:91" s="1" customFormat="1" ht="15" customHeight="1">
      <c r="A80" s="99"/>
      <c r="B80" s="6"/>
      <c r="C80" s="6"/>
      <c r="D80" s="116"/>
      <c r="E80" s="163"/>
      <c r="F80" s="163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3"/>
      <c r="R80" s="3"/>
      <c r="S80" s="5"/>
      <c r="T80" s="70"/>
      <c r="U80" s="5"/>
      <c r="V80" s="5"/>
      <c r="W80" s="7"/>
      <c r="X80" s="134"/>
      <c r="Y80" s="70"/>
      <c r="Z80" s="5"/>
      <c r="AA80" s="169"/>
      <c r="AB80" s="171">
        <f>'[2]raccordements à jour '!$B$14</f>
        <v>45901</v>
      </c>
      <c r="AC80" s="171"/>
      <c r="AG80" s="94"/>
      <c r="AI80" s="169"/>
      <c r="AJ80" s="171">
        <f>'[2]raccordements à jour '!$B$118</f>
        <v>45444</v>
      </c>
      <c r="AK80" s="58"/>
      <c r="AL80" s="73"/>
      <c r="AM80" s="58"/>
      <c r="AN80" s="58"/>
      <c r="AO80" s="88"/>
      <c r="AP80" s="58"/>
      <c r="AQ80" s="115"/>
      <c r="AR80" s="118"/>
      <c r="AS80" s="171">
        <f>'[2]raccordements à jour '!$B$42</f>
        <v>46174</v>
      </c>
      <c r="AT80" s="58"/>
      <c r="AU80" s="73"/>
      <c r="AV80" s="58"/>
      <c r="AX80" s="94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</row>
    <row r="81" spans="1:91" s="1" customFormat="1" ht="15" customHeight="1">
      <c r="A81" s="99"/>
      <c r="B81" s="151"/>
      <c r="C81" s="151"/>
      <c r="D81" s="116"/>
      <c r="E81" s="115"/>
      <c r="F81" s="163"/>
      <c r="G81" s="4"/>
      <c r="H81" s="4"/>
      <c r="I81" s="4"/>
      <c r="J81" s="4"/>
      <c r="K81" s="4"/>
      <c r="L81" s="4"/>
      <c r="M81" s="4"/>
      <c r="N81" s="4"/>
      <c r="O81" s="4"/>
      <c r="P81" s="4"/>
      <c r="Q81" s="10"/>
      <c r="R81" s="10"/>
      <c r="S81" s="5"/>
      <c r="T81" s="5"/>
      <c r="U81" s="5"/>
      <c r="V81" s="5"/>
      <c r="W81" s="5"/>
      <c r="X81" s="134"/>
      <c r="Z81" s="5"/>
      <c r="AA81" s="169" t="s">
        <v>95</v>
      </c>
      <c r="AB81" s="58" t="str">
        <f>'[2]raccordements à jour '!$B$15</f>
        <v>Banc de mesure horizontal TRIMOS TEL300 (BMH01)</v>
      </c>
      <c r="AG81" s="94"/>
      <c r="AI81" s="118" t="s">
        <v>128</v>
      </c>
      <c r="AJ81" s="171" t="str">
        <f>'[2]raccordements à jour '!$B$119</f>
        <v>Pied à coulisse DIGIROCH 0-300 mm (PAC5)</v>
      </c>
      <c r="AK81" s="58"/>
      <c r="AL81" s="73"/>
      <c r="AM81" s="58"/>
      <c r="AN81" s="58"/>
      <c r="AO81" s="88"/>
      <c r="AP81" s="58"/>
      <c r="AQ81" s="115"/>
      <c r="AR81" s="170" t="s">
        <v>104</v>
      </c>
      <c r="AS81" s="58" t="str">
        <f>'[2]raccordements à jour '!$B$43</f>
        <v>Cale étalon 200 mm (CE3)</v>
      </c>
      <c r="AT81" s="58"/>
      <c r="AU81" s="73"/>
      <c r="AV81" s="58"/>
      <c r="AX81" s="94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</row>
    <row r="82" spans="1:91" s="1" customFormat="1" ht="15" customHeight="1">
      <c r="A82" s="99"/>
      <c r="B82" s="151"/>
      <c r="C82" s="151"/>
      <c r="D82" s="214"/>
      <c r="E82" s="214"/>
      <c r="F82" s="165"/>
      <c r="G82" s="3"/>
      <c r="H82" s="3"/>
      <c r="I82" s="3"/>
      <c r="J82" s="3"/>
      <c r="K82" s="3"/>
      <c r="L82" s="3"/>
      <c r="M82" s="3"/>
      <c r="N82" s="3"/>
      <c r="O82" s="3"/>
      <c r="P82" s="3"/>
      <c r="Q82" s="4"/>
      <c r="R82" s="4"/>
      <c r="S82" s="5"/>
      <c r="T82" s="5"/>
      <c r="U82" s="5"/>
      <c r="V82" s="5"/>
      <c r="W82" s="5"/>
      <c r="X82" s="134"/>
      <c r="Y82" s="5"/>
      <c r="Z82" s="5"/>
      <c r="AA82" s="169"/>
      <c r="AB82" s="58" t="str">
        <f>'[2]raccordements à jour '!$B$16</f>
        <v>CE COFRAC N° CET0223417_01_A</v>
      </c>
      <c r="AG82" s="94"/>
      <c r="AI82" s="169"/>
      <c r="AJ82" s="171" t="str">
        <f>'[2]raccordements à jour '!$B$120</f>
        <v>CV N° 2306142659</v>
      </c>
      <c r="AK82" s="58"/>
      <c r="AL82" s="73"/>
      <c r="AM82" s="58"/>
      <c r="AN82" s="58"/>
      <c r="AO82" s="88"/>
      <c r="AP82" s="58"/>
      <c r="AQ82" s="115"/>
      <c r="AR82" s="170"/>
      <c r="AS82" s="58" t="str">
        <f>'[2]raccordements à jour '!$B$44</f>
        <v>CE COFRAC n° 030627_007</v>
      </c>
      <c r="AT82" s="58"/>
      <c r="AU82" s="73"/>
      <c r="AV82" s="58"/>
      <c r="AX82" s="94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</row>
    <row r="83" spans="1:91" s="1" customFormat="1" ht="15" customHeight="1">
      <c r="A83" s="98"/>
      <c r="B83" s="163"/>
      <c r="C83" s="163"/>
      <c r="D83" s="115"/>
      <c r="E83" s="165"/>
      <c r="F83" s="165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5"/>
      <c r="T83" s="5"/>
      <c r="U83" s="5"/>
      <c r="V83" s="5"/>
      <c r="W83" s="7"/>
      <c r="X83" s="134"/>
      <c r="Y83" s="5"/>
      <c r="Z83" s="119"/>
      <c r="AA83" s="172"/>
      <c r="AB83" s="173">
        <f>'[2]raccordements à jour '!$B$17</f>
        <v>45809</v>
      </c>
      <c r="AC83" s="173"/>
      <c r="AD83" s="95"/>
      <c r="AE83" s="95"/>
      <c r="AF83" s="95"/>
      <c r="AG83" s="96"/>
      <c r="AI83" s="169"/>
      <c r="AJ83" s="171">
        <f>'[2]raccordements à jour '!$B$121</f>
        <v>45444</v>
      </c>
      <c r="AK83" s="58"/>
      <c r="AL83" s="73"/>
      <c r="AM83" s="58"/>
      <c r="AN83" s="58"/>
      <c r="AO83" s="88"/>
      <c r="AP83" s="58"/>
      <c r="AQ83" s="115"/>
      <c r="AR83" s="118"/>
      <c r="AS83" s="171">
        <f>'[2]raccordements à jour '!$B$45</f>
        <v>46174</v>
      </c>
      <c r="AT83" s="58"/>
      <c r="AU83" s="73"/>
      <c r="AV83" s="58"/>
      <c r="AX83" s="94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</row>
    <row r="84" spans="1:91" s="1" customFormat="1" ht="15" customHeight="1">
      <c r="A84" s="99"/>
      <c r="B84" s="99"/>
      <c r="C84" s="99"/>
      <c r="D84" s="116"/>
      <c r="E84" s="163"/>
      <c r="F84" s="165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3"/>
      <c r="R84" s="3"/>
      <c r="S84" s="5"/>
      <c r="T84" s="5"/>
      <c r="U84" s="5"/>
      <c r="V84" s="5"/>
      <c r="W84" s="5"/>
      <c r="X84" s="134"/>
      <c r="Y84" s="5"/>
      <c r="Z84" s="8"/>
      <c r="AA84" s="115"/>
      <c r="AI84" s="118" t="s">
        <v>129</v>
      </c>
      <c r="AJ84" s="77" t="str">
        <f>'[2]raccordements à jour '!$B$122</f>
        <v>Pied à coulisse MITUTOYO 0-150 mm (PAC7)</v>
      </c>
      <c r="AK84" s="58"/>
      <c r="AL84" s="73"/>
      <c r="AM84" s="58"/>
      <c r="AN84" s="58"/>
      <c r="AO84" s="88"/>
      <c r="AP84" s="58"/>
      <c r="AQ84" s="115"/>
      <c r="AR84" s="170" t="s">
        <v>105</v>
      </c>
      <c r="AS84" s="58" t="str">
        <f>'[2]raccordements à jour '!$B$46</f>
        <v>Cale étalon 500 mm (CE4)</v>
      </c>
      <c r="AT84" s="58"/>
      <c r="AU84" s="73"/>
      <c r="AV84" s="58"/>
      <c r="AX84" s="94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</row>
    <row r="85" spans="1:91" s="1" customFormat="1" ht="15" customHeight="1">
      <c r="A85" s="99"/>
      <c r="B85" s="99"/>
      <c r="C85" s="99"/>
      <c r="D85" s="116"/>
      <c r="E85" s="115"/>
      <c r="F85" s="6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5"/>
      <c r="T85" s="5"/>
      <c r="U85" s="5"/>
      <c r="V85" s="71"/>
      <c r="W85" s="7"/>
      <c r="X85" s="134"/>
      <c r="Y85" s="5"/>
      <c r="Z85" s="119"/>
      <c r="AA85" s="115"/>
      <c r="AI85" s="169"/>
      <c r="AJ85" s="77" t="str">
        <f>'[2]raccordements à jour '!$B$123</f>
        <v>CV N° 2307143146</v>
      </c>
      <c r="AK85" s="58"/>
      <c r="AL85" s="73"/>
      <c r="AM85" s="58"/>
      <c r="AN85" s="58"/>
      <c r="AO85" s="88"/>
      <c r="AP85" s="58"/>
      <c r="AQ85" s="115"/>
      <c r="AR85" s="170"/>
      <c r="AS85" s="58" t="str">
        <f>'[2]raccordements à jour '!$B$47</f>
        <v>CE COFRAC n° 030627_009</v>
      </c>
      <c r="AT85" s="58"/>
      <c r="AU85" s="73"/>
      <c r="AV85" s="58"/>
      <c r="AX85" s="94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</row>
    <row r="86" spans="1:91" s="1" customFormat="1" ht="15" customHeight="1">
      <c r="A86" s="99"/>
      <c r="B86" s="99"/>
      <c r="C86" s="99"/>
      <c r="D86" s="214"/>
      <c r="E86" s="214"/>
      <c r="F86" s="163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5"/>
      <c r="T86" s="5"/>
      <c r="U86" s="5"/>
      <c r="V86" s="5"/>
      <c r="W86" s="5"/>
      <c r="X86" s="134"/>
      <c r="Y86" s="5"/>
      <c r="Z86" s="119"/>
      <c r="AA86" s="115"/>
      <c r="AI86" s="169"/>
      <c r="AJ86" s="171">
        <f>'[2]raccordements à jour '!$B$124</f>
        <v>45474</v>
      </c>
      <c r="AK86" s="58"/>
      <c r="AL86" s="73"/>
      <c r="AM86" s="58"/>
      <c r="AN86" s="58"/>
      <c r="AO86" s="88"/>
      <c r="AP86" s="58"/>
      <c r="AQ86" s="115"/>
      <c r="AR86" s="118"/>
      <c r="AS86" s="171">
        <f>'[2]raccordements à jour '!$B$48</f>
        <v>46174</v>
      </c>
      <c r="AT86" s="58"/>
      <c r="AU86" s="73"/>
      <c r="AV86" s="58"/>
      <c r="AX86" s="94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</row>
    <row r="87" spans="1:91" s="1" customFormat="1" ht="15" customHeight="1">
      <c r="A87" s="239"/>
      <c r="B87" s="235"/>
      <c r="C87" s="235"/>
      <c r="D87" s="115"/>
      <c r="E87" s="163"/>
      <c r="F87" s="163"/>
      <c r="G87" s="6"/>
      <c r="H87" s="6"/>
      <c r="I87" s="6"/>
      <c r="J87" s="6"/>
      <c r="K87" s="6"/>
      <c r="L87" s="6"/>
      <c r="M87" s="6"/>
      <c r="N87" s="6"/>
      <c r="O87" s="6"/>
      <c r="P87" s="6"/>
      <c r="Q87" s="10"/>
      <c r="R87" s="10"/>
      <c r="S87" s="5"/>
      <c r="T87" s="5"/>
      <c r="U87" s="5"/>
      <c r="V87" s="5"/>
      <c r="W87" s="5"/>
      <c r="X87" s="134"/>
      <c r="Y87" s="5"/>
      <c r="Z87" s="119"/>
      <c r="AA87" s="115"/>
      <c r="AI87" s="118" t="s">
        <v>112</v>
      </c>
      <c r="AJ87" s="77" t="str">
        <f>'[2]raccordements à jour '!$B$68</f>
        <v>Jauge de profondeur MITUTOYO 0-300 mm (JP2)</v>
      </c>
      <c r="AK87" s="58"/>
      <c r="AL87" s="73"/>
      <c r="AM87" s="58"/>
      <c r="AN87" s="58"/>
      <c r="AO87" s="88"/>
      <c r="AP87" s="58"/>
      <c r="AQ87" s="115"/>
      <c r="AR87" s="170" t="s">
        <v>97</v>
      </c>
      <c r="AS87" s="58" t="str">
        <f>'[2]raccordements à jour '!$B$22</f>
        <v>Bague lisse 60 mm (BLE1)</v>
      </c>
      <c r="AT87" s="58"/>
      <c r="AU87" s="73"/>
      <c r="AV87" s="58"/>
      <c r="AX87" s="94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</row>
    <row r="88" spans="1:91" s="1" customFormat="1" ht="15" customHeight="1">
      <c r="A88" s="99"/>
      <c r="B88" s="99"/>
      <c r="C88" s="99"/>
      <c r="D88" s="116"/>
      <c r="E88" s="163"/>
      <c r="F88" s="165"/>
      <c r="G88" s="3"/>
      <c r="H88" s="3"/>
      <c r="I88" s="3"/>
      <c r="J88" s="3"/>
      <c r="K88" s="3"/>
      <c r="L88" s="3"/>
      <c r="M88" s="3"/>
      <c r="N88" s="3"/>
      <c r="O88" s="3"/>
      <c r="P88" s="3"/>
      <c r="Q88" s="6"/>
      <c r="R88" s="6"/>
      <c r="S88" s="5"/>
      <c r="T88" s="5"/>
      <c r="U88" s="5"/>
      <c r="V88" s="5"/>
      <c r="W88" s="7"/>
      <c r="X88" s="134"/>
      <c r="Y88" s="5"/>
      <c r="Z88" s="8"/>
      <c r="AA88" s="115"/>
      <c r="AI88" s="169"/>
      <c r="AJ88" s="77" t="str">
        <f>'[2]raccordements à jour '!$B$69</f>
        <v>CV N° 2307143164</v>
      </c>
      <c r="AK88" s="58"/>
      <c r="AL88" s="73"/>
      <c r="AM88" s="58"/>
      <c r="AN88" s="58"/>
      <c r="AO88" s="88"/>
      <c r="AP88" s="58"/>
      <c r="AQ88" s="115"/>
      <c r="AR88" s="118"/>
      <c r="AS88" s="58" t="str">
        <f>'[2]raccordements à jour '!$B$23</f>
        <v>CE COFRAC n° 030627_004</v>
      </c>
      <c r="AT88" s="58"/>
      <c r="AU88" s="73"/>
      <c r="AV88" s="58"/>
      <c r="AX88" s="94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</row>
    <row r="89" spans="1:91" s="1" customFormat="1" ht="15" customHeight="1">
      <c r="A89" s="99"/>
      <c r="B89" s="99"/>
      <c r="C89" s="99"/>
      <c r="D89" s="116"/>
      <c r="E89" s="115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5"/>
      <c r="T89" s="5"/>
      <c r="U89" s="5"/>
      <c r="V89" s="5"/>
      <c r="W89" s="5"/>
      <c r="X89" s="134"/>
      <c r="Y89" s="5"/>
      <c r="Z89" s="8"/>
      <c r="AA89" s="115"/>
      <c r="AI89" s="169"/>
      <c r="AJ89" s="171">
        <f>'[2]raccordements à jour '!$B$70</f>
        <v>45474</v>
      </c>
      <c r="AK89" s="58"/>
      <c r="AL89" s="73"/>
      <c r="AM89" s="58"/>
      <c r="AN89" s="58"/>
      <c r="AO89" s="88"/>
      <c r="AP89" s="58"/>
      <c r="AQ89" s="115"/>
      <c r="AR89" s="169"/>
      <c r="AS89" s="171">
        <f>'[2]raccordements à jour '!$B$24</f>
        <v>46174</v>
      </c>
      <c r="AT89" s="58"/>
      <c r="AU89" s="73"/>
      <c r="AV89" s="58"/>
      <c r="AX89" s="94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</row>
    <row r="90" spans="1:91" s="1" customFormat="1" ht="15" customHeight="1">
      <c r="A90" s="99"/>
      <c r="B90" s="99"/>
      <c r="C90" s="99"/>
      <c r="D90" s="214"/>
      <c r="E90" s="214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3"/>
      <c r="R90" s="3"/>
      <c r="S90" s="5"/>
      <c r="T90" s="5"/>
      <c r="U90" s="5"/>
      <c r="V90" s="5"/>
      <c r="W90" s="5"/>
      <c r="X90" s="134"/>
      <c r="Y90" s="5"/>
      <c r="Z90" s="8"/>
      <c r="AA90" s="115"/>
      <c r="AI90" s="118" t="s">
        <v>113</v>
      </c>
      <c r="AJ90" s="77" t="str">
        <f>'[2]raccordements à jour '!$B$71</f>
        <v>Micromètre d'extértieur PAV 25-50 mm (MIC2)</v>
      </c>
      <c r="AK90" s="58"/>
      <c r="AL90" s="73"/>
      <c r="AM90" s="58"/>
      <c r="AN90" s="58"/>
      <c r="AO90" s="88"/>
      <c r="AP90" s="58"/>
      <c r="AQ90" s="115"/>
      <c r="AR90" s="118" t="s">
        <v>98</v>
      </c>
      <c r="AS90" s="58" t="str">
        <f>'[2]raccordements à jour '!$B$25</f>
        <v>Bague lisse 85 mm (BLE2)</v>
      </c>
      <c r="AT90" s="58"/>
      <c r="AU90" s="73"/>
      <c r="AV90" s="58"/>
      <c r="AX90" s="94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</row>
    <row r="91" spans="1:91" s="1" customFormat="1" ht="15" customHeight="1">
      <c r="A91" s="99"/>
      <c r="B91" s="99"/>
      <c r="C91" s="99"/>
      <c r="D91" s="7"/>
      <c r="Q91" s="10"/>
      <c r="R91" s="10"/>
      <c r="S91" s="5"/>
      <c r="T91" s="5"/>
      <c r="U91" s="5"/>
      <c r="V91" s="5"/>
      <c r="W91" s="5"/>
      <c r="X91" s="134"/>
      <c r="Y91" s="5"/>
      <c r="Z91" s="8"/>
      <c r="AA91" s="115"/>
      <c r="AI91" s="169"/>
      <c r="AJ91" s="77" t="str">
        <f>'[2]raccordements à jour '!$B$72</f>
        <v>CV N° 2307142981</v>
      </c>
      <c r="AK91" s="58"/>
      <c r="AL91" s="73"/>
      <c r="AM91" s="58"/>
      <c r="AN91" s="58"/>
      <c r="AO91" s="88"/>
      <c r="AP91" s="58"/>
      <c r="AQ91" s="115"/>
      <c r="AR91" s="169"/>
      <c r="AS91" s="58" t="str">
        <f>'[2]raccordements à jour '!$B$26</f>
        <v>CE COFRAC n° 030627_001</v>
      </c>
      <c r="AT91" s="58"/>
      <c r="AU91" s="73"/>
      <c r="AV91" s="58"/>
      <c r="AX91" s="94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</row>
    <row r="92" spans="1:91" s="1" customFormat="1" ht="15" customHeight="1">
      <c r="A92" s="99"/>
      <c r="B92" s="99"/>
      <c r="C92" s="99"/>
      <c r="D92" s="215"/>
      <c r="E92" s="215"/>
      <c r="S92" s="5"/>
      <c r="T92" s="5"/>
      <c r="U92" s="5"/>
      <c r="V92" s="5"/>
      <c r="W92" s="7"/>
      <c r="X92" s="134"/>
      <c r="Y92" s="5"/>
      <c r="Z92" s="8"/>
      <c r="AA92" s="115"/>
      <c r="AI92" s="169"/>
      <c r="AJ92" s="171">
        <f>'[2]raccordements à jour '!$B$73</f>
        <v>45474</v>
      </c>
      <c r="AK92" s="58"/>
      <c r="AL92" s="73"/>
      <c r="AM92" s="58"/>
      <c r="AN92" s="58"/>
      <c r="AO92" s="88"/>
      <c r="AP92" s="58"/>
      <c r="AQ92" s="115"/>
      <c r="AR92" s="169"/>
      <c r="AS92" s="171">
        <f>'[2]raccordements à jour '!$B$27</f>
        <v>46174</v>
      </c>
      <c r="AT92" s="58"/>
      <c r="AU92" s="73"/>
      <c r="AV92" s="58"/>
      <c r="AX92" s="94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</row>
    <row r="93" spans="1:91" s="1" customFormat="1" ht="15" customHeight="1">
      <c r="A93" s="114" t="s">
        <v>170</v>
      </c>
      <c r="H93" s="115"/>
      <c r="J93" s="115" t="s">
        <v>169</v>
      </c>
      <c r="K93" s="14"/>
      <c r="L93" s="6"/>
      <c r="M93" s="6"/>
      <c r="N93" s="6"/>
      <c r="O93" s="6"/>
      <c r="P93" s="6"/>
      <c r="S93" s="5"/>
      <c r="T93" s="5"/>
      <c r="U93" s="5"/>
      <c r="V93" s="5"/>
      <c r="W93" s="5"/>
      <c r="X93" s="134"/>
      <c r="Y93" s="5"/>
      <c r="Z93" s="8"/>
      <c r="AA93" s="115"/>
      <c r="AI93" s="118" t="s">
        <v>114</v>
      </c>
      <c r="AJ93" s="77" t="str">
        <f>'[2]raccordements à jour '!$B$74</f>
        <v>Micromètre d'extértieur MITUTOYO 50-75 mm (MIC7)</v>
      </c>
      <c r="AK93" s="58"/>
      <c r="AL93" s="73"/>
      <c r="AM93" s="58"/>
      <c r="AN93" s="58"/>
      <c r="AO93" s="88"/>
      <c r="AP93" s="58"/>
      <c r="AQ93" s="115"/>
      <c r="AR93" s="118" t="s">
        <v>99</v>
      </c>
      <c r="AS93" s="58" t="str">
        <f>'[2]raccordements à jour '!$B$28</f>
        <v>Bague lisse 8 mm (BLE4)</v>
      </c>
      <c r="AT93" s="58"/>
      <c r="AU93" s="73"/>
      <c r="AV93" s="58"/>
      <c r="AX93" s="94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</row>
    <row r="94" spans="1:91" s="1" customFormat="1" ht="15" customHeight="1">
      <c r="A94" s="114"/>
      <c r="H94" s="115"/>
      <c r="J94" s="115"/>
      <c r="K94" s="14"/>
      <c r="L94" s="6"/>
      <c r="M94" s="6"/>
      <c r="N94" s="6"/>
      <c r="O94" s="6"/>
      <c r="P94" s="6"/>
      <c r="Q94" s="6"/>
      <c r="R94" s="6"/>
      <c r="S94" s="5"/>
      <c r="T94" s="5"/>
      <c r="U94" s="5"/>
      <c r="V94" s="5"/>
      <c r="W94" s="5"/>
      <c r="X94" s="134"/>
      <c r="Y94" s="5"/>
      <c r="Z94" s="8"/>
      <c r="AA94" s="115"/>
      <c r="AI94" s="118"/>
      <c r="AJ94" s="77" t="str">
        <f>'[2]raccordements à jour '!$B$75</f>
        <v>CV N° 2307142982</v>
      </c>
      <c r="AK94" s="58"/>
      <c r="AL94" s="73"/>
      <c r="AM94" s="58"/>
      <c r="AN94" s="58"/>
      <c r="AO94" s="88"/>
      <c r="AP94" s="58"/>
      <c r="AQ94" s="115"/>
      <c r="AR94" s="118"/>
      <c r="AS94" s="58" t="str">
        <f>'[2]raccordements à jour '!$B$29</f>
        <v>CE COFRAC n° 030627_005</v>
      </c>
      <c r="AT94" s="58"/>
      <c r="AU94" s="73"/>
      <c r="AV94" s="58"/>
      <c r="AX94" s="94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</row>
    <row r="95" spans="1:91" s="1" customFormat="1" ht="15" customHeight="1">
      <c r="B95" s="111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11"/>
      <c r="N95" s="111"/>
      <c r="O95" s="111"/>
      <c r="P95" s="111"/>
      <c r="Q95" s="111"/>
      <c r="R95" s="111"/>
      <c r="S95" s="5"/>
      <c r="T95" s="5"/>
      <c r="U95" s="5"/>
      <c r="V95" s="5"/>
      <c r="W95" s="5"/>
      <c r="X95" s="134"/>
      <c r="Y95" s="5"/>
      <c r="Z95" s="8"/>
      <c r="AA95" s="115"/>
      <c r="AI95" s="169"/>
      <c r="AJ95" s="171">
        <f>'[2]raccordements à jour '!$B$76</f>
        <v>45474</v>
      </c>
      <c r="AK95" s="58"/>
      <c r="AL95" s="73"/>
      <c r="AM95" s="58"/>
      <c r="AN95" s="58"/>
      <c r="AO95" s="88"/>
      <c r="AP95" s="58"/>
      <c r="AQ95" s="115"/>
      <c r="AR95" s="118"/>
      <c r="AS95" s="171">
        <f>'[2]raccordements à jour '!$B$30</f>
        <v>46174</v>
      </c>
      <c r="AT95" s="58"/>
      <c r="AU95" s="73"/>
      <c r="AV95" s="58"/>
      <c r="AX95" s="94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</row>
    <row r="96" spans="1:91" s="1" customFormat="1" ht="15" customHeight="1">
      <c r="A96" s="111" t="s">
        <v>17</v>
      </c>
      <c r="B96" s="111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11"/>
      <c r="N96" s="111"/>
      <c r="O96" s="111"/>
      <c r="P96" s="111"/>
      <c r="Q96" s="111"/>
      <c r="R96" s="111"/>
      <c r="S96" s="5"/>
      <c r="T96" s="5"/>
      <c r="U96" s="5"/>
      <c r="V96" s="5"/>
      <c r="W96" s="5"/>
      <c r="X96" s="134"/>
      <c r="Y96" s="5"/>
      <c r="Z96" s="8"/>
      <c r="AA96" s="115"/>
      <c r="AI96" s="118" t="s">
        <v>115</v>
      </c>
      <c r="AJ96" s="77" t="str">
        <f>'[2]raccordements à jour '!$B$77</f>
        <v>Micromètre d'extértieur MITUTOYO 75-100 mm (MIC8)</v>
      </c>
      <c r="AK96" s="58"/>
      <c r="AL96" s="73"/>
      <c r="AM96" s="58"/>
      <c r="AN96" s="58"/>
      <c r="AO96" s="88"/>
      <c r="AP96" s="58"/>
      <c r="AQ96" s="115"/>
      <c r="AR96" s="118" t="s">
        <v>100</v>
      </c>
      <c r="AS96" s="77" t="str">
        <f>'[2]raccordements à jour '!$B$31</f>
        <v>Bague lisse 25 mm (BLE8)</v>
      </c>
      <c r="AT96" s="58"/>
      <c r="AU96" s="73"/>
      <c r="AV96" s="58"/>
      <c r="AX96" s="94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</row>
    <row r="97" spans="1:91" s="1" customFormat="1" ht="15" customHeight="1">
      <c r="A97" s="21" t="s">
        <v>38</v>
      </c>
      <c r="B97" s="22"/>
      <c r="C97" s="22"/>
      <c r="D97" s="23"/>
      <c r="E97" s="24"/>
      <c r="F97" s="24"/>
      <c r="G97" s="25"/>
      <c r="H97" s="24"/>
      <c r="I97" s="26"/>
      <c r="J97" s="21"/>
      <c r="K97" s="22"/>
      <c r="L97" s="22"/>
      <c r="M97" s="23"/>
      <c r="N97" s="24"/>
      <c r="O97" s="24"/>
      <c r="P97" s="25"/>
      <c r="Q97" s="111"/>
      <c r="R97" s="111"/>
      <c r="S97" s="7"/>
      <c r="T97" s="5"/>
      <c r="U97" s="5"/>
      <c r="V97" s="5"/>
      <c r="W97" s="5"/>
      <c r="X97" s="134"/>
      <c r="Y97" s="5"/>
      <c r="Z97" s="8"/>
      <c r="AA97" s="115"/>
      <c r="AI97" s="169"/>
      <c r="AJ97" s="77" t="str">
        <f>'[2]raccordements à jour '!$B$78</f>
        <v>CV N° 2307142983</v>
      </c>
      <c r="AK97" s="58"/>
      <c r="AL97" s="73"/>
      <c r="AM97" s="58"/>
      <c r="AN97" s="58"/>
      <c r="AO97" s="88"/>
      <c r="AP97" s="58"/>
      <c r="AQ97" s="115"/>
      <c r="AR97" s="169"/>
      <c r="AS97" s="77" t="str">
        <f>'[2]raccordements à jour '!$B$32</f>
        <v>CE COFRAC n° 030627_002</v>
      </c>
      <c r="AT97" s="58"/>
      <c r="AU97" s="73"/>
      <c r="AV97" s="58"/>
      <c r="AX97" s="94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</row>
    <row r="98" spans="1:91" s="1" customFormat="1" ht="15" customHeight="1">
      <c r="A98" s="21" t="s">
        <v>39</v>
      </c>
      <c r="B98" s="22"/>
      <c r="C98" s="22"/>
      <c r="D98" s="23"/>
      <c r="E98" s="24"/>
      <c r="F98" s="24"/>
      <c r="G98" s="25"/>
      <c r="H98" s="24"/>
      <c r="I98" s="26"/>
      <c r="J98" s="21"/>
      <c r="K98" s="22"/>
      <c r="L98" s="22"/>
      <c r="M98" s="23"/>
      <c r="N98" s="24"/>
      <c r="O98" s="24"/>
      <c r="P98" s="25"/>
      <c r="Q98" s="24"/>
      <c r="R98" s="26"/>
      <c r="S98" s="7"/>
      <c r="T98" s="5"/>
      <c r="U98" s="5"/>
      <c r="V98" s="5"/>
      <c r="W98" s="5"/>
      <c r="X98" s="134"/>
      <c r="Y98" s="5"/>
      <c r="Z98" s="8"/>
      <c r="AA98" s="115"/>
      <c r="AI98" s="169"/>
      <c r="AJ98" s="171">
        <f>'[2]raccordements à jour '!$B$79</f>
        <v>45474</v>
      </c>
      <c r="AK98" s="58"/>
      <c r="AL98" s="73"/>
      <c r="AM98" s="58"/>
      <c r="AN98" s="58"/>
      <c r="AO98" s="88"/>
      <c r="AP98" s="58"/>
      <c r="AQ98" s="115"/>
      <c r="AR98" s="169"/>
      <c r="AS98" s="171">
        <f>'[2]raccordements à jour '!$B$33</f>
        <v>46174</v>
      </c>
      <c r="AT98" s="58"/>
      <c r="AU98" s="73"/>
      <c r="AV98" s="58"/>
      <c r="AX98" s="94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</row>
    <row r="99" spans="1:91" s="1" customFormat="1" ht="15" customHeight="1">
      <c r="A99" s="21" t="s">
        <v>40</v>
      </c>
      <c r="B99" s="22"/>
      <c r="C99" s="22"/>
      <c r="D99" s="23"/>
      <c r="E99" s="24"/>
      <c r="F99" s="24"/>
      <c r="G99" s="25"/>
      <c r="H99" s="24"/>
      <c r="I99" s="26"/>
      <c r="J99" s="21"/>
      <c r="K99" s="22"/>
      <c r="L99" s="22"/>
      <c r="M99" s="23"/>
      <c r="N99" s="24"/>
      <c r="O99" s="24"/>
      <c r="P99" s="25"/>
      <c r="Q99" s="24"/>
      <c r="R99" s="26"/>
      <c r="S99" s="7"/>
      <c r="T99" s="5"/>
      <c r="U99" s="5"/>
      <c r="V99" s="5"/>
      <c r="W99" s="5"/>
      <c r="X99" s="134"/>
      <c r="Y99" s="5"/>
      <c r="Z99" s="8"/>
      <c r="AA99" s="115"/>
      <c r="AI99" s="118" t="s">
        <v>116</v>
      </c>
      <c r="AJ99" s="77" t="str">
        <f>'[2]raccordements à jour '!$B$80</f>
        <v>Micromètre d'extértieur MITUTOYO 0-25 mm (MIC9)</v>
      </c>
      <c r="AK99" s="58"/>
      <c r="AL99" s="73"/>
      <c r="AM99" s="58"/>
      <c r="AN99" s="58"/>
      <c r="AO99" s="88"/>
      <c r="AP99" s="58"/>
      <c r="AQ99" s="115"/>
      <c r="AR99" s="118" t="s">
        <v>101</v>
      </c>
      <c r="AS99" s="77" t="str">
        <f>'[2]raccordements à jour '!$B$34</f>
        <v>Bague lisse 35 mm (BLE9)</v>
      </c>
      <c r="AT99" s="58"/>
      <c r="AU99" s="73"/>
      <c r="AV99" s="58"/>
      <c r="AX99" s="94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</row>
    <row r="100" spans="1:91" s="1" customFormat="1" ht="15" customHeight="1">
      <c r="A100" s="21" t="s">
        <v>41</v>
      </c>
      <c r="B100" s="22"/>
      <c r="C100" s="22"/>
      <c r="D100" s="23"/>
      <c r="E100" s="24"/>
      <c r="F100" s="24"/>
      <c r="G100" s="25"/>
      <c r="H100" s="24"/>
      <c r="I100" s="26"/>
      <c r="J100" s="21"/>
      <c r="K100" s="22"/>
      <c r="L100" s="22"/>
      <c r="M100" s="23"/>
      <c r="N100" s="24"/>
      <c r="O100" s="24"/>
      <c r="P100" s="25"/>
      <c r="Q100" s="24"/>
      <c r="R100" s="26"/>
      <c r="S100" s="7"/>
      <c r="T100" s="5"/>
      <c r="U100" s="5"/>
      <c r="V100" s="5"/>
      <c r="W100" s="5"/>
      <c r="X100" s="134"/>
      <c r="Y100" s="5"/>
      <c r="Z100" s="5"/>
      <c r="AA100" s="115"/>
      <c r="AI100" s="169"/>
      <c r="AJ100" s="77" t="str">
        <f>'[2]raccordements à jour '!$B$81</f>
        <v>CV N° 2307142980</v>
      </c>
      <c r="AK100" s="58"/>
      <c r="AL100" s="73"/>
      <c r="AM100" s="58"/>
      <c r="AN100" s="58"/>
      <c r="AO100" s="88"/>
      <c r="AP100" s="58"/>
      <c r="AQ100" s="115"/>
      <c r="AR100" s="169"/>
      <c r="AS100" s="77" t="str">
        <f>'[2]raccordements à jour '!$B$35</f>
        <v>CE COFRAC n° 030627_003</v>
      </c>
      <c r="AT100" s="58"/>
      <c r="AU100" s="73"/>
      <c r="AV100" s="58"/>
      <c r="AX100" s="94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</row>
    <row r="101" spans="1:91" s="1" customFormat="1" ht="15" customHeight="1">
      <c r="A101" s="21" t="s">
        <v>42</v>
      </c>
      <c r="B101" s="22"/>
      <c r="C101" s="22"/>
      <c r="D101" s="23"/>
      <c r="E101" s="24"/>
      <c r="F101" s="24"/>
      <c r="G101" s="25"/>
      <c r="H101" s="24"/>
      <c r="I101" s="26"/>
      <c r="J101" s="21"/>
      <c r="K101" s="22"/>
      <c r="L101" s="22"/>
      <c r="M101" s="23"/>
      <c r="N101" s="24"/>
      <c r="O101" s="24"/>
      <c r="P101" s="25"/>
      <c r="Q101" s="24"/>
      <c r="R101" s="26"/>
      <c r="S101" s="7"/>
      <c r="T101" s="5"/>
      <c r="V101" s="5"/>
      <c r="W101" s="5"/>
      <c r="X101" s="134"/>
      <c r="Y101" s="5"/>
      <c r="Z101" s="5"/>
      <c r="AA101" s="115"/>
      <c r="AI101" s="169"/>
      <c r="AJ101" s="171">
        <f>'[2]raccordements à jour '!$B$82</f>
        <v>45474</v>
      </c>
      <c r="AK101" s="58"/>
      <c r="AL101" s="73"/>
      <c r="AM101" s="58"/>
      <c r="AN101" s="58"/>
      <c r="AO101" s="88"/>
      <c r="AP101" s="58"/>
      <c r="AQ101" s="115"/>
      <c r="AR101" s="169"/>
      <c r="AS101" s="171">
        <f>'[2]raccordements à jour '!$B$36</f>
        <v>46174</v>
      </c>
      <c r="AT101" s="58"/>
      <c r="AU101" s="73"/>
      <c r="AV101" s="58"/>
      <c r="AX101" s="94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</row>
    <row r="102" spans="1:91" s="1" customFormat="1" ht="15" customHeight="1">
      <c r="A102" s="21" t="s">
        <v>49</v>
      </c>
      <c r="B102" s="22"/>
      <c r="C102" s="22"/>
      <c r="D102" s="23"/>
      <c r="E102" s="24"/>
      <c r="F102" s="24"/>
      <c r="G102" s="25"/>
      <c r="H102" s="24"/>
      <c r="I102" s="26"/>
      <c r="J102" s="21"/>
      <c r="K102" s="22"/>
      <c r="L102" s="22"/>
      <c r="M102" s="23"/>
      <c r="N102" s="24"/>
      <c r="O102" s="24"/>
      <c r="P102" s="25"/>
      <c r="Q102" s="24"/>
      <c r="R102" s="26"/>
      <c r="S102" s="7"/>
      <c r="T102" s="5"/>
      <c r="U102" s="5"/>
      <c r="V102" s="5"/>
      <c r="W102" s="5"/>
      <c r="X102" s="216"/>
      <c r="Y102" s="5"/>
      <c r="AA102" s="115"/>
      <c r="AI102" s="118" t="s">
        <v>117</v>
      </c>
      <c r="AJ102" s="77" t="str">
        <f>'[2]raccordements à jour '!$B$83</f>
        <v>Micromètre d'intérieur 3 touches TESA 6-8 mm (MIC3T 1/1)</v>
      </c>
      <c r="AK102" s="58"/>
      <c r="AL102" s="73"/>
      <c r="AM102" s="58"/>
      <c r="AN102" s="58"/>
      <c r="AO102" s="88"/>
      <c r="AP102" s="58"/>
      <c r="AQ102" s="115"/>
      <c r="AR102" s="118" t="s">
        <v>102</v>
      </c>
      <c r="AS102" s="77" t="str">
        <f>'[2]raccordements à jour '!$B$37</f>
        <v>Bague lisse 16 mm (BLE10)</v>
      </c>
      <c r="AT102" s="58"/>
      <c r="AU102" s="73"/>
      <c r="AV102" s="58"/>
      <c r="AX102" s="94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</row>
    <row r="103" spans="1:91" s="1" customFormat="1" ht="15" customHeight="1">
      <c r="A103" s="21" t="s">
        <v>50</v>
      </c>
      <c r="B103" s="22"/>
      <c r="C103" s="22"/>
      <c r="D103" s="23"/>
      <c r="E103" s="24"/>
      <c r="F103" s="24"/>
      <c r="G103" s="25"/>
      <c r="H103" s="24"/>
      <c r="I103" s="26"/>
      <c r="J103" s="21"/>
      <c r="K103" s="22"/>
      <c r="L103" s="22"/>
      <c r="M103" s="23"/>
      <c r="N103" s="24"/>
      <c r="O103" s="24"/>
      <c r="P103" s="25"/>
      <c r="Q103" s="24"/>
      <c r="R103" s="26"/>
      <c r="S103" s="7"/>
      <c r="T103" s="5"/>
      <c r="U103" s="5"/>
      <c r="V103" s="5"/>
      <c r="W103" s="5"/>
      <c r="X103" s="134"/>
      <c r="Y103" s="5"/>
      <c r="AA103" s="115"/>
      <c r="AI103" s="169"/>
      <c r="AJ103" s="77" t="str">
        <f>'[2]raccordements à jour '!$B$84</f>
        <v>CV N° 2105119694</v>
      </c>
      <c r="AK103" s="58"/>
      <c r="AL103" s="73"/>
      <c r="AM103" s="58"/>
      <c r="AN103" s="58"/>
      <c r="AO103" s="88"/>
      <c r="AP103" s="58"/>
      <c r="AQ103" s="115"/>
      <c r="AR103" s="169"/>
      <c r="AS103" s="77" t="str">
        <f>'[2]raccordements à jour '!$B$38</f>
        <v>CE COFRAC n° 030627_006</v>
      </c>
      <c r="AT103" s="58"/>
      <c r="AU103" s="73"/>
      <c r="AV103" s="58"/>
      <c r="AX103" s="94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</row>
    <row r="104" spans="1:91" s="1" customFormat="1" ht="15" customHeight="1">
      <c r="Q104" s="24"/>
      <c r="R104" s="26"/>
      <c r="S104" s="7"/>
      <c r="T104" s="5"/>
      <c r="U104" s="5"/>
      <c r="V104" s="5"/>
      <c r="W104" s="5"/>
      <c r="X104" s="216"/>
      <c r="Y104" s="5"/>
      <c r="AA104" s="115"/>
      <c r="AI104" s="169"/>
      <c r="AJ104" s="171">
        <f>'[2]raccordements à jour '!$B$85</f>
        <v>45413</v>
      </c>
      <c r="AK104" s="58"/>
      <c r="AL104" s="73"/>
      <c r="AM104" s="58"/>
      <c r="AN104" s="58"/>
      <c r="AO104" s="88"/>
      <c r="AP104" s="58"/>
      <c r="AQ104" s="115"/>
      <c r="AR104" s="169"/>
      <c r="AS104" s="171">
        <f>'[2]raccordements à jour '!$B$39</f>
        <v>46174</v>
      </c>
      <c r="AT104" s="58"/>
      <c r="AU104" s="73"/>
      <c r="AV104" s="58"/>
      <c r="AX104" s="94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</row>
    <row r="105" spans="1:91" s="1" customFormat="1" ht="15" customHeight="1">
      <c r="A105" s="241" t="s">
        <v>43</v>
      </c>
      <c r="B105" s="241"/>
      <c r="C105" s="241"/>
      <c r="D105" s="241"/>
      <c r="E105" s="241"/>
      <c r="F105" s="241"/>
      <c r="G105" s="241"/>
      <c r="H105" s="241"/>
      <c r="I105" s="241"/>
      <c r="J105" s="241"/>
      <c r="K105" s="241"/>
      <c r="L105" s="241"/>
      <c r="M105" s="241"/>
      <c r="N105" s="241"/>
      <c r="O105" s="241"/>
      <c r="P105" s="241"/>
      <c r="S105" s="7"/>
      <c r="T105" s="5"/>
      <c r="U105" s="5"/>
      <c r="V105" s="5"/>
      <c r="W105" s="5"/>
      <c r="X105" s="216"/>
      <c r="Y105" s="5"/>
      <c r="AA105" s="115"/>
      <c r="AI105" s="118" t="s">
        <v>118</v>
      </c>
      <c r="AJ105" s="77" t="str">
        <f>'[2]raccordements à jour '!$B$86</f>
        <v>Micromètre d'intérieur 3 touches TESA 10-12 mm (MIC3T 1/2)</v>
      </c>
      <c r="AK105" s="58"/>
      <c r="AL105" s="73"/>
      <c r="AM105" s="58"/>
      <c r="AN105" s="58"/>
      <c r="AO105" s="88"/>
      <c r="AP105" s="58"/>
      <c r="AQ105" s="115"/>
      <c r="AR105" s="118" t="s">
        <v>106</v>
      </c>
      <c r="AS105" s="77" t="str">
        <f>'[2]raccordements à jour '!$B$49</f>
        <v>Tampon lisse Ø 15,9H8 (TPL2)</v>
      </c>
      <c r="AT105" s="58"/>
      <c r="AU105" s="73"/>
      <c r="AV105" s="58"/>
      <c r="AX105" s="94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</row>
    <row r="106" spans="1:91" s="1" customFormat="1" ht="15" customHeight="1">
      <c r="A106" s="200"/>
      <c r="B106" s="226" t="s">
        <v>44</v>
      </c>
      <c r="C106" s="226"/>
      <c r="D106" s="226"/>
      <c r="E106" s="200"/>
      <c r="F106" s="200"/>
      <c r="G106" s="226" t="s">
        <v>45</v>
      </c>
      <c r="H106" s="226"/>
      <c r="I106" s="226"/>
      <c r="J106" s="226"/>
      <c r="K106" s="226"/>
      <c r="L106" s="200"/>
      <c r="M106" s="226" t="s">
        <v>46</v>
      </c>
      <c r="N106" s="226"/>
      <c r="O106" s="226"/>
      <c r="P106" s="27"/>
      <c r="Q106" s="156"/>
      <c r="R106" s="156"/>
      <c r="S106" s="7"/>
      <c r="T106" s="5"/>
      <c r="U106" s="5"/>
      <c r="V106" s="5"/>
      <c r="W106" s="5"/>
      <c r="X106" s="216"/>
      <c r="Y106" s="5"/>
      <c r="AA106" s="115"/>
      <c r="AI106" s="169"/>
      <c r="AJ106" s="77" t="str">
        <f>'[2]raccordements à jour '!$B$87</f>
        <v>CV N° 2105119695</v>
      </c>
      <c r="AK106" s="58"/>
      <c r="AL106" s="73"/>
      <c r="AM106" s="58"/>
      <c r="AN106" s="58"/>
      <c r="AO106" s="88"/>
      <c r="AP106" s="58"/>
      <c r="AQ106" s="115"/>
      <c r="AR106" s="169"/>
      <c r="AS106" s="77" t="str">
        <f>'[2]raccordements à jour '!$B$50</f>
        <v>CE COFRAC n° 033213_001</v>
      </c>
      <c r="AT106" s="58"/>
      <c r="AU106" s="73"/>
      <c r="AV106" s="58"/>
      <c r="AX106" s="94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</row>
    <row r="107" spans="1:91" s="1" customFormat="1" ht="15" customHeight="1">
      <c r="A107" s="200"/>
      <c r="B107" s="224">
        <f>IF($W$114=2, $U$117, IF($W$114=3, $U$118, IF($W$114=4, $U$119, IF($W$114=5, $U$120, "-"))))</f>
        <v>2.8600000000000001E-3</v>
      </c>
      <c r="C107" s="224"/>
      <c r="D107" s="224"/>
      <c r="E107" s="200"/>
      <c r="F107" s="200"/>
      <c r="G107" s="224">
        <f>IF($W$114=2, $V$117, IF($W$114=3, $V$118, IF($W$114=4, $V$119, IF($W$114=5, $V$120, "-"))))</f>
        <v>5.5300000000000002E-3</v>
      </c>
      <c r="H107" s="224"/>
      <c r="I107" s="224"/>
      <c r="J107" s="224"/>
      <c r="K107" s="224"/>
      <c r="L107" s="200"/>
      <c r="M107" s="224">
        <f>IF($W$114=2, $W$117, IF($W$114=3, $W$118, IF($W$114=4, $W$119, IF($W$114=5, $W$120, "-"))))</f>
        <v>6.96E-3</v>
      </c>
      <c r="N107" s="224"/>
      <c r="O107" s="224"/>
      <c r="P107" s="201"/>
      <c r="Q107" s="223"/>
      <c r="R107" s="223"/>
      <c r="S107" s="7"/>
      <c r="T107" s="5"/>
      <c r="U107" s="5"/>
      <c r="V107" s="5"/>
      <c r="W107" s="5"/>
      <c r="X107" s="134"/>
      <c r="Y107" s="5"/>
      <c r="AA107" s="115"/>
      <c r="AI107" s="169"/>
      <c r="AJ107" s="171">
        <f>'[2]raccordements à jour '!$B$88</f>
        <v>45413</v>
      </c>
      <c r="AK107" s="58"/>
      <c r="AL107" s="73"/>
      <c r="AM107" s="58"/>
      <c r="AN107" s="58"/>
      <c r="AO107" s="88"/>
      <c r="AP107" s="58"/>
      <c r="AQ107" s="115"/>
      <c r="AR107" s="169"/>
      <c r="AS107" s="171">
        <f>'[2]raccordements à jour '!$B$51</f>
        <v>46508</v>
      </c>
      <c r="AT107" s="58"/>
      <c r="AU107" s="73"/>
      <c r="AV107" s="58"/>
      <c r="AX107" s="94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</row>
    <row r="108" spans="1:91" s="1" customFormat="1" ht="15" customHeight="1">
      <c r="A108" s="229" t="s">
        <v>47</v>
      </c>
      <c r="B108" s="229"/>
      <c r="C108" s="229"/>
      <c r="D108" s="229"/>
      <c r="E108" s="229"/>
      <c r="F108" s="229"/>
      <c r="G108" s="229"/>
      <c r="H108" s="229"/>
      <c r="I108" s="229"/>
      <c r="J108" s="229"/>
      <c r="K108" s="229"/>
      <c r="L108" s="229"/>
      <c r="M108" s="229"/>
      <c r="N108" s="229"/>
      <c r="O108" s="229"/>
      <c r="P108" s="229"/>
      <c r="Q108" s="227"/>
      <c r="R108" s="227"/>
      <c r="S108" s="7"/>
      <c r="T108" s="5"/>
      <c r="U108" s="5"/>
      <c r="V108" s="5"/>
      <c r="W108" s="5"/>
      <c r="X108" s="134"/>
      <c r="Y108" s="5"/>
      <c r="AA108" s="115"/>
      <c r="AI108" s="118" t="s">
        <v>119</v>
      </c>
      <c r="AJ108" s="77" t="str">
        <f>'[2]raccordements à jour '!$B$89</f>
        <v>Micromètre d'intérieur 3 touches TESA 8-10 mm (MIC3T 1/3)</v>
      </c>
      <c r="AK108" s="58"/>
      <c r="AL108" s="73"/>
      <c r="AM108" s="58"/>
      <c r="AN108" s="58"/>
      <c r="AO108" s="88"/>
      <c r="AP108" s="58"/>
      <c r="AQ108" s="115"/>
      <c r="AR108" s="118" t="s">
        <v>107</v>
      </c>
      <c r="AS108" s="77" t="str">
        <f>'[2]raccordements à jour '!$B$52</f>
        <v>Tampon lisse double Ø 44,83 / 44,88 (TPL3)</v>
      </c>
      <c r="AT108" s="58"/>
      <c r="AU108" s="73"/>
      <c r="AV108" s="58"/>
      <c r="AX108" s="94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</row>
    <row r="109" spans="1:91" s="1" customFormat="1" ht="15" customHeight="1">
      <c r="A109" s="230" t="s">
        <v>48</v>
      </c>
      <c r="B109" s="230"/>
      <c r="C109" s="230"/>
      <c r="D109" s="230"/>
      <c r="E109" s="230"/>
      <c r="F109" s="230"/>
      <c r="G109" s="230"/>
      <c r="H109" s="230"/>
      <c r="I109" s="230"/>
      <c r="J109" s="230"/>
      <c r="K109" s="230"/>
      <c r="L109" s="230"/>
      <c r="M109" s="230"/>
      <c r="N109" s="230"/>
      <c r="O109" s="230"/>
      <c r="P109" s="230"/>
      <c r="Q109" s="154"/>
      <c r="R109" s="154"/>
      <c r="S109" s="7"/>
      <c r="T109" s="5"/>
      <c r="U109" s="5"/>
      <c r="V109" s="5"/>
      <c r="W109" s="5"/>
      <c r="X109" s="134"/>
      <c r="Y109" s="5"/>
      <c r="AA109" s="115"/>
      <c r="AI109" s="169"/>
      <c r="AJ109" s="77" t="str">
        <f>'[2]raccordements à jour '!$B$90</f>
        <v>CV N° 2105119696</v>
      </c>
      <c r="AK109" s="58"/>
      <c r="AL109" s="73"/>
      <c r="AM109" s="58"/>
      <c r="AN109" s="58"/>
      <c r="AO109" s="88"/>
      <c r="AP109" s="58"/>
      <c r="AQ109" s="115"/>
      <c r="AR109" s="169"/>
      <c r="AS109" s="77" t="str">
        <f>'[2]raccordements à jour '!$B$53</f>
        <v>CE COFRAC n° 033213_002</v>
      </c>
      <c r="AT109" s="58"/>
      <c r="AU109" s="73"/>
      <c r="AV109" s="58"/>
      <c r="AX109" s="94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</row>
    <row r="110" spans="1:91" s="1" customFormat="1" ht="15" customHeight="1">
      <c r="A110" s="200"/>
      <c r="B110" s="200"/>
      <c r="C110" s="226"/>
      <c r="D110" s="226"/>
      <c r="E110" s="200"/>
      <c r="F110" s="200"/>
      <c r="G110" s="27"/>
      <c r="H110" s="226"/>
      <c r="I110" s="226"/>
      <c r="J110" s="224"/>
      <c r="K110" s="224"/>
      <c r="L110" s="200"/>
      <c r="M110" s="200"/>
      <c r="N110" s="226"/>
      <c r="O110" s="226"/>
      <c r="P110" s="27"/>
      <c r="Q110" s="155"/>
      <c r="R110" s="155"/>
      <c r="S110" s="7"/>
      <c r="T110" s="5"/>
      <c r="U110" s="5"/>
      <c r="V110" s="5"/>
      <c r="W110" s="5"/>
      <c r="X110" s="134"/>
      <c r="Y110" s="5"/>
      <c r="AA110" s="115"/>
      <c r="AI110" s="169"/>
      <c r="AJ110" s="171">
        <f>'[2]raccordements à jour '!$B$91</f>
        <v>45413</v>
      </c>
      <c r="AK110" s="58"/>
      <c r="AL110" s="73"/>
      <c r="AM110" s="58"/>
      <c r="AN110" s="58"/>
      <c r="AO110" s="88"/>
      <c r="AP110" s="58"/>
      <c r="AQ110" s="115"/>
      <c r="AR110" s="169"/>
      <c r="AS110" s="171">
        <f>'[2]raccordements à jour '!$B$54</f>
        <v>46508</v>
      </c>
      <c r="AT110" s="58"/>
      <c r="AU110" s="73"/>
      <c r="AV110" s="58"/>
      <c r="AX110" s="94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</row>
    <row r="111" spans="1:91" s="1" customFormat="1" ht="15" customHeight="1">
      <c r="A111" s="202"/>
      <c r="B111" s="202"/>
      <c r="C111" s="202"/>
      <c r="D111" s="202"/>
      <c r="E111" s="202" t="s">
        <v>162</v>
      </c>
      <c r="F111" s="115"/>
      <c r="G111" s="202"/>
      <c r="H111" s="202"/>
      <c r="I111" s="202"/>
      <c r="J111" s="202"/>
      <c r="K111" s="202"/>
      <c r="L111" s="202" t="s">
        <v>163</v>
      </c>
      <c r="M111" s="202"/>
      <c r="N111" s="202"/>
      <c r="O111" s="202"/>
      <c r="P111" s="202"/>
      <c r="Q111" s="223"/>
      <c r="R111" s="223"/>
      <c r="S111" s="7"/>
      <c r="T111" s="5"/>
      <c r="U111" s="5"/>
      <c r="V111" s="5"/>
      <c r="W111" s="5"/>
      <c r="X111" s="134"/>
      <c r="Y111" s="5"/>
      <c r="AA111" s="115"/>
      <c r="AI111" s="118" t="s">
        <v>120</v>
      </c>
      <c r="AJ111" s="77" t="str">
        <f>'[2]raccordements à jour '!$B$92</f>
        <v>Micromètre d'intérieur 3 touches TESA 14-17 mm (MIC3T 2/1)</v>
      </c>
      <c r="AK111" s="58"/>
      <c r="AL111" s="73"/>
      <c r="AM111" s="58"/>
      <c r="AN111" s="58"/>
      <c r="AO111" s="88"/>
      <c r="AP111" s="58"/>
      <c r="AQ111" s="115"/>
      <c r="AR111" s="118" t="s">
        <v>108</v>
      </c>
      <c r="AS111" s="77" t="str">
        <f>'[2]raccordements à jour '!$B$56</f>
        <v>Boîte de piges de 1 à 2 mm (Bte n°1)</v>
      </c>
      <c r="AT111" s="58"/>
      <c r="AU111" s="73"/>
      <c r="AV111" s="58"/>
      <c r="AX111" s="94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</row>
    <row r="112" spans="1:91" s="1" customFormat="1" ht="15" customHeight="1">
      <c r="A112" s="126"/>
      <c r="B112" s="126"/>
      <c r="C112" s="127"/>
      <c r="D112" s="127"/>
      <c r="E112" s="127" t="s">
        <v>164</v>
      </c>
      <c r="F112" s="115"/>
      <c r="G112" s="127"/>
      <c r="H112" s="127"/>
      <c r="I112" s="129"/>
      <c r="J112" s="126"/>
      <c r="K112" s="126"/>
      <c r="L112" s="129" t="s">
        <v>165</v>
      </c>
      <c r="M112" s="129"/>
      <c r="N112" s="127"/>
      <c r="O112" s="129"/>
      <c r="P112" s="129"/>
      <c r="Q112" s="128"/>
      <c r="R112" s="128"/>
      <c r="S112" s="7"/>
      <c r="T112" s="69" t="s">
        <v>168</v>
      </c>
      <c r="X112" s="134"/>
      <c r="Y112"/>
      <c r="AA112" s="115"/>
      <c r="AI112" s="169"/>
      <c r="AJ112" s="77" t="str">
        <f>'[2]raccordements à jour '!$B$93</f>
        <v>CV N° 2105119697</v>
      </c>
      <c r="AK112" s="58"/>
      <c r="AL112" s="73"/>
      <c r="AM112" s="58"/>
      <c r="AN112" s="58"/>
      <c r="AO112" s="88"/>
      <c r="AP112" s="58"/>
      <c r="AQ112" s="115"/>
      <c r="AR112" s="169"/>
      <c r="AS112" s="77" t="str">
        <f>'[2]raccordements à jour '!$B$57</f>
        <v>CE N° 2105119725</v>
      </c>
      <c r="AT112" s="58"/>
      <c r="AU112" s="73"/>
      <c r="AV112" s="58"/>
      <c r="AX112" s="94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</row>
    <row r="113" spans="1:91" s="1" customFormat="1" ht="15" customHeight="1">
      <c r="A113" s="237" t="s">
        <v>166</v>
      </c>
      <c r="B113" s="237"/>
      <c r="C113" s="237"/>
      <c r="D113" s="237"/>
      <c r="E113" s="237"/>
      <c r="F113" s="237"/>
      <c r="G113" s="237"/>
      <c r="H113" s="237"/>
      <c r="I113" s="237"/>
      <c r="J113" s="237"/>
      <c r="K113" s="237"/>
      <c r="L113" s="237"/>
      <c r="M113" s="237"/>
      <c r="N113" s="237"/>
      <c r="O113" s="237"/>
      <c r="P113" s="237"/>
      <c r="Q113" s="126"/>
      <c r="R113" s="126"/>
      <c r="S113" s="7"/>
      <c r="X113" s="134"/>
      <c r="AA113" s="115"/>
      <c r="AI113" s="169"/>
      <c r="AJ113" s="171">
        <f>'[2]raccordements à jour '!$B$94</f>
        <v>45413</v>
      </c>
      <c r="AK113" s="58"/>
      <c r="AL113" s="73"/>
      <c r="AM113" s="58"/>
      <c r="AN113" s="58"/>
      <c r="AO113" s="88"/>
      <c r="AP113" s="58"/>
      <c r="AQ113" s="115"/>
      <c r="AR113" s="169"/>
      <c r="AS113" s="171">
        <f>'[2]raccordements à jour '!$B$58</f>
        <v>45413</v>
      </c>
      <c r="AT113" s="58"/>
      <c r="AU113" s="73"/>
      <c r="AV113" s="58"/>
      <c r="AX113" s="94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</row>
    <row r="114" spans="1:91" s="1" customFormat="1" ht="15" customHeight="1">
      <c r="A114" s="238" t="s">
        <v>167</v>
      </c>
      <c r="B114" s="238"/>
      <c r="C114" s="238"/>
      <c r="D114" s="238"/>
      <c r="E114" s="238"/>
      <c r="F114" s="238"/>
      <c r="G114" s="238"/>
      <c r="H114" s="238"/>
      <c r="I114" s="238"/>
      <c r="J114" s="238"/>
      <c r="K114" s="238"/>
      <c r="L114" s="238"/>
      <c r="M114" s="238"/>
      <c r="N114" s="238"/>
      <c r="O114" s="238"/>
      <c r="P114" s="238"/>
      <c r="Q114" s="154"/>
      <c r="R114" s="154"/>
      <c r="S114" s="7"/>
      <c r="T114" s="5" t="s">
        <v>87</v>
      </c>
      <c r="W114" s="14">
        <v>3</v>
      </c>
      <c r="X114" s="134"/>
      <c r="AA114" s="115"/>
      <c r="AI114" s="118" t="s">
        <v>121</v>
      </c>
      <c r="AJ114" s="77" t="str">
        <f>'[2]raccordements à jour '!$B$95</f>
        <v>Micromètre d'intérieur 3 touches TESA 11-14 mm (MIC3T 2/2)</v>
      </c>
      <c r="AK114" s="58"/>
      <c r="AL114" s="73"/>
      <c r="AM114" s="58"/>
      <c r="AN114" s="58"/>
      <c r="AO114" s="88"/>
      <c r="AP114" s="58"/>
      <c r="AQ114" s="115"/>
      <c r="AR114" s="118" t="s">
        <v>109</v>
      </c>
      <c r="AS114" s="77" t="str">
        <f>'[2]raccordements à jour '!$B$59</f>
        <v>Boîte de piges de 0,5 à 1 mm (Bte n°2)</v>
      </c>
      <c r="AT114" s="58"/>
      <c r="AU114" s="73"/>
      <c r="AV114" s="58"/>
      <c r="AX114" s="94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</row>
    <row r="115" spans="1:91" s="1" customFormat="1" ht="15" customHeight="1">
      <c r="A115" s="116"/>
      <c r="B115" s="116"/>
      <c r="C115" s="116"/>
      <c r="D115" s="116"/>
      <c r="E115" s="116"/>
      <c r="F115" s="116"/>
      <c r="G115" s="116"/>
      <c r="H115" s="116"/>
      <c r="I115" s="116"/>
      <c r="J115" s="116"/>
      <c r="K115" s="116"/>
      <c r="L115" s="116"/>
      <c r="M115" s="116"/>
      <c r="N115" s="116"/>
      <c r="O115" s="116"/>
      <c r="P115" s="116"/>
      <c r="Q115" s="155"/>
      <c r="R115" s="155"/>
      <c r="S115" s="7"/>
      <c r="X115" s="134"/>
      <c r="AA115" s="115"/>
      <c r="AI115" s="169"/>
      <c r="AJ115" s="77" t="str">
        <f>'[2]raccordements à jour '!$B$96</f>
        <v>CV N° 2105119698</v>
      </c>
      <c r="AK115" s="58"/>
      <c r="AL115" s="73"/>
      <c r="AM115" s="58"/>
      <c r="AN115" s="58"/>
      <c r="AO115" s="88"/>
      <c r="AP115" s="58"/>
      <c r="AQ115" s="115"/>
      <c r="AR115" s="169"/>
      <c r="AS115" s="77" t="str">
        <f>'[2]raccordements à jour '!$B$60</f>
        <v>CE N° 2105119726</v>
      </c>
      <c r="AT115" s="58"/>
      <c r="AU115" s="73"/>
      <c r="AV115" s="58"/>
      <c r="AX115" s="94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</row>
    <row r="116" spans="1:91" s="1" customFormat="1" ht="15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2"/>
      <c r="U116" s="66" t="s">
        <v>44</v>
      </c>
      <c r="V116" s="66" t="s">
        <v>45</v>
      </c>
      <c r="W116" s="66" t="s">
        <v>46</v>
      </c>
      <c r="X116" s="134"/>
      <c r="Y116" s="68"/>
      <c r="AA116" s="115"/>
      <c r="AI116" s="169"/>
      <c r="AJ116" s="171">
        <f>'[2]raccordements à jour '!$B$97</f>
        <v>45413</v>
      </c>
      <c r="AK116" s="58"/>
      <c r="AL116" s="73"/>
      <c r="AM116" s="58"/>
      <c r="AN116" s="58"/>
      <c r="AO116" s="88"/>
      <c r="AP116" s="58"/>
      <c r="AQ116" s="115"/>
      <c r="AR116" s="169"/>
      <c r="AS116" s="171">
        <f>'[2]raccordements à jour '!$B$61</f>
        <v>45413</v>
      </c>
      <c r="AT116" s="58"/>
      <c r="AU116" s="73"/>
      <c r="AV116" s="58"/>
      <c r="AX116" s="94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</row>
    <row r="117" spans="1:91" s="1" customFormat="1" ht="15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117" t="s">
        <v>88</v>
      </c>
      <c r="U117" s="67">
        <v>3.8999999999999998E-3</v>
      </c>
      <c r="V117" s="67">
        <v>7.6699999999999997E-3</v>
      </c>
      <c r="W117" s="67">
        <v>9.6200000000000001E-3</v>
      </c>
      <c r="X117" s="134"/>
      <c r="Y117" s="68"/>
      <c r="AA117" s="115"/>
      <c r="AI117" s="118" t="s">
        <v>122</v>
      </c>
      <c r="AJ117" s="77" t="str">
        <f>'[2]raccordements à jour '!$B$98</f>
        <v>Micromètre d'intérieur 3 touches TESA 17-20 mm (MIC3T 2/3)</v>
      </c>
      <c r="AK117" s="58"/>
      <c r="AL117" s="73"/>
      <c r="AM117" s="58"/>
      <c r="AN117" s="58"/>
      <c r="AO117" s="88"/>
      <c r="AP117" s="58"/>
      <c r="AQ117" s="115"/>
      <c r="AR117" s="118" t="s">
        <v>110</v>
      </c>
      <c r="AS117" s="77" t="str">
        <f>'[2]raccordements à jour '!$B$62</f>
        <v>Boîte de piges de 2 à 10 mm (Bte n°4)</v>
      </c>
      <c r="AT117" s="58"/>
      <c r="AU117" s="73"/>
      <c r="AV117" s="58"/>
      <c r="AX117" s="94"/>
    </row>
    <row r="118" spans="1:91" s="1" customFormat="1" ht="15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66" t="s">
        <v>85</v>
      </c>
      <c r="U118" s="67">
        <v>2.8600000000000001E-3</v>
      </c>
      <c r="V118" s="67">
        <v>5.5300000000000002E-3</v>
      </c>
      <c r="W118" s="67">
        <v>6.96E-3</v>
      </c>
      <c r="X118" s="5"/>
      <c r="Y118" s="68"/>
      <c r="AA118" s="115"/>
      <c r="AI118" s="169"/>
      <c r="AJ118" s="77" t="str">
        <f>'[2]raccordements à jour '!$B$99</f>
        <v>CV N° 2105119699</v>
      </c>
      <c r="AK118" s="58"/>
      <c r="AL118" s="73"/>
      <c r="AM118" s="58"/>
      <c r="AN118" s="58"/>
      <c r="AO118" s="88"/>
      <c r="AP118" s="58"/>
      <c r="AQ118" s="115"/>
      <c r="AR118" s="169"/>
      <c r="AS118" s="77" t="str">
        <f>'[2]raccordements à jour '!$B$63</f>
        <v>CE N° 2106120537</v>
      </c>
      <c r="AT118" s="58"/>
      <c r="AU118" s="73"/>
      <c r="AV118" s="58"/>
      <c r="AX118" s="94"/>
    </row>
    <row r="119" spans="1:91" s="1" customFormat="1" ht="15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66" t="s">
        <v>86</v>
      </c>
      <c r="U119" s="67">
        <v>2.7899999999999999E-3</v>
      </c>
      <c r="V119" s="67">
        <v>5.3899999999999998E-3</v>
      </c>
      <c r="W119" s="67">
        <v>6.7799999999999996E-3</v>
      </c>
      <c r="X119" s="5"/>
      <c r="Y119" s="68"/>
      <c r="AA119" s="115"/>
      <c r="AI119" s="169"/>
      <c r="AJ119" s="171">
        <f>'[2]raccordements à jour '!$B$100</f>
        <v>45413</v>
      </c>
      <c r="AK119" s="58"/>
      <c r="AL119" s="73"/>
      <c r="AM119" s="58"/>
      <c r="AN119" s="58"/>
      <c r="AO119" s="88"/>
      <c r="AP119" s="58"/>
      <c r="AR119" s="169"/>
      <c r="AS119" s="171">
        <f>'[2]raccordements à jour '!$B$64</f>
        <v>45444</v>
      </c>
      <c r="AT119" s="58"/>
      <c r="AU119" s="73"/>
      <c r="AV119" s="58"/>
      <c r="AX119" s="94"/>
    </row>
    <row r="120" spans="1:91" s="1" customFormat="1" ht="15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66" t="s">
        <v>89</v>
      </c>
      <c r="U120" s="67">
        <v>1.094E-2</v>
      </c>
      <c r="V120" s="67">
        <v>2.1819999999999999E-2</v>
      </c>
      <c r="W120" s="67">
        <v>2.7289999999999998E-2</v>
      </c>
      <c r="X120" s="8"/>
      <c r="AA120" s="115"/>
      <c r="AI120" s="118" t="s">
        <v>123</v>
      </c>
      <c r="AJ120" s="77" t="str">
        <f>'[2]raccordements à jour '!$B$101</f>
        <v>Micromètre d'intérieur 3 touches TESA 20-25 mm (MIC3T 3/1)</v>
      </c>
      <c r="AK120" s="58"/>
      <c r="AL120" s="73"/>
      <c r="AM120" s="58"/>
      <c r="AN120" s="58"/>
      <c r="AO120" s="88"/>
      <c r="AP120" s="58"/>
      <c r="AR120" s="118" t="s">
        <v>111</v>
      </c>
      <c r="AS120" s="77" t="str">
        <f>'[2]raccordements à jour '!$B$65</f>
        <v>Barre sinus 200 mm (BS1)</v>
      </c>
      <c r="AT120" s="58"/>
      <c r="AU120" s="73"/>
      <c r="AV120" s="58"/>
      <c r="AX120" s="94"/>
    </row>
    <row r="121" spans="1:91" s="1" customFormat="1" ht="15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X121" s="8"/>
      <c r="AA121" s="115"/>
      <c r="AI121" s="169"/>
      <c r="AJ121" s="77" t="str">
        <f>'[2]raccordements à jour '!$B$102</f>
        <v>CV N° 2105119700</v>
      </c>
      <c r="AK121" s="58"/>
      <c r="AL121" s="73"/>
      <c r="AM121" s="58"/>
      <c r="AN121" s="58"/>
      <c r="AO121" s="88"/>
      <c r="AP121" s="58"/>
      <c r="AR121" s="169"/>
      <c r="AS121" s="77" t="str">
        <f>'[2]raccordements à jour '!$B$66</f>
        <v>CE N° 030098/J1</v>
      </c>
      <c r="AT121" s="58"/>
      <c r="AU121" s="73"/>
      <c r="AV121" s="58"/>
      <c r="AX121" s="94"/>
    </row>
    <row r="122" spans="1:91" s="1" customFormat="1" ht="15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X122" s="8"/>
      <c r="AI122" s="169"/>
      <c r="AJ122" s="171">
        <f>'[2]raccordements à jour '!$B$103</f>
        <v>45413</v>
      </c>
      <c r="AK122" s="58"/>
      <c r="AL122" s="73"/>
      <c r="AM122" s="58"/>
      <c r="AN122" s="58"/>
      <c r="AO122" s="88"/>
      <c r="AP122" s="58"/>
      <c r="AR122" s="172"/>
      <c r="AS122" s="173">
        <f>'[2]raccordements à jour '!$B$67</f>
        <v>45383</v>
      </c>
      <c r="AT122" s="89"/>
      <c r="AU122" s="90"/>
      <c r="AV122" s="89"/>
      <c r="AW122" s="95"/>
      <c r="AX122" s="96"/>
    </row>
    <row r="123" spans="1:91" s="1" customFormat="1" ht="15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X123" s="8"/>
      <c r="AI123" s="118" t="s">
        <v>124</v>
      </c>
      <c r="AJ123" s="77" t="str">
        <f>'[2]raccordements à jour '!$B$104</f>
        <v>Micromètre d'intérieur 3 touches TESA 25-30 mm (MIC3T 3/2)</v>
      </c>
      <c r="AK123" s="58"/>
      <c r="AL123" s="73"/>
      <c r="AM123" s="58"/>
      <c r="AN123" s="58"/>
      <c r="AO123" s="88"/>
      <c r="AP123" s="58"/>
    </row>
    <row r="124" spans="1:91" s="1" customFormat="1" ht="15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X124" s="5"/>
      <c r="AI124" s="169"/>
      <c r="AJ124" s="77" t="str">
        <f>'[2]raccordements à jour '!$B$105</f>
        <v>CV N° 2105119701</v>
      </c>
      <c r="AK124" s="58"/>
      <c r="AL124" s="73"/>
      <c r="AM124" s="58"/>
      <c r="AN124" s="58"/>
      <c r="AO124" s="88"/>
      <c r="AP124" s="58"/>
    </row>
    <row r="125" spans="1:91" s="1" customFormat="1" ht="15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X125" s="5"/>
      <c r="AI125" s="169"/>
      <c r="AJ125" s="171">
        <f>'[2]raccordements à jour '!$B$106</f>
        <v>45413</v>
      </c>
      <c r="AK125" s="58"/>
      <c r="AL125" s="73"/>
      <c r="AM125" s="58"/>
      <c r="AN125" s="58"/>
      <c r="AO125" s="88"/>
      <c r="AP125" s="58"/>
    </row>
    <row r="126" spans="1:91" s="1" customFormat="1" ht="15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X126" s="8"/>
      <c r="AI126" s="118" t="s">
        <v>125</v>
      </c>
      <c r="AJ126" s="77" t="str">
        <f>'[2]raccordements à jour '!$B$107</f>
        <v>Micromètre d'intérieur 3 touches TESA 30-35 mm (MIC3T 3/3)</v>
      </c>
      <c r="AK126" s="58"/>
      <c r="AL126" s="73"/>
      <c r="AM126" s="58"/>
      <c r="AN126" s="58"/>
      <c r="AO126" s="88"/>
      <c r="AP126" s="58"/>
    </row>
    <row r="127" spans="1:91" s="1" customFormat="1" ht="15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X127" s="5"/>
      <c r="AI127" s="169"/>
      <c r="AJ127" s="77" t="str">
        <f>'[2]raccordements à jour '!$B$108</f>
        <v>CV N° 2105119702</v>
      </c>
      <c r="AK127" s="58"/>
      <c r="AL127" s="73"/>
      <c r="AM127" s="58"/>
      <c r="AN127" s="58"/>
      <c r="AO127" s="88"/>
      <c r="AP127" s="58"/>
    </row>
    <row r="128" spans="1:91" s="1" customFormat="1" ht="15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X128" s="5"/>
      <c r="AI128" s="169"/>
      <c r="AJ128" s="171">
        <f>'[2]raccordements à jour '!$B$109</f>
        <v>45413</v>
      </c>
      <c r="AK128" s="58"/>
      <c r="AL128" s="73"/>
      <c r="AM128" s="58"/>
      <c r="AN128" s="58"/>
      <c r="AO128" s="88"/>
      <c r="AP128" s="58"/>
    </row>
    <row r="129" spans="1:44" s="1" customFormat="1" ht="15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X129" s="8"/>
      <c r="AI129" s="118" t="s">
        <v>126</v>
      </c>
      <c r="AJ129" s="77" t="str">
        <f>'[2]raccordements à jour '!$B$110</f>
        <v>Micromètre d'intérieur 3 touches TESA 35-40 mm (MIC3T 3/4)</v>
      </c>
      <c r="AK129" s="58"/>
      <c r="AL129" s="73"/>
      <c r="AM129" s="58"/>
      <c r="AN129" s="58"/>
      <c r="AO129" s="88"/>
      <c r="AP129" s="58"/>
    </row>
    <row r="130" spans="1:44" s="1" customFormat="1" ht="15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X130" s="5"/>
      <c r="AI130" s="118"/>
      <c r="AJ130" s="77" t="str">
        <f>'[2]raccordements à jour '!$B$111</f>
        <v>CV N° 2105119703</v>
      </c>
      <c r="AK130" s="58"/>
      <c r="AL130" s="73"/>
      <c r="AM130" s="58"/>
      <c r="AN130" s="58"/>
      <c r="AO130" s="88"/>
      <c r="AP130" s="58"/>
    </row>
    <row r="131" spans="1:44" s="1" customFormat="1" ht="15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X131" s="5"/>
      <c r="AI131" s="174"/>
      <c r="AJ131" s="173">
        <f>'[2]raccordements à jour '!$B$112</f>
        <v>45413</v>
      </c>
      <c r="AK131" s="89"/>
      <c r="AL131" s="90"/>
      <c r="AM131" s="89"/>
      <c r="AN131" s="89"/>
      <c r="AO131" s="91"/>
      <c r="AP131" s="58"/>
    </row>
    <row r="132" spans="1:44" s="1" customFormat="1" ht="15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X132" s="8"/>
      <c r="AJ132" s="74"/>
      <c r="AK132" s="58"/>
      <c r="AL132" s="75"/>
      <c r="AM132" s="76"/>
      <c r="AN132" s="76"/>
      <c r="AO132" s="76"/>
      <c r="AP132" s="76"/>
    </row>
    <row r="133" spans="1:44" s="1" customFormat="1" ht="15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X133" s="5"/>
      <c r="AI133" s="5" t="str">
        <f>IF($U$84=2,$AJ$75,IF($U$84=3,$AJ$78,IF($U$84=4,$AJ$79,IF($U$84=5,$AJ$82,IF($U$84=6,$AJ$85,IF($U$84=7,$AJ$88,IF($U$84=8,$AJ$91,IF($U$84=9,#REF!,IF($U$84=10,$AJ$95,IF($U$84=11,$AJ$98,IF($U$84=12,$AJ$101,IF($U$84=13,$AJ$104,IF($U$84=14,$AJ$107,IF($U$84=15,$AJ$110,IF($U$84=16,$AJ$113,IF($U$84=17,$AJ$116,IF($U$84=18,$AJ$119,IF($U$84=19,$AJ$122,IF($U$84=20,$AJ$125,"")))))))))))))))))))</f>
        <v/>
      </c>
      <c r="AJ133" s="74"/>
      <c r="AK133" s="58"/>
      <c r="AL133" s="75"/>
      <c r="AM133" s="76"/>
      <c r="AN133" s="76"/>
      <c r="AO133" s="76"/>
      <c r="AP133" s="76"/>
      <c r="AQ133" s="70" t="s">
        <v>134</v>
      </c>
      <c r="AR133" s="5" t="str">
        <f>IF($U$94=2,$AS$75,IF($U$94=3,$AS$78,IF($U$94=4,$AS$79,IF($U$94=5,$AS$82,IF($U$94=6,$AS$85,IF($U$94=7,$AS$88,IF($U$94=8,$AS$91,IF($U$94=9,#REF!,IF($U$94=10,$AS$95,IF($U$94=11,$AS$98,IF($U$94=12,$AS$101,IF($U$94=13,$AS$104,IF($U$94=14,$AS$107,IF($U$94=15,$AS$110,IF($U$94=16,$AS$113,IF($U$94=17,$AS$116,""))))))))))))))))</f>
        <v/>
      </c>
    </row>
    <row r="134" spans="1:44" s="1" customFormat="1" ht="15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X134" s="5"/>
      <c r="AI134" s="5" t="str">
        <f>IF($U$84=2,$AJ$76,IF($U$84=3,#REF!,IF($U$84=4,$AJ$80,IF($U$84=5,$AJ$83,IF($U$84=6,$AJ$86,IF($U$84=7,$AJ$89,IF($U$84=8,$AJ$92,IF($U$84=9,#REF!,IF($U$84=10,$AJ$96,IF($U$84=11,$AJ$99,IF($U$84=12,$AJ$102,IF($U$84=13,$AJ$105,IF($U$84=14,$AJ$108,IF($U$84=15,$AJ$111,IF($U$84=16,$AJ$114,IF($U$84=17,$AJ$117,IF($U$84=18,$AJ$120,IF($U$84=19,$AJ$123,IF($U$84=20,$AJ$126,"")))))))))))))))))))</f>
        <v/>
      </c>
      <c r="AJ134" s="74"/>
      <c r="AK134" s="58"/>
      <c r="AL134" s="75"/>
      <c r="AM134" s="76"/>
      <c r="AN134" s="76"/>
      <c r="AO134" s="76"/>
      <c r="AP134" s="76"/>
      <c r="AR134" s="5" t="str">
        <f>IF($U$94=2,$AS$76,IF($U$94=3,#REF!,IF($U$94=4,$AS$80,IF($U$94=5,$AS$83,IF($U$94=6,$AS$86,IF($U$94=7,$AS$89,IF($U$94=8,$AS$92,IF($U$94=9,#REF!,IF($U$94=10,$AS$96,IF($U$94=11,$AS$99,IF($U$94=12,$AS$102,IF($U$94=13,$AS$105,IF($U$94=14,$AS$108,IF($U$94=15,$AS$111,IF($U$94=16,$AS$114,IF($U$94=17,$AS$117,""))))))))))))))))</f>
        <v/>
      </c>
    </row>
    <row r="135" spans="1:44" s="1" customFormat="1" ht="15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X135" s="8"/>
      <c r="AI135" s="5" t="str">
        <f>IF($U$84=2,$AJ$77,IF($U$84=3,#REF!,IF($U$84=4,$AJ$81,IF($U$84=5,$AJ$84,IF($U$84=6,$AJ$87,IF($U$84=7,$AJ$90,IF($U$84=8,$AJ$93,IF($U$84=9,$AJ$94,IF($U$84=10,$AJ$97,IF($U$84=11,$AJ$100,IF($U$84=12,$AJ$103,IF($U$84=13,$AJ$106,IF($U$84=14,$AJ$109,IF($U$84=15,$AJ$112,IF($U$84=16,$AJ$115,IF($U$84=17,$AJ$118,IF($U$84=18,$AJ$121,IF($U$84=19,$AJ$124,IF($U$84=20,$AJ$127,"")))))))))))))))))))</f>
        <v/>
      </c>
      <c r="AJ135" s="74"/>
      <c r="AK135" s="58"/>
      <c r="AL135" s="75"/>
      <c r="AM135" s="76"/>
      <c r="AN135" s="76"/>
      <c r="AO135" s="76"/>
      <c r="AP135" s="76"/>
      <c r="AR135" s="5" t="str">
        <f>IF($U$94=2,$AS$77,IF($U$94=3,#REF!,IF($U$94=4,$AS$81,IF($U$94=5,$AS$84,IF($U$94=6,$AS$87,IF($U$94=7,$AS$90,IF($U$94=8,$AS$93,IF($U$94=9,$AS$94,IF($U$94=10,$AS$97,IF($U$94=11,$AS$100,IF($U$94=12,$AS$103,IF($U$94=13,$AS$106,IF($U$94=14,$AS$109,IF($U$94=15,$AS$112,IF($U$94=16,$AS$115,IF($U$94=17,$AS$118,""))))))))))))))))</f>
        <v/>
      </c>
    </row>
    <row r="136" spans="1:44" s="1" customFormat="1" ht="15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X136" s="5"/>
      <c r="AH136" s="70" t="s">
        <v>131</v>
      </c>
      <c r="AI136" s="5" t="str">
        <f>IF($U$87=2,$AJ$75,IF($U$87=3,$AJ$78,IF($U$87=4,$AJ$79,IF($U$87=5,$AJ$82,IF($U$87=6,$AJ$85,IF($U$87=7,$AJ$88,IF($U$87=8,$AJ$91,IF($U$87=9,#REF!,IF($U$87=10,$AJ$95,IF($U$87=11,$AJ$98,IF($U$87=12,$AJ$101,IF($U$87=13,$AJ$104,IF($U$87=14,$AJ$107,IF($U$87=15,$AJ$110,IF($U$87=16,$AJ$113,IF($U$87=17,$AJ$116,IF($U$87=18,$AJ$119,IF($U$87=19,$AJ$122,IF($U$87=20,$AJ$125,"")))))))))))))))))))</f>
        <v/>
      </c>
      <c r="AJ136" s="74"/>
      <c r="AK136" s="58"/>
      <c r="AL136" s="75"/>
      <c r="AM136" s="76"/>
      <c r="AN136" s="76"/>
      <c r="AO136" s="76"/>
      <c r="AP136" s="76"/>
      <c r="AQ136" s="70" t="s">
        <v>135</v>
      </c>
      <c r="AR136" s="5" t="str">
        <f>IF($U$98=2,$AS$75,IF($U$98=3,$AS$78,IF($U$98=4,$AS$79,IF($U$98=5,$AS$82,IF($U$98=6,$AS$85,IF($U$98=7,$AS$88,IF($U$98=8,$AS$91,IF($U$98=9,#REF!,IF($U$98=10,$AS$95,IF($U$98=11,$AS$98,IF($U$98=12,$AS$101,IF($U$98=13,$AS$104,IF($U$98=14,$AS$107,IF($U$98=15,$AS$110,IF($U$98=16,$AS$113,IF($U$98=17,$AS$116,""))))))))))))))))</f>
        <v/>
      </c>
    </row>
    <row r="137" spans="1:44" s="1" customFormat="1" ht="15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X137" s="5"/>
      <c r="AI137" s="5" t="str">
        <f>IF($U$87=2,$AJ$76,IF($U$87=3,#REF!,IF($U$87=4,$AJ$80,IF($U$87=5,$AJ$83,IF($U$87=6,$AJ$86,IF($U$87=7,$AJ$89,IF($U$87=8,$AJ$92,IF($U$87=9,#REF!,IF($U$87=10,$AJ$96,IF($U$87=11,$AJ$99,IF($U$87=12,$AJ$102,IF($U$87=13,$AJ$105,IF($U$87=14,$AJ$108,IF($U$87=15,$AJ$111,IF($U$87=16,$AJ$114,IF($U$87=17,$AJ$117,IF($U$87=18,$AJ$120,IF($U$87=19,$AJ$123,IF($U$87=20,$AJ$126,"")))))))))))))))))))</f>
        <v/>
      </c>
      <c r="AJ137" s="79"/>
      <c r="AK137" s="80"/>
      <c r="AL137" s="75"/>
      <c r="AM137" s="76"/>
      <c r="AN137" s="76"/>
      <c r="AO137" s="76"/>
      <c r="AP137" s="76"/>
      <c r="AR137" s="5" t="str">
        <f>IF($U$98=2,$AS$76,IF($U$98=3,#REF!,IF($U$98=4,$AS$80,IF($U$98=5,$AS$83,IF($U$98=6,$AS$86,IF($U$98=7,$AS$89,IF($U$98=8,$AS$92,IF($U$98=9,#REF!,IF($U$98=10,$AS$96,IF($U$98=11,$AS$99,IF($U$98=12,$AS$102,IF($U$98=13,$AS$105,IF($U$98=14,$AS$108,IF($U$98=15,$AS$111,IF($U$98=16,$AS$114,IF($U$98=17,$AS$117,""))))))))))))))))</f>
        <v/>
      </c>
    </row>
    <row r="138" spans="1:44" s="1" customFormat="1" ht="15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X138" s="8"/>
      <c r="AI138" s="5" t="str">
        <f>IF($U$87=2,$AJ$77,IF($U$87=3,#REF!,IF($U$87=4,$AJ$81,IF($U$87=5,$AJ$84,IF($U$87=6,$AJ$87,IF($U$87=7,$AJ$90,IF($U$87=8,$AJ$93,IF($U$87=9,$AJ$94,IF($U$87=10,$AJ$97,IF($U$87=11,$AJ$100,IF($U$87=12,$AJ$103,IF($U$87=13,$AJ$106,IF($U$87=14,$AJ$109,IF($U$87=15,$AJ$112,IF($U$87=16,$AJ$115,IF($U$87=17,$AJ$118,IF($U$87=18,$AJ$121,IF($U$87=19,$AJ$124,IF($U$87=20,$AJ$127,"")))))))))))))))))))</f>
        <v/>
      </c>
      <c r="AJ138" s="74"/>
      <c r="AK138" s="58"/>
      <c r="AL138" s="75"/>
      <c r="AM138" s="76"/>
      <c r="AN138" s="76"/>
      <c r="AO138" s="76"/>
      <c r="AP138" s="76"/>
      <c r="AR138" s="5" t="str">
        <f>IF($U$98=2,$AS$77,IF($U$98=3,#REF!,IF($U$98=4,$AS$81,IF($U$98=5,$AS$84,IF($U$98=6,$AS$87,IF($U$98=7,$AS$90,IF($U$98=8,$AS$93,IF($U$98=9,$AS$94,IF($U$98=10,$AS$97,IF($U$98=11,$AS$100,IF($U$98=12,$AS$103,IF($U$98=13,$AS$106,IF($U$98=14,$AS$109,IF($U$98=15,$AS$112,IF($U$98=16,$AS$115,IF($U$98=17,$AS$118,""))))))))))))))))</f>
        <v/>
      </c>
    </row>
    <row r="139" spans="1:44" s="1" customFormat="1" ht="15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X139" s="5"/>
      <c r="AH139" s="70" t="s">
        <v>132</v>
      </c>
      <c r="AI139" s="5" t="str">
        <f>IF($U$90=2,$AJ$75,IF($U$90=3,$AJ$78,IF($U$90=4,$AJ$79,IF($U$90=5,$AJ$82,IF($U$90=6,$AJ$85,IF($U$90=7,$AJ$88,IF($U$90=8,$AJ$91,IF($U$90=9,#REF!,IF($U$90=10,$AJ$95,IF($U$90=11,$AJ$98,IF($U$90=12,$AJ$101,IF($U$90=13,$AJ$104,IF($U$90=14,$AJ$107,IF($U$90=15,$AJ$110,IF($U$90=16,$AJ$113,IF($U$90=17,$AJ$116,IF($U$90=18,$AJ$119,IF($U$90=19,$AJ$122,IF($U$90=20,$AJ$125,"")))))))))))))))))))</f>
        <v/>
      </c>
      <c r="AJ139" s="74"/>
      <c r="AK139" s="58"/>
      <c r="AL139" s="75"/>
      <c r="AM139" s="76"/>
      <c r="AN139" s="76"/>
      <c r="AO139" s="76"/>
      <c r="AP139" s="76"/>
      <c r="AQ139" s="70" t="s">
        <v>136</v>
      </c>
      <c r="AR139" s="5" t="str">
        <f>IF($U$100=2,$AS$75,IF($U$100=3,$AS$78,IF($U$100=4,$AS$79,IF($U$100=5,$AS$82,IF($U$100=6,$AS$85,IF($U$100=7,$AS$88,IF($U$100=8,$AS$91,IF($U$100=9,#REF!,IF($U$100=10,$AS$95,IF($U$100=11,$AS$98,IF($U$100=12,$AS$101,IF($U$100=13,$AS$104,IF($U$100=14,$AS$107,IF($U$100=15,$AS$110,IF($U$100=16,$AS$113,IF($U$100=17,$AS$116,""))))))))))))))))</f>
        <v/>
      </c>
    </row>
    <row r="140" spans="1:44" s="1" customFormat="1" ht="15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X140" s="5"/>
      <c r="AI140" s="5" t="str">
        <f>IF($U$90=2,$AJ$76,IF($U$90=3,#REF!,IF($U$90=4,$AJ$80,IF($U$90=5,$AJ$83,IF($U$90=6,$AJ$86,IF($U$90=7,$AJ$89,IF($U$90=8,$AJ$92,IF($U$90=9,#REF!,IF($U$90=10,$AJ$96,IF($U$90=11,$AJ$99,IF($U$90=12,$AJ$102,IF($U$90=13,$AJ$105,IF($U$90=14,$AJ$108,IF($U$90=15,$AJ$111,IF($U$90=16,$AJ$114,IF($U$90=17,$AJ$117,IF($U$90=18,$AJ$120,IF($U$90=19,$AJ$123,IF($U$90=20,$AJ$126,"")))))))))))))))))))</f>
        <v/>
      </c>
      <c r="AJ140" s="79"/>
      <c r="AK140" s="58"/>
      <c r="AL140" s="75"/>
      <c r="AM140" s="76"/>
      <c r="AN140" s="76"/>
      <c r="AO140" s="76"/>
      <c r="AP140" s="76"/>
      <c r="AR140" s="5" t="str">
        <f>IF($U$100=2,$AS$76,IF($U$100=3,#REF!,IF($U$100=4,$AS$80,IF($U$100=5,$AS$83,IF($U$100=6,$AS$86,IF($U$100=7,$AS$89,IF($U$100=8,$AS$92,IF($U$100=9,#REF!,IF($U$100=10,$AS$96,IF($U$100=11,$AS$99,IF($U$100=12,$AS$102,IF($U$100=13,$AS$105,IF($U$100=14,$AS$108,IF($U$100=15,$AS$111,IF($U$100=16,$AS$114,IF($U$100=17,$AS$117,""))))))))))))))))</f>
        <v/>
      </c>
    </row>
    <row r="141" spans="1:44" s="1" customFormat="1" ht="15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X141" s="8"/>
      <c r="AI141" s="5" t="str">
        <f>IF($U$90=2,$AJ$77,IF($U$90=3,#REF!,IF($U$90=4,$AJ$81,IF($U$90=5,$AJ$84,IF($U$90=6,$AJ$87,IF($U$90=7,$AJ$90,IF($U$90=8,$AJ$93,IF($U$90=9,$AJ$94,IF($U$90=10,$AJ$97,IF($U$90=11,$AJ$100,IF($U$90=12,$AJ$103,IF($U$90=13,$AJ$106,IF($U$90=14,$AJ$109,IF($U$90=15,$AJ$112,IF($U$90=16,$AJ$115,IF($U$90=17,$AJ$118,IF($U$90=18,$AJ$121,IF($U$90=19,$AJ$124,IF($U$90=20,$AJ$127,"")))))))))))))))))))</f>
        <v/>
      </c>
      <c r="AJ141" s="74"/>
      <c r="AK141" s="58"/>
      <c r="AL141" s="75"/>
      <c r="AM141" s="76"/>
      <c r="AN141" s="76"/>
      <c r="AO141" s="76"/>
      <c r="AP141" s="76"/>
      <c r="AR141" s="5" t="str">
        <f>IF($U$100=2,$AS$77,IF($U$100=3,#REF!,IF($U$100=4,$AS$81,IF($U$100=5,$AS$84,IF($U$100=6,$AS$87,IF($U$100=7,$AS$90,IF($U$100=8,$AS$93,IF($U$100=9,$AS$94,IF($U$100=10,$AS$97,IF($U$100=11,$AS$100,IF($U$100=12,$AS$103,IF($U$100=13,$AS$106,IF($U$100=14,$AS$109,IF($U$100=15,$AS$112,IF($U$100=16,$AS$115,IF($U$100=17,$AS$118,""))))))))))))))))</f>
        <v/>
      </c>
    </row>
    <row r="142" spans="1:44" s="1" customFormat="1" ht="15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X142" s="5"/>
      <c r="AH142" s="70" t="s">
        <v>133</v>
      </c>
      <c r="AJ142" s="74"/>
      <c r="AK142" s="58"/>
      <c r="AL142" s="75"/>
      <c r="AM142" s="76"/>
      <c r="AN142" s="76"/>
      <c r="AO142" s="76"/>
      <c r="AP142" s="76"/>
    </row>
    <row r="143" spans="1:44" s="1" customFormat="1" ht="15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X143" s="5"/>
      <c r="AJ143" s="79"/>
      <c r="AK143" s="58"/>
      <c r="AL143" s="75"/>
      <c r="AM143" s="76"/>
      <c r="AN143" s="76"/>
      <c r="AO143" s="76"/>
      <c r="AP143" s="76"/>
    </row>
    <row r="144" spans="1:44" s="1" customFormat="1" ht="15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X144" s="8"/>
      <c r="AJ144" s="74"/>
      <c r="AK144" s="58"/>
      <c r="AL144" s="75"/>
      <c r="AM144" s="76"/>
      <c r="AN144" s="76"/>
      <c r="AO144" s="76"/>
      <c r="AP144" s="76"/>
    </row>
    <row r="145" spans="1:42" s="1" customFormat="1" ht="15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X145" s="5"/>
      <c r="AJ145" s="74"/>
      <c r="AK145" s="58"/>
      <c r="AL145" s="75"/>
      <c r="AM145" s="76"/>
      <c r="AN145" s="76"/>
      <c r="AO145" s="76"/>
      <c r="AP145" s="76"/>
    </row>
    <row r="146" spans="1:42" s="1" customFormat="1" ht="15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X146" s="5"/>
      <c r="AJ146" s="79"/>
      <c r="AK146" s="58"/>
      <c r="AL146" s="75"/>
      <c r="AM146" s="76"/>
      <c r="AN146" s="76"/>
      <c r="AO146" s="76"/>
      <c r="AP146" s="76"/>
    </row>
    <row r="147" spans="1:42" s="1" customFormat="1" ht="15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X147" s="8"/>
      <c r="AJ147" s="74"/>
      <c r="AK147" s="58"/>
      <c r="AL147" s="75"/>
      <c r="AM147" s="76"/>
      <c r="AN147" s="76"/>
      <c r="AO147" s="76"/>
      <c r="AP147" s="76"/>
    </row>
    <row r="148" spans="1:42" s="1" customFormat="1" ht="15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X148" s="5"/>
      <c r="AJ148" s="74"/>
      <c r="AK148" s="58"/>
      <c r="AL148" s="75"/>
      <c r="AM148" s="76"/>
      <c r="AN148" s="76"/>
      <c r="AO148" s="76"/>
      <c r="AP148" s="76"/>
    </row>
    <row r="149" spans="1:42" s="1" customFormat="1" ht="15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X149" s="5"/>
      <c r="AJ149" s="79"/>
      <c r="AK149" s="58"/>
      <c r="AL149" s="75"/>
      <c r="AM149" s="76"/>
      <c r="AN149" s="76"/>
      <c r="AO149" s="76"/>
      <c r="AP149" s="76"/>
    </row>
    <row r="150" spans="1:42" s="1" customFormat="1" ht="15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AJ150" s="74"/>
      <c r="AK150" s="58"/>
      <c r="AL150" s="75"/>
      <c r="AM150" s="76"/>
      <c r="AN150" s="76"/>
      <c r="AO150" s="76"/>
      <c r="AP150" s="76"/>
    </row>
    <row r="151" spans="1:42" s="1" customFormat="1" ht="15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AJ151" s="74"/>
      <c r="AK151" s="58"/>
      <c r="AL151" s="75"/>
      <c r="AM151" s="76"/>
      <c r="AN151" s="76"/>
      <c r="AO151" s="76"/>
      <c r="AP151" s="76"/>
    </row>
    <row r="152" spans="1:42" s="1" customFormat="1" ht="15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AJ152" s="79"/>
      <c r="AK152" s="58"/>
      <c r="AL152" s="75"/>
      <c r="AM152" s="76"/>
      <c r="AN152" s="76"/>
      <c r="AO152" s="76"/>
      <c r="AP152" s="76"/>
    </row>
    <row r="153" spans="1:42" s="1" customFormat="1" ht="15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AJ153" s="74"/>
      <c r="AK153" s="58"/>
      <c r="AL153" s="75"/>
      <c r="AM153" s="76"/>
      <c r="AN153" s="76"/>
      <c r="AO153" s="76"/>
      <c r="AP153" s="76"/>
    </row>
    <row r="154" spans="1:42" s="1" customFormat="1" ht="15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AJ154" s="74"/>
      <c r="AK154" s="58"/>
      <c r="AL154" s="75"/>
      <c r="AM154" s="76"/>
      <c r="AN154" s="76"/>
      <c r="AO154" s="76"/>
      <c r="AP154" s="76"/>
    </row>
    <row r="155" spans="1:42" s="1" customFormat="1" ht="15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AJ155" s="79"/>
      <c r="AK155" s="58"/>
      <c r="AL155" s="75"/>
      <c r="AM155" s="76"/>
      <c r="AN155" s="76"/>
      <c r="AO155" s="76"/>
      <c r="AP155" s="76"/>
    </row>
    <row r="156" spans="1:42" s="1" customFormat="1" ht="15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AJ156" s="74"/>
      <c r="AK156" s="58"/>
      <c r="AL156" s="75"/>
      <c r="AM156" s="76"/>
      <c r="AN156" s="76"/>
      <c r="AO156" s="76"/>
      <c r="AP156" s="76"/>
    </row>
    <row r="157" spans="1:42" s="1" customFormat="1" ht="15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AJ157" s="74"/>
      <c r="AK157" s="58"/>
      <c r="AL157" s="75"/>
      <c r="AM157" s="76"/>
      <c r="AN157" s="76"/>
      <c r="AO157" s="76"/>
      <c r="AP157" s="76"/>
    </row>
    <row r="158" spans="1:42" s="1" customFormat="1" ht="15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AJ158" s="79"/>
      <c r="AK158" s="58"/>
      <c r="AL158" s="75"/>
      <c r="AM158" s="76"/>
      <c r="AN158" s="76"/>
      <c r="AO158" s="76"/>
      <c r="AP158" s="76"/>
    </row>
    <row r="159" spans="1:42" s="1" customFormat="1" ht="15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AJ159" s="74"/>
      <c r="AK159" s="58"/>
      <c r="AL159" s="75"/>
      <c r="AM159" s="76"/>
      <c r="AN159" s="76"/>
      <c r="AO159" s="76"/>
      <c r="AP159" s="76"/>
    </row>
    <row r="160" spans="1:42" s="1" customFormat="1" ht="15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AJ160" s="74"/>
      <c r="AK160" s="58"/>
      <c r="AL160" s="75"/>
      <c r="AM160" s="76"/>
      <c r="AN160" s="76"/>
      <c r="AO160" s="76"/>
      <c r="AP160" s="76"/>
    </row>
    <row r="161" spans="1:42" s="1" customFormat="1" ht="15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AJ161" s="79"/>
      <c r="AK161" s="58"/>
      <c r="AL161" s="75"/>
      <c r="AM161" s="76"/>
      <c r="AN161" s="76"/>
      <c r="AO161" s="76"/>
      <c r="AP161" s="76"/>
    </row>
    <row r="162" spans="1:42" s="1" customFormat="1" ht="15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AJ162" s="74"/>
      <c r="AK162" s="58"/>
      <c r="AL162" s="75"/>
      <c r="AM162" s="76"/>
      <c r="AN162" s="76"/>
      <c r="AO162" s="76"/>
      <c r="AP162" s="76"/>
    </row>
    <row r="163" spans="1:42" s="1" customFormat="1" ht="15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AJ163" s="74"/>
      <c r="AK163" s="58"/>
      <c r="AL163" s="75"/>
      <c r="AM163" s="76"/>
      <c r="AN163" s="76"/>
      <c r="AO163" s="76"/>
      <c r="AP163" s="76"/>
    </row>
    <row r="164" spans="1:42" s="1" customFormat="1" ht="15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AJ164" s="79"/>
      <c r="AK164" s="58"/>
      <c r="AL164" s="75"/>
      <c r="AM164" s="76"/>
      <c r="AN164" s="76"/>
      <c r="AO164" s="76"/>
      <c r="AP164" s="76"/>
    </row>
    <row r="165" spans="1:42" s="1" customFormat="1" ht="15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AJ165" s="74"/>
      <c r="AK165" s="58"/>
      <c r="AL165" s="75"/>
      <c r="AM165" s="76"/>
      <c r="AN165" s="76"/>
      <c r="AO165" s="76"/>
      <c r="AP165" s="76"/>
    </row>
    <row r="166" spans="1:42" s="1" customFormat="1" ht="15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AJ166" s="74"/>
      <c r="AK166" s="58"/>
      <c r="AL166" s="75"/>
      <c r="AM166" s="76"/>
      <c r="AN166" s="76"/>
      <c r="AO166" s="76"/>
      <c r="AP166" s="76"/>
    </row>
    <row r="167" spans="1:42" s="1" customFormat="1" ht="15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AJ167" s="79"/>
      <c r="AK167" s="58"/>
      <c r="AL167" s="75"/>
      <c r="AM167" s="76"/>
      <c r="AN167" s="76"/>
      <c r="AO167" s="76"/>
      <c r="AP167" s="76"/>
    </row>
    <row r="168" spans="1:42" s="1" customFormat="1" ht="15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AJ168" s="74"/>
      <c r="AK168" s="58"/>
      <c r="AL168" s="75"/>
      <c r="AM168" s="76"/>
      <c r="AN168" s="76"/>
      <c r="AO168" s="76"/>
      <c r="AP168" s="76"/>
    </row>
    <row r="169" spans="1:42" s="1" customFormat="1" ht="15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AJ169" s="74"/>
      <c r="AK169" s="58"/>
      <c r="AL169" s="75"/>
      <c r="AM169" s="76"/>
      <c r="AN169" s="76"/>
      <c r="AO169" s="76"/>
      <c r="AP169" s="76"/>
    </row>
    <row r="170" spans="1:42" s="1" customFormat="1" ht="15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AJ170" s="74"/>
      <c r="AK170" s="58"/>
      <c r="AL170" s="75"/>
      <c r="AM170" s="76"/>
      <c r="AN170" s="76"/>
      <c r="AO170" s="76"/>
      <c r="AP170" s="76"/>
    </row>
    <row r="171" spans="1:42" s="1" customFormat="1" ht="15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AJ171" s="74"/>
      <c r="AK171" s="58"/>
      <c r="AL171" s="75"/>
      <c r="AM171" s="76"/>
      <c r="AN171" s="76"/>
      <c r="AO171" s="76"/>
      <c r="AP171" s="76"/>
    </row>
    <row r="172" spans="1:42" s="1" customFormat="1" ht="15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AJ172" s="74"/>
      <c r="AK172" s="58"/>
      <c r="AL172" s="75"/>
      <c r="AM172" s="76"/>
      <c r="AN172" s="76"/>
      <c r="AO172" s="76"/>
      <c r="AP172" s="76"/>
    </row>
    <row r="173" spans="1:42" s="1" customFormat="1" ht="15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AJ173" s="74"/>
      <c r="AK173" s="58"/>
      <c r="AL173" s="75"/>
      <c r="AM173" s="76"/>
      <c r="AN173" s="76"/>
      <c r="AO173" s="76"/>
      <c r="AP173" s="76"/>
    </row>
    <row r="174" spans="1:42" s="1" customFormat="1" ht="15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AJ174" s="74"/>
      <c r="AK174" s="58"/>
      <c r="AL174" s="75"/>
      <c r="AM174" s="76"/>
      <c r="AN174" s="76"/>
      <c r="AO174" s="76"/>
      <c r="AP174" s="76"/>
    </row>
    <row r="175" spans="1:42" s="1" customFormat="1" ht="15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AJ175" s="74"/>
      <c r="AK175" s="58"/>
      <c r="AL175" s="75"/>
      <c r="AM175" s="76"/>
      <c r="AN175" s="76"/>
      <c r="AO175" s="76"/>
      <c r="AP175" s="76"/>
    </row>
    <row r="176" spans="1:42" s="1" customFormat="1" ht="15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AJ176" s="74"/>
      <c r="AK176" s="58"/>
      <c r="AL176" s="75"/>
      <c r="AM176" s="76"/>
      <c r="AN176" s="76"/>
      <c r="AO176" s="76"/>
      <c r="AP176" s="76"/>
    </row>
    <row r="177" spans="1:42" s="1" customFormat="1" ht="15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AJ177" s="74"/>
      <c r="AK177" s="58"/>
      <c r="AL177" s="75"/>
      <c r="AM177" s="76"/>
      <c r="AN177" s="76"/>
      <c r="AO177" s="76"/>
      <c r="AP177" s="76"/>
    </row>
    <row r="178" spans="1:42" s="1" customFormat="1" ht="15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AJ178" s="74"/>
      <c r="AK178" s="58"/>
      <c r="AL178" s="75"/>
      <c r="AM178" s="76"/>
      <c r="AN178" s="76"/>
      <c r="AO178" s="76"/>
      <c r="AP178" s="76"/>
    </row>
    <row r="179" spans="1:42" s="1" customFormat="1" ht="15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AJ179" s="74"/>
      <c r="AK179" s="58"/>
      <c r="AL179" s="75"/>
      <c r="AM179" s="76"/>
      <c r="AN179" s="76"/>
      <c r="AO179" s="76"/>
      <c r="AP179" s="76"/>
    </row>
    <row r="180" spans="1:42" s="1" customFormat="1" ht="15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</row>
    <row r="181" spans="1:42" s="1" customFormat="1" ht="15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</row>
    <row r="182" spans="1:42" s="1" customFormat="1" ht="15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</row>
    <row r="183" spans="1:42" s="1" customFormat="1" ht="15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</row>
    <row r="184" spans="1:42" s="1" customFormat="1" ht="15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</row>
    <row r="185" spans="1:42" s="1" customFormat="1" ht="15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</row>
    <row r="186" spans="1:42" s="1" customFormat="1" ht="15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</row>
    <row r="187" spans="1:42" s="1" customFormat="1" ht="15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</row>
    <row r="188" spans="1:42" s="1" customFormat="1" ht="15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</row>
    <row r="189" spans="1:42" s="1" customFormat="1" ht="15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</row>
    <row r="190" spans="1:42" s="1" customFormat="1" ht="15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</row>
    <row r="191" spans="1:42" s="1" customFormat="1" ht="15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</row>
    <row r="192" spans="1:42" s="1" customFormat="1" ht="15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</row>
    <row r="193" spans="1:19" s="1" customFormat="1" ht="15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</row>
    <row r="194" spans="1:19" s="1" customFormat="1" ht="15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</row>
    <row r="195" spans="1:19" s="1" customFormat="1" ht="15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</row>
    <row r="196" spans="1:19" s="1" customFormat="1" ht="15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</row>
    <row r="197" spans="1:19" s="1" customFormat="1" ht="15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</row>
    <row r="198" spans="1:19" s="1" customFormat="1" ht="15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</row>
    <row r="199" spans="1:19" s="1" customFormat="1" ht="15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</row>
    <row r="200" spans="1:19" s="1" customFormat="1" ht="15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</row>
    <row r="201" spans="1:19" s="1" customFormat="1" ht="15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</row>
    <row r="202" spans="1:19" s="1" customFormat="1" ht="15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</row>
    <row r="203" spans="1:19" s="1" customFormat="1" ht="15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</row>
    <row r="204" spans="1:19" s="1" customFormat="1" ht="15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</row>
    <row r="205" spans="1:19" s="1" customFormat="1" ht="15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</row>
    <row r="206" spans="1:19" s="1" customFormat="1" ht="15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</row>
    <row r="207" spans="1:19" s="1" customFormat="1" ht="15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</row>
    <row r="208" spans="1:19" s="1" customFormat="1" ht="15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</row>
    <row r="209" spans="1:19" s="1" customFormat="1" ht="15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</row>
    <row r="210" spans="1:19" s="1" customFormat="1" ht="15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</row>
    <row r="211" spans="1:19" s="1" customFormat="1" ht="15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</row>
    <row r="212" spans="1:19" s="1" customFormat="1" ht="15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</row>
    <row r="213" spans="1:19" s="1" customFormat="1" ht="15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</row>
    <row r="214" spans="1:19" s="1" customFormat="1" ht="15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</row>
    <row r="215" spans="1:19" s="1" customFormat="1" ht="15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</row>
    <row r="216" spans="1:19" s="1" customFormat="1" ht="15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</row>
    <row r="217" spans="1:19" s="1" customFormat="1" ht="15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</row>
    <row r="218" spans="1:19" s="1" customFormat="1" ht="15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</row>
    <row r="219" spans="1:19" s="1" customFormat="1" ht="15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</row>
    <row r="220" spans="1:19" s="1" customFormat="1" ht="15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</row>
    <row r="221" spans="1:19" s="1" customFormat="1" ht="15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</row>
    <row r="222" spans="1:19" s="1" customFormat="1" ht="15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</row>
    <row r="223" spans="1:19" s="1" customFormat="1" ht="15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</row>
    <row r="224" spans="1:19" s="1" customFormat="1" ht="15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</row>
    <row r="225" spans="1:19" s="1" customFormat="1" ht="15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</row>
    <row r="226" spans="1:19" s="1" customFormat="1" ht="15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</row>
    <row r="227" spans="1:19" s="1" customFormat="1" ht="15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</row>
    <row r="228" spans="1:19" s="1" customFormat="1" ht="15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</row>
    <row r="229" spans="1:19" s="1" customFormat="1" ht="15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</row>
    <row r="230" spans="1:19" s="1" customFormat="1" ht="15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</row>
    <row r="231" spans="1:19" s="1" customFormat="1" ht="15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</row>
    <row r="232" spans="1:19" s="1" customFormat="1" ht="15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</row>
    <row r="233" spans="1:19" s="1" customFormat="1" ht="15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</row>
    <row r="234" spans="1:19" s="1" customFormat="1" ht="15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</row>
    <row r="235" spans="1:19" s="1" customFormat="1" ht="15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</row>
    <row r="236" spans="1:19" s="1" customFormat="1" ht="15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</row>
    <row r="237" spans="1:19" s="1" customFormat="1" ht="15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</row>
    <row r="238" spans="1:19" s="1" customFormat="1" ht="15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</row>
    <row r="239" spans="1:19" s="1" customFormat="1" ht="15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</row>
    <row r="240" spans="1:19" s="1" customFormat="1" ht="15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</row>
    <row r="241" spans="1:19" s="1" customFormat="1" ht="15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</row>
    <row r="242" spans="1:19" s="1" customFormat="1" ht="15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</row>
    <row r="243" spans="1:19" s="1" customFormat="1" ht="15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</row>
    <row r="244" spans="1:19" s="1" customFormat="1" ht="15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</row>
    <row r="245" spans="1:19" s="1" customFormat="1" ht="15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</row>
    <row r="246" spans="1:19" s="1" customFormat="1" ht="15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</row>
    <row r="247" spans="1:19" s="1" customFormat="1" ht="15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</row>
    <row r="248" spans="1:19" s="1" customFormat="1" ht="15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</row>
    <row r="249" spans="1:19" s="1" customFormat="1" ht="15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</row>
    <row r="250" spans="1:19" s="1" customFormat="1" ht="15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s="1" customFormat="1" ht="15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s="1" customFormat="1" ht="15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</row>
    <row r="253" spans="1:19" s="1" customFormat="1" ht="15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</row>
    <row r="254" spans="1:19" s="1" customFormat="1" ht="15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</row>
    <row r="255" spans="1:19" s="1" customFormat="1" ht="15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</row>
    <row r="256" spans="1:19" s="1" customFormat="1" ht="15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</row>
    <row r="257" spans="1:19" s="1" customFormat="1" ht="15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s="1" customFormat="1" ht="15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</row>
    <row r="259" spans="1:19" s="1" customFormat="1" ht="15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</row>
    <row r="260" spans="1:19" s="1" customFormat="1" ht="15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</row>
    <row r="261" spans="1:19" s="1" customFormat="1" ht="15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</row>
    <row r="262" spans="1:19" s="1" customFormat="1" ht="15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</row>
    <row r="263" spans="1:19" s="1" customFormat="1" ht="15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</row>
    <row r="264" spans="1:19" s="1" customFormat="1" ht="15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</row>
    <row r="265" spans="1:19" s="1" customFormat="1" ht="15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</row>
    <row r="266" spans="1:19" s="1" customFormat="1" ht="15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</row>
    <row r="267" spans="1:19" s="1" customFormat="1" ht="15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</row>
    <row r="268" spans="1:19" s="1" customFormat="1" ht="15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</row>
    <row r="269" spans="1:19" s="1" customFormat="1" ht="15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</row>
    <row r="270" spans="1:19" s="1" customFormat="1" ht="15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</row>
    <row r="271" spans="1:19" s="1" customFormat="1" ht="15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</row>
    <row r="272" spans="1:19" s="1" customFormat="1" ht="15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</row>
    <row r="273" spans="1:19" s="1" customFormat="1" ht="15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</row>
    <row r="274" spans="1:19" s="1" customFormat="1" ht="15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</row>
    <row r="275" spans="1:19" s="1" customFormat="1" ht="15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</row>
    <row r="276" spans="1:19" s="1" customFormat="1" ht="15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</row>
    <row r="277" spans="1:19" s="1" customFormat="1" ht="15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</row>
    <row r="278" spans="1:19" s="1" customFormat="1" ht="15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</row>
    <row r="279" spans="1:19" s="1" customFormat="1" ht="15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</row>
    <row r="280" spans="1:19" s="1" customFormat="1" ht="15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</row>
    <row r="281" spans="1:19" s="1" customFormat="1" ht="15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</row>
    <row r="282" spans="1:19" s="1" customFormat="1" ht="15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</row>
    <row r="283" spans="1:19" s="1" customFormat="1" ht="15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</row>
    <row r="284" spans="1:19" s="1" customFormat="1" ht="15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</row>
    <row r="285" spans="1:19" s="1" customFormat="1" ht="15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</row>
    <row r="286" spans="1:19" s="1" customFormat="1" ht="15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</row>
    <row r="287" spans="1:19" s="1" customFormat="1" ht="15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s="1" customFormat="1" ht="15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</row>
    <row r="289" spans="1:19" s="1" customFormat="1" ht="15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</row>
    <row r="290" spans="1:19" s="1" customFormat="1" ht="15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</row>
    <row r="291" spans="1:19" s="1" customFormat="1" ht="15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</row>
    <row r="292" spans="1:19" s="1" customFormat="1" ht="15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</row>
    <row r="293" spans="1:19" s="1" customFormat="1" ht="15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</row>
    <row r="294" spans="1:19" s="1" customFormat="1" ht="15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</row>
    <row r="295" spans="1:19" s="1" customFormat="1" ht="15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</row>
    <row r="296" spans="1:19" s="1" customFormat="1" ht="15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</row>
    <row r="297" spans="1:19" s="1" customFormat="1" ht="15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</row>
    <row r="298" spans="1:19" s="1" customFormat="1" ht="15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</row>
    <row r="299" spans="1:19" s="1" customFormat="1" ht="15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</row>
    <row r="300" spans="1:19" s="1" customFormat="1" ht="15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</row>
    <row r="301" spans="1:19" s="1" customFormat="1" ht="15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</row>
    <row r="302" spans="1:19" s="1" customFormat="1" ht="15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</row>
    <row r="303" spans="1:19" s="1" customFormat="1" ht="15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</row>
    <row r="304" spans="1:19" s="1" customFormat="1" ht="15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</row>
    <row r="305" spans="1:19" s="1" customFormat="1" ht="15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</row>
    <row r="306" spans="1:19" s="1" customFormat="1" ht="15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</row>
    <row r="307" spans="1:19" s="1" customFormat="1" ht="15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</row>
    <row r="308" spans="1:19" s="1" customFormat="1" ht="15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</row>
    <row r="309" spans="1:19" s="1" customFormat="1" ht="15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</row>
    <row r="310" spans="1:19" s="1" customFormat="1" ht="15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</row>
    <row r="311" spans="1:19" s="1" customFormat="1" ht="15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</row>
    <row r="312" spans="1:19" s="1" customFormat="1" ht="15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</row>
    <row r="313" spans="1:19" s="1" customFormat="1" ht="15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</row>
    <row r="314" spans="1:19" s="1" customFormat="1" ht="15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</row>
    <row r="315" spans="1:19" s="1" customFormat="1" ht="15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</row>
    <row r="316" spans="1:19" s="1" customFormat="1" ht="15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</row>
    <row r="317" spans="1:19" s="1" customFormat="1" ht="15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</row>
    <row r="318" spans="1:19" s="1" customFormat="1" ht="15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</row>
    <row r="319" spans="1:19" s="1" customFormat="1" ht="15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</row>
    <row r="320" spans="1:19" s="1" customFormat="1" ht="15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</row>
    <row r="321" spans="1:19" s="1" customFormat="1" ht="15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</row>
    <row r="322" spans="1:19" s="1" customFormat="1" ht="15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</row>
    <row r="323" spans="1:19" s="1" customFormat="1" ht="15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</row>
    <row r="324" spans="1:19" s="1" customFormat="1" ht="15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</row>
    <row r="325" spans="1:19" s="1" customFormat="1" ht="15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</row>
    <row r="326" spans="1:19" s="1" customFormat="1" ht="15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</row>
    <row r="327" spans="1:19" s="1" customFormat="1" ht="15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</row>
    <row r="328" spans="1:19" s="1" customFormat="1" ht="15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</row>
    <row r="329" spans="1:19" s="1" customFormat="1" ht="15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</row>
    <row r="330" spans="1:19" s="1" customFormat="1" ht="15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</row>
    <row r="331" spans="1:19" s="1" customFormat="1" ht="15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</row>
    <row r="332" spans="1:19" s="1" customFormat="1" ht="15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</row>
    <row r="333" spans="1:19" s="1" customFormat="1" ht="15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</row>
    <row r="334" spans="1:19" s="1" customFormat="1" ht="15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</row>
    <row r="335" spans="1:19" s="1" customFormat="1" ht="15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</row>
    <row r="336" spans="1:19" s="1" customFormat="1" ht="15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</row>
    <row r="337" spans="1:19" s="1" customFormat="1" ht="15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</row>
    <row r="338" spans="1:19" s="1" customFormat="1" ht="15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</row>
    <row r="339" spans="1:19" s="1" customFormat="1" ht="15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</row>
    <row r="340" spans="1:19" s="1" customFormat="1" ht="15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</row>
    <row r="341" spans="1:19" s="1" customFormat="1" ht="15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</row>
    <row r="342" spans="1:19" s="1" customFormat="1" ht="15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</row>
    <row r="343" spans="1:19" s="1" customFormat="1" ht="15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</row>
    <row r="344" spans="1:19" s="1" customFormat="1" ht="15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</row>
    <row r="345" spans="1:19" s="1" customFormat="1" ht="15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</row>
    <row r="346" spans="1:19" s="1" customFormat="1" ht="15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</row>
    <row r="347" spans="1:19" s="1" customFormat="1" ht="15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</row>
    <row r="348" spans="1:19" s="1" customFormat="1" ht="15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</row>
    <row r="349" spans="1:19" s="1" customFormat="1" ht="15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</row>
    <row r="350" spans="1:19" s="1" customFormat="1" ht="15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</row>
    <row r="351" spans="1:19" s="1" customFormat="1" ht="15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</row>
    <row r="352" spans="1:19" s="1" customFormat="1" ht="15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</row>
    <row r="353" spans="1:19" s="1" customFormat="1" ht="15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</row>
    <row r="354" spans="1:19" s="1" customFormat="1" ht="15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</row>
    <row r="355" spans="1:19" s="1" customFormat="1" ht="15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</row>
    <row r="356" spans="1:19" s="1" customFormat="1" ht="15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</row>
    <row r="357" spans="1:19" s="1" customFormat="1" ht="15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</row>
    <row r="358" spans="1:19" s="1" customFormat="1" ht="15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</row>
    <row r="359" spans="1:19" s="1" customFormat="1" ht="15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</row>
    <row r="360" spans="1:19" s="1" customFormat="1" ht="15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</row>
    <row r="361" spans="1:19" s="1" customFormat="1" ht="15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</row>
    <row r="362" spans="1:19" s="1" customFormat="1" ht="15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</row>
    <row r="363" spans="1:19" s="1" customFormat="1" ht="15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</row>
    <row r="364" spans="1:19" s="1" customFormat="1" ht="15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</row>
    <row r="365" spans="1:19" s="1" customFormat="1" ht="15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</row>
    <row r="366" spans="1:19" s="1" customFormat="1" ht="15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</row>
    <row r="367" spans="1:19" s="1" customFormat="1" ht="15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</row>
    <row r="368" spans="1:19" s="1" customFormat="1" ht="15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</row>
    <row r="369" spans="1:19" s="1" customFormat="1" ht="15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</row>
    <row r="370" spans="1:19" s="1" customFormat="1" ht="15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</row>
    <row r="371" spans="1:19" s="1" customFormat="1" ht="15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</row>
    <row r="372" spans="1:19" s="1" customFormat="1" ht="15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</row>
    <row r="373" spans="1:19" s="1" customFormat="1" ht="15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</row>
    <row r="374" spans="1:19" s="1" customFormat="1" ht="15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</row>
    <row r="375" spans="1:19" s="1" customFormat="1" ht="15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</row>
    <row r="376" spans="1:19" s="1" customFormat="1" ht="15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</row>
    <row r="377" spans="1:19" s="1" customFormat="1" ht="15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</row>
    <row r="378" spans="1:19" s="1" customFormat="1" ht="15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</row>
    <row r="379" spans="1:19" s="1" customFormat="1" ht="15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</row>
    <row r="380" spans="1:19" s="1" customFormat="1" ht="15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</row>
    <row r="381" spans="1:19" s="1" customFormat="1" ht="15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</row>
    <row r="382" spans="1:19" s="1" customFormat="1" ht="15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</row>
    <row r="383" spans="1:19" s="1" customFormat="1" ht="15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</row>
    <row r="384" spans="1:19" s="1" customFormat="1" ht="15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</row>
    <row r="385" spans="1:19" s="1" customFormat="1" ht="15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</row>
    <row r="386" spans="1:19" s="1" customFormat="1" ht="15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</row>
    <row r="387" spans="1:19" s="1" customFormat="1" ht="15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</row>
    <row r="388" spans="1:19" s="1" customFormat="1" ht="15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</row>
    <row r="389" spans="1:19" s="1" customFormat="1" ht="15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</row>
    <row r="390" spans="1:19" s="1" customFormat="1" ht="15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</row>
    <row r="391" spans="1:19" s="1" customFormat="1" ht="15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</row>
    <row r="392" spans="1:19" s="1" customFormat="1" ht="15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</row>
    <row r="393" spans="1:19" s="1" customFormat="1" ht="15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</row>
    <row r="394" spans="1:19" s="1" customFormat="1" ht="15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</row>
    <row r="395" spans="1:19" s="1" customFormat="1" ht="15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</row>
    <row r="396" spans="1:19" s="1" customFormat="1" ht="15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</row>
    <row r="397" spans="1:19" s="1" customFormat="1" ht="15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</row>
    <row r="398" spans="1:19" s="1" customFormat="1" ht="15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</row>
    <row r="399" spans="1:19" s="1" customFormat="1" ht="15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</row>
    <row r="400" spans="1:19" s="1" customFormat="1" ht="15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</row>
    <row r="401" spans="1:19" s="1" customFormat="1" ht="15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</row>
    <row r="402" spans="1:19" s="1" customFormat="1" ht="15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</row>
    <row r="403" spans="1:19" s="1" customFormat="1" ht="15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</row>
    <row r="404" spans="1:19" s="1" customFormat="1" ht="15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</row>
    <row r="405" spans="1:19" s="1" customFormat="1" ht="15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</row>
    <row r="406" spans="1:19" s="1" customFormat="1" ht="15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</row>
    <row r="407" spans="1:19" s="1" customFormat="1" ht="15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</row>
    <row r="408" spans="1:19" s="1" customFormat="1" ht="15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</row>
    <row r="409" spans="1:19" s="1" customFormat="1" ht="15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</row>
    <row r="410" spans="1:19" s="1" customFormat="1" ht="15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</row>
    <row r="411" spans="1:19" s="1" customFormat="1" ht="15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</row>
    <row r="412" spans="1:19" s="1" customFormat="1" ht="15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</row>
    <row r="413" spans="1:19" s="1" customFormat="1" ht="15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</row>
    <row r="414" spans="1:19" s="1" customFormat="1" ht="15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</row>
    <row r="415" spans="1:19" s="1" customFormat="1" ht="15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</row>
    <row r="416" spans="1:19" s="1" customFormat="1" ht="15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</row>
    <row r="417" spans="1:19" s="1" customFormat="1" ht="15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</row>
    <row r="418" spans="1:19" s="1" customFormat="1" ht="15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</row>
    <row r="419" spans="1:19" s="1" customFormat="1" ht="15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</row>
    <row r="420" spans="1:19" s="1" customFormat="1" ht="15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</row>
    <row r="421" spans="1:19" s="1" customFormat="1" ht="15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</row>
    <row r="422" spans="1:19" s="1" customFormat="1" ht="15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</row>
    <row r="423" spans="1:19" s="1" customFormat="1" ht="15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</row>
    <row r="424" spans="1:19" s="1" customFormat="1" ht="15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</row>
    <row r="425" spans="1:19" s="1" customFormat="1" ht="15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</row>
    <row r="426" spans="1:19" s="1" customFormat="1" ht="15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</row>
    <row r="427" spans="1:19" s="1" customFormat="1" ht="15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</row>
    <row r="428" spans="1:19" s="1" customFormat="1" ht="15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</row>
    <row r="429" spans="1:19" s="1" customFormat="1" ht="15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</row>
    <row r="430" spans="1:19" s="1" customFormat="1" ht="15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</row>
    <row r="431" spans="1:19" s="1" customFormat="1" ht="15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</row>
    <row r="432" spans="1:19" s="1" customFormat="1" ht="15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</row>
    <row r="433" spans="1:19" s="1" customFormat="1" ht="15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</row>
    <row r="434" spans="1:19" s="1" customFormat="1" ht="15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</row>
    <row r="435" spans="1:19" s="1" customFormat="1" ht="15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</row>
    <row r="436" spans="1:19" s="1" customFormat="1" ht="15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</row>
    <row r="437" spans="1:19" s="1" customFormat="1" ht="15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</row>
    <row r="438" spans="1:19" s="1" customFormat="1" ht="15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</row>
    <row r="439" spans="1:19" s="1" customFormat="1" ht="15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</row>
    <row r="440" spans="1:19" s="1" customFormat="1" ht="15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</row>
    <row r="441" spans="1:19" s="1" customFormat="1" ht="15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</row>
    <row r="442" spans="1:19" s="1" customFormat="1" ht="15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</row>
    <row r="443" spans="1:19" s="1" customFormat="1" ht="15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</row>
    <row r="444" spans="1:19" s="1" customFormat="1" ht="15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</row>
    <row r="445" spans="1:19" s="1" customFormat="1" ht="15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</row>
    <row r="446" spans="1:19" s="1" customFormat="1" ht="15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</row>
    <row r="447" spans="1:19" s="1" customFormat="1" ht="15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</row>
    <row r="448" spans="1:19" s="1" customFormat="1" ht="15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</row>
    <row r="449" spans="1:19" s="1" customFormat="1" ht="15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</row>
    <row r="450" spans="1:19" s="1" customFormat="1" ht="15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</row>
    <row r="451" spans="1:19" s="1" customFormat="1" ht="15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</row>
    <row r="452" spans="1:19" s="1" customFormat="1" ht="15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</row>
    <row r="453" spans="1:19" s="1" customFormat="1" ht="15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</row>
    <row r="454" spans="1:19" s="1" customFormat="1" ht="15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</row>
    <row r="455" spans="1:19" s="1" customFormat="1" ht="15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</row>
    <row r="456" spans="1:19" s="1" customFormat="1" ht="15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</row>
    <row r="457" spans="1:19" s="1" customFormat="1" ht="15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</row>
    <row r="458" spans="1:19" s="1" customFormat="1" ht="15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</row>
    <row r="459" spans="1:19" s="1" customFormat="1" ht="15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</row>
    <row r="460" spans="1:19" s="1" customFormat="1" ht="15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</row>
    <row r="461" spans="1:19" s="1" customFormat="1" ht="15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</row>
    <row r="462" spans="1:19" s="1" customFormat="1" ht="15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</row>
    <row r="463" spans="1:19" s="1" customFormat="1" ht="15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</row>
    <row r="464" spans="1:19" s="1" customFormat="1" ht="15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</row>
    <row r="465" spans="1:19" s="1" customFormat="1" ht="15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</row>
    <row r="466" spans="1:19" s="1" customFormat="1" ht="15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</row>
    <row r="467" spans="1:19" s="1" customFormat="1" ht="15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</row>
    <row r="468" spans="1:19" s="1" customFormat="1" ht="15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</row>
    <row r="469" spans="1:19" s="1" customFormat="1" ht="15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</row>
    <row r="470" spans="1:19" s="1" customFormat="1" ht="15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</row>
    <row r="471" spans="1:19" s="1" customFormat="1" ht="15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</row>
    <row r="472" spans="1:19" s="1" customFormat="1" ht="15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</row>
    <row r="473" spans="1:19" s="1" customFormat="1" ht="15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</row>
    <row r="474" spans="1:19" s="1" customFormat="1" ht="15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</row>
    <row r="475" spans="1:19" s="1" customFormat="1" ht="15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</row>
    <row r="476" spans="1:19" s="1" customFormat="1" ht="15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</row>
    <row r="477" spans="1:19" s="1" customFormat="1" ht="15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</row>
    <row r="478" spans="1:19" s="1" customFormat="1" ht="15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</row>
    <row r="479" spans="1:19" s="1" customFormat="1" ht="15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</row>
    <row r="480" spans="1:19" s="1" customFormat="1" ht="15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</row>
    <row r="481" spans="1:19" s="1" customFormat="1" ht="15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</row>
    <row r="482" spans="1:19" s="1" customFormat="1" ht="15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</row>
    <row r="483" spans="1:19" s="1" customFormat="1" ht="15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</row>
    <row r="484" spans="1:19" s="1" customFormat="1" ht="15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</row>
    <row r="485" spans="1:19" s="1" customFormat="1" ht="15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</row>
    <row r="486" spans="1:19" s="1" customFormat="1" ht="15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</row>
    <row r="487" spans="1:19" s="1" customFormat="1" ht="15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</row>
    <row r="488" spans="1:19" s="1" customFormat="1" ht="15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</row>
    <row r="489" spans="1:19" s="1" customFormat="1" ht="15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</row>
    <row r="490" spans="1:19" s="1" customFormat="1" ht="15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</row>
    <row r="491" spans="1:19" s="1" customFormat="1" ht="15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</row>
    <row r="492" spans="1:19" s="1" customFormat="1" ht="15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</row>
    <row r="493" spans="1:19" s="1" customFormat="1" ht="15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</row>
    <row r="494" spans="1:19" s="1" customFormat="1" ht="15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</row>
    <row r="495" spans="1:19" s="1" customFormat="1" ht="15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</row>
    <row r="496" spans="1:19" s="1" customFormat="1" ht="15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</row>
    <row r="497" spans="1:19" s="1" customFormat="1" ht="15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</row>
    <row r="498" spans="1:19" s="1" customFormat="1" ht="15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</row>
    <row r="499" spans="1:19" s="1" customFormat="1" ht="15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</row>
    <row r="500" spans="1:19" s="1" customFormat="1" ht="15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</row>
    <row r="501" spans="1:19" s="1" customFormat="1" ht="15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</row>
    <row r="502" spans="1:19" s="1" customFormat="1" ht="15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</row>
    <row r="503" spans="1:19" s="1" customFormat="1" ht="15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</row>
    <row r="504" spans="1:19" s="1" customFormat="1" ht="15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</row>
    <row r="505" spans="1:19" s="1" customFormat="1" ht="15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</row>
    <row r="506" spans="1:19" s="1" customFormat="1" ht="15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</row>
    <row r="507" spans="1:19" s="1" customFormat="1" ht="15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</row>
    <row r="508" spans="1:19" s="1" customFormat="1" ht="15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</row>
    <row r="509" spans="1:19" s="1" customFormat="1" ht="15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</row>
    <row r="510" spans="1:19" s="1" customFormat="1" ht="15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</row>
    <row r="511" spans="1:19" s="1" customFormat="1" ht="15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</row>
    <row r="512" spans="1:19" s="1" customFormat="1" ht="15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</row>
    <row r="513" spans="1:19" s="1" customFormat="1" ht="15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</row>
    <row r="514" spans="1:19" s="1" customFormat="1" ht="15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</row>
    <row r="515" spans="1:19" s="1" customFormat="1" ht="15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</row>
    <row r="516" spans="1:19" s="1" customFormat="1" ht="15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</row>
    <row r="517" spans="1:19" s="1" customFormat="1" ht="15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</row>
    <row r="518" spans="1:19" s="1" customFormat="1" ht="15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</row>
    <row r="519" spans="1:19" s="1" customFormat="1" ht="15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</row>
    <row r="520" spans="1:19" s="1" customFormat="1" ht="15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</row>
    <row r="521" spans="1:19" s="1" customFormat="1" ht="15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</row>
    <row r="522" spans="1:19" s="1" customFormat="1" ht="15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</row>
    <row r="523" spans="1:19" s="1" customFormat="1" ht="15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</row>
    <row r="524" spans="1:19" s="1" customFormat="1" ht="15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</row>
    <row r="525" spans="1:19" s="1" customFormat="1" ht="15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</row>
    <row r="526" spans="1:19" s="1" customFormat="1" ht="15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</row>
    <row r="527" spans="1:19" s="1" customFormat="1" ht="15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</row>
    <row r="528" spans="1:19" s="1" customFormat="1" ht="15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</row>
    <row r="529" spans="1:19" s="1" customFormat="1" ht="15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</row>
    <row r="530" spans="1:19" s="1" customFormat="1" ht="15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</row>
    <row r="531" spans="1:19" s="1" customFormat="1" ht="15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</row>
    <row r="532" spans="1:19" s="1" customFormat="1" ht="15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</row>
    <row r="533" spans="1:19" s="1" customFormat="1" ht="15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</row>
    <row r="534" spans="1:19" s="1" customFormat="1" ht="15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</row>
    <row r="535" spans="1:19" s="1" customFormat="1" ht="15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</row>
    <row r="536" spans="1:19" s="1" customFormat="1" ht="15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</row>
    <row r="537" spans="1:19" s="1" customFormat="1" ht="15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</row>
    <row r="538" spans="1:19" s="1" customFormat="1" ht="15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</row>
    <row r="539" spans="1:19" s="1" customFormat="1" ht="15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</row>
    <row r="540" spans="1:19" s="1" customFormat="1" ht="15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</row>
    <row r="541" spans="1:19" s="1" customFormat="1" ht="15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</row>
    <row r="542" spans="1:19" s="1" customFormat="1" ht="15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</row>
    <row r="543" spans="1:19" s="1" customFormat="1" ht="15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</row>
    <row r="544" spans="1:19" s="1" customFormat="1" ht="15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</row>
    <row r="545" spans="1:19" s="1" customFormat="1" ht="15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</row>
    <row r="546" spans="1:19" s="1" customFormat="1" ht="15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</row>
    <row r="547" spans="1:19" s="1" customFormat="1" ht="15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</row>
    <row r="548" spans="1:19" s="1" customFormat="1" ht="15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</row>
    <row r="549" spans="1:19" s="1" customFormat="1" ht="15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</row>
    <row r="550" spans="1:19" s="1" customFormat="1" ht="15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</row>
    <row r="551" spans="1:19" s="1" customFormat="1" ht="15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</row>
    <row r="552" spans="1:19" s="1" customFormat="1" ht="15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</row>
    <row r="553" spans="1:19" s="1" customFormat="1" ht="15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</row>
    <row r="554" spans="1:19" s="1" customFormat="1" ht="15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</row>
    <row r="555" spans="1:19" s="1" customFormat="1" ht="15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</row>
    <row r="556" spans="1:19" s="1" customFormat="1" ht="15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</row>
    <row r="557" spans="1:19" s="1" customFormat="1" ht="15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</row>
    <row r="558" spans="1:19" s="1" customFormat="1" ht="15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</row>
    <row r="559" spans="1:19" s="1" customFormat="1" ht="15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</row>
    <row r="560" spans="1:19" s="1" customFormat="1" ht="15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</row>
    <row r="561" spans="1:19" s="1" customFormat="1" ht="15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</row>
    <row r="562" spans="1:19" s="1" customFormat="1" ht="15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</row>
    <row r="563" spans="1:19" s="1" customFormat="1" ht="15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</row>
    <row r="564" spans="1:19" s="1" customFormat="1" ht="15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</row>
    <row r="565" spans="1:19" s="1" customFormat="1" ht="15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</row>
    <row r="566" spans="1:19" s="1" customFormat="1" ht="15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</row>
    <row r="567" spans="1:19" s="1" customFormat="1" ht="15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</row>
    <row r="568" spans="1:19" s="1" customFormat="1" ht="15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</row>
    <row r="569" spans="1:19" s="1" customFormat="1" ht="15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</row>
    <row r="570" spans="1:19" s="1" customFormat="1" ht="15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</row>
    <row r="571" spans="1:19" s="1" customFormat="1" ht="15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</row>
    <row r="572" spans="1:19" s="1" customFormat="1" ht="15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</row>
    <row r="573" spans="1:19" s="1" customFormat="1" ht="15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</row>
    <row r="574" spans="1:19" s="1" customFormat="1" ht="15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</row>
    <row r="575" spans="1:19" s="1" customFormat="1" ht="15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</row>
    <row r="576" spans="1:19" s="1" customFormat="1" ht="15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</row>
    <row r="577" spans="1:19" s="1" customFormat="1" ht="15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</row>
    <row r="578" spans="1:19" s="1" customFormat="1" ht="15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</row>
    <row r="579" spans="1:19" s="1" customFormat="1" ht="15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</row>
    <row r="580" spans="1:19" s="1" customFormat="1" ht="15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</row>
    <row r="581" spans="1:19" s="1" customFormat="1" ht="15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</row>
    <row r="582" spans="1:19" s="1" customFormat="1" ht="15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</row>
    <row r="583" spans="1:19" s="1" customFormat="1" ht="15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</row>
    <row r="584" spans="1:19" s="1" customFormat="1" ht="15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</row>
    <row r="585" spans="1:19" s="1" customFormat="1" ht="15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</row>
    <row r="586" spans="1:19" s="1" customFormat="1" ht="15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</row>
    <row r="587" spans="1:19" s="1" customFormat="1" ht="15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</row>
    <row r="588" spans="1:19" s="1" customFormat="1" ht="15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</row>
    <row r="589" spans="1:19" s="1" customFormat="1" ht="15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</row>
    <row r="590" spans="1:19" s="1" customFormat="1" ht="15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</row>
    <row r="591" spans="1:19" s="1" customFormat="1" ht="15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</row>
    <row r="592" spans="1:19" s="1" customFormat="1" ht="15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</row>
    <row r="593" spans="1:19" s="1" customFormat="1" ht="15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</row>
    <row r="594" spans="1:19" s="1" customFormat="1" ht="15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</row>
    <row r="595" spans="1:19" s="1" customFormat="1" ht="15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</row>
    <row r="596" spans="1:19" s="1" customFormat="1" ht="15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</row>
    <row r="597" spans="1:19" s="1" customFormat="1" ht="15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</row>
    <row r="598" spans="1:19" s="1" customFormat="1" ht="15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</row>
    <row r="599" spans="1:19" s="1" customFormat="1" ht="15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</row>
    <row r="600" spans="1:19" s="1" customFormat="1" ht="15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</row>
    <row r="601" spans="1:19" s="1" customFormat="1" ht="15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</row>
    <row r="602" spans="1:19" s="1" customFormat="1" ht="15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</row>
    <row r="603" spans="1:19" s="1" customFormat="1" ht="15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</row>
    <row r="604" spans="1:19" s="1" customFormat="1" ht="15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</row>
    <row r="605" spans="1:19" s="1" customFormat="1" ht="15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</row>
    <row r="606" spans="1:19" s="1" customFormat="1" ht="15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</row>
    <row r="607" spans="1:19" s="1" customFormat="1" ht="15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</row>
    <row r="608" spans="1:19" s="1" customFormat="1" ht="15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</row>
    <row r="609" spans="1:19" s="1" customFormat="1" ht="15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</row>
    <row r="610" spans="1:19" s="1" customFormat="1" ht="15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</row>
    <row r="611" spans="1:19" s="1" customFormat="1" ht="15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</row>
    <row r="612" spans="1:19" s="1" customFormat="1" ht="15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</row>
    <row r="613" spans="1:19" s="1" customFormat="1" ht="15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</row>
    <row r="614" spans="1:19" s="1" customFormat="1" ht="15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</row>
    <row r="615" spans="1:19" s="1" customFormat="1" ht="15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</row>
    <row r="616" spans="1:19" s="1" customFormat="1" ht="15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</row>
    <row r="617" spans="1:19" s="1" customFormat="1" ht="15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</row>
    <row r="618" spans="1:19" s="1" customFormat="1" ht="15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</row>
    <row r="619" spans="1:19" s="1" customFormat="1" ht="15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</row>
    <row r="620" spans="1:19" s="1" customFormat="1" ht="15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</row>
    <row r="621" spans="1:19" s="1" customFormat="1" ht="15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</row>
    <row r="622" spans="1:19" s="1" customFormat="1" ht="15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</row>
    <row r="623" spans="1:19" s="1" customFormat="1" ht="15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</row>
    <row r="624" spans="1:19" s="1" customFormat="1" ht="15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</row>
    <row r="625" spans="1:19" s="1" customFormat="1" ht="15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</row>
    <row r="626" spans="1:19" s="1" customFormat="1" ht="15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</row>
    <row r="627" spans="1:19" s="1" customFormat="1" ht="15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</row>
    <row r="628" spans="1:19" s="1" customFormat="1" ht="15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</row>
    <row r="629" spans="1:19" s="1" customFormat="1" ht="15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</row>
    <row r="630" spans="1:19" s="1" customFormat="1" ht="15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</row>
    <row r="631" spans="1:19" s="1" customFormat="1" ht="15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</row>
    <row r="632" spans="1:19" s="1" customFormat="1" ht="15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</row>
    <row r="633" spans="1:19" s="1" customFormat="1" ht="15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</row>
    <row r="634" spans="1:19" s="1" customFormat="1" ht="15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</row>
    <row r="635" spans="1:19" s="1" customFormat="1" ht="15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</row>
    <row r="636" spans="1:19" s="1" customFormat="1" ht="15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</row>
    <row r="637" spans="1:19" s="1" customFormat="1" ht="15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</row>
    <row r="638" spans="1:19" s="1" customFormat="1" ht="15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</row>
    <row r="639" spans="1:19" s="1" customFormat="1" ht="15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</row>
    <row r="640" spans="1:19" s="1" customFormat="1" ht="15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</row>
    <row r="641" spans="1:19" s="1" customFormat="1" ht="15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</row>
    <row r="642" spans="1:19" s="1" customFormat="1" ht="15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</row>
    <row r="643" spans="1:19" s="1" customFormat="1" ht="15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</row>
    <row r="644" spans="1:19" s="1" customFormat="1" ht="15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</row>
    <row r="645" spans="1:19" s="1" customFormat="1" ht="15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</row>
    <row r="646" spans="1:19" s="1" customFormat="1" ht="15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</row>
    <row r="647" spans="1:19" s="1" customFormat="1" ht="15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</row>
    <row r="648" spans="1:19" s="1" customFormat="1" ht="15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</row>
    <row r="649" spans="1:19" s="1" customFormat="1" ht="15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</row>
    <row r="650" spans="1:19" s="1" customFormat="1" ht="15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</row>
    <row r="651" spans="1:19" s="1" customFormat="1" ht="15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</row>
    <row r="652" spans="1:19" s="1" customFormat="1" ht="15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</row>
    <row r="653" spans="1:19" s="1" customFormat="1" ht="15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</row>
    <row r="654" spans="1:19" s="1" customFormat="1" ht="15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</row>
    <row r="655" spans="1:19" s="1" customFormat="1" ht="15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</row>
    <row r="656" spans="1:19" s="1" customFormat="1" ht="15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</row>
    <row r="657" spans="1:19" s="1" customFormat="1" ht="15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</row>
    <row r="658" spans="1:19" s="1" customFormat="1" ht="15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</row>
    <row r="659" spans="1:19" s="1" customFormat="1" ht="15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</row>
    <row r="660" spans="1:19" s="1" customFormat="1" ht="15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</row>
    <row r="661" spans="1:19" s="1" customFormat="1" ht="15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</row>
    <row r="662" spans="1:19" s="1" customFormat="1" ht="15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</row>
    <row r="663" spans="1:19" s="1" customFormat="1" ht="15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</row>
    <row r="664" spans="1:19" s="1" customFormat="1" ht="15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</row>
    <row r="665" spans="1:19" s="1" customFormat="1" ht="15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</row>
    <row r="666" spans="1:19" s="1" customFormat="1" ht="15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</row>
    <row r="667" spans="1:19" s="1" customFormat="1" ht="15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</row>
    <row r="668" spans="1:19" s="1" customFormat="1" ht="15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</row>
    <row r="669" spans="1:19" s="1" customFormat="1" ht="15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</row>
    <row r="670" spans="1:19" s="1" customFormat="1" ht="15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</row>
    <row r="671" spans="1:19" s="1" customFormat="1" ht="15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</row>
    <row r="672" spans="1:19" s="1" customFormat="1" ht="15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</row>
    <row r="673" spans="1:19" s="1" customFormat="1" ht="15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</row>
    <row r="674" spans="1:19" s="1" customFormat="1" ht="15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</row>
    <row r="675" spans="1:19" s="1" customFormat="1" ht="15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</row>
    <row r="676" spans="1:19" s="1" customFormat="1" ht="15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</row>
    <row r="677" spans="1:19" s="1" customFormat="1" ht="15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</row>
    <row r="678" spans="1:19" s="1" customFormat="1" ht="15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</row>
    <row r="679" spans="1:19" s="1" customFormat="1" ht="15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</row>
    <row r="680" spans="1:19" s="1" customFormat="1" ht="15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</row>
    <row r="681" spans="1:19" s="1" customFormat="1" ht="15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</row>
    <row r="682" spans="1:19" s="1" customFormat="1" ht="15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</row>
    <row r="683" spans="1:19" s="1" customFormat="1" ht="15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</row>
    <row r="684" spans="1:19" s="1" customFormat="1" ht="15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</row>
    <row r="685" spans="1:19" s="1" customFormat="1" ht="15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</row>
    <row r="686" spans="1:19" s="1" customFormat="1" ht="15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</row>
    <row r="687" spans="1:19" s="1" customFormat="1" ht="15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</row>
    <row r="688" spans="1:19" s="1" customFormat="1" ht="15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</row>
    <row r="689" spans="1:19" s="1" customFormat="1" ht="15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</row>
    <row r="690" spans="1:19" s="1" customFormat="1" ht="15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</row>
    <row r="691" spans="1:19" s="1" customFormat="1" ht="15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</row>
    <row r="692" spans="1:19" s="1" customFormat="1" ht="15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</row>
    <row r="693" spans="1:19" s="1" customFormat="1" ht="15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</row>
    <row r="694" spans="1:19" s="1" customFormat="1" ht="15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</row>
    <row r="695" spans="1:19" s="1" customFormat="1" ht="15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</row>
    <row r="696" spans="1:19" s="1" customFormat="1" ht="15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</row>
    <row r="697" spans="1:19" s="1" customFormat="1" ht="15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</row>
    <row r="698" spans="1:19" s="1" customFormat="1" ht="15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</row>
    <row r="699" spans="1:19" s="1" customFormat="1" ht="15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</row>
    <row r="700" spans="1:19" s="1" customFormat="1" ht="15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</row>
    <row r="701" spans="1:19" s="1" customFormat="1" ht="15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</row>
    <row r="702" spans="1:19" s="1" customFormat="1" ht="15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</row>
    <row r="703" spans="1:19" s="1" customFormat="1" ht="15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</row>
    <row r="704" spans="1:19" s="1" customFormat="1" ht="15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</row>
    <row r="705" spans="1:19" s="1" customFormat="1" ht="15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</row>
    <row r="706" spans="1:19" s="1" customFormat="1" ht="15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</row>
    <row r="707" spans="1:19" s="1" customFormat="1" ht="15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</row>
    <row r="708" spans="1:19" s="1" customFormat="1" ht="15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</row>
    <row r="709" spans="1:19" s="1" customFormat="1" ht="15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</row>
    <row r="710" spans="1:19" s="1" customFormat="1" ht="15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</row>
    <row r="711" spans="1:19" s="1" customFormat="1" ht="15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</row>
    <row r="712" spans="1:19" s="1" customFormat="1" ht="15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</row>
    <row r="713" spans="1:19" s="1" customFormat="1" ht="15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</row>
    <row r="714" spans="1:19" s="1" customFormat="1" ht="15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</row>
    <row r="715" spans="1:19" s="1" customFormat="1" ht="15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</row>
    <row r="716" spans="1:19" s="1" customFormat="1" ht="15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</row>
    <row r="717" spans="1:19" s="1" customFormat="1" ht="15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</row>
    <row r="718" spans="1:19" s="1" customFormat="1" ht="15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</row>
    <row r="719" spans="1:19" s="1" customFormat="1" ht="15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</row>
    <row r="720" spans="1:19" s="1" customFormat="1" ht="15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</row>
    <row r="721" spans="1:19" s="1" customFormat="1" ht="15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</row>
    <row r="722" spans="1:19" s="1" customFormat="1" ht="15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</row>
    <row r="723" spans="1:19" s="1" customFormat="1" ht="15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</row>
    <row r="724" spans="1:19" s="1" customFormat="1" ht="15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</row>
    <row r="725" spans="1:19" s="1" customFormat="1" ht="15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</row>
    <row r="726" spans="1:19" s="1" customFormat="1" ht="15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</row>
    <row r="727" spans="1:19" s="1" customFormat="1" ht="15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</row>
    <row r="728" spans="1:19" s="1" customFormat="1" ht="15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</row>
    <row r="729" spans="1:19" s="1" customFormat="1" ht="15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</row>
    <row r="730" spans="1:19" s="1" customFormat="1" ht="15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</row>
    <row r="731" spans="1:19" s="1" customFormat="1" ht="15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</row>
    <row r="732" spans="1:19" s="1" customFormat="1" ht="15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</row>
    <row r="733" spans="1:19" s="1" customFormat="1" ht="15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</row>
    <row r="734" spans="1:19" s="1" customFormat="1" ht="15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</row>
    <row r="735" spans="1:19" s="1" customFormat="1" ht="15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</row>
    <row r="736" spans="1:19" s="1" customFormat="1" ht="15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</row>
    <row r="737" spans="1:19" s="1" customFormat="1" ht="15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</row>
    <row r="738" spans="1:19" s="1" customFormat="1" ht="15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</row>
    <row r="739" spans="1:19" s="1" customFormat="1" ht="15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</row>
    <row r="740" spans="1:19" s="1" customFormat="1" ht="15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</row>
    <row r="741" spans="1:19" s="1" customFormat="1" ht="15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</row>
    <row r="742" spans="1:19" s="1" customFormat="1" ht="15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</row>
    <row r="743" spans="1:19" s="1" customFormat="1" ht="15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</row>
    <row r="744" spans="1:19" s="1" customFormat="1" ht="15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</row>
    <row r="745" spans="1:19" s="1" customFormat="1" ht="15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</row>
    <row r="746" spans="1:19" s="1" customFormat="1" ht="15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</row>
    <row r="747" spans="1:19" s="1" customFormat="1" ht="15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</row>
    <row r="748" spans="1:19" s="1" customFormat="1" ht="15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</row>
    <row r="749" spans="1:19" s="1" customFormat="1" ht="15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</row>
    <row r="750" spans="1:19" s="1" customFormat="1" ht="15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</row>
    <row r="751" spans="1:19" s="1" customFormat="1" ht="15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</row>
    <row r="752" spans="1:19" s="1" customFormat="1" ht="15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</row>
    <row r="753" spans="1:19" s="1" customFormat="1" ht="15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</row>
    <row r="754" spans="1:19" s="1" customFormat="1" ht="15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</row>
    <row r="755" spans="1:19" s="1" customFormat="1" ht="15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</row>
    <row r="756" spans="1:19" s="1" customFormat="1" ht="15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</row>
    <row r="757" spans="1:19" s="1" customFormat="1" ht="15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</row>
    <row r="758" spans="1:19" s="1" customFormat="1" ht="15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</row>
    <row r="759" spans="1:19" s="1" customFormat="1" ht="15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</row>
    <row r="760" spans="1:19" s="1" customFormat="1" ht="15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</row>
    <row r="761" spans="1:19" s="1" customFormat="1" ht="15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</row>
    <row r="762" spans="1:19" s="1" customFormat="1" ht="15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</row>
    <row r="763" spans="1:19" s="1" customFormat="1" ht="15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</row>
    <row r="764" spans="1:19" s="1" customFormat="1" ht="15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</row>
    <row r="765" spans="1:19" s="1" customFormat="1" ht="15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</row>
    <row r="766" spans="1:19" s="1" customFormat="1" ht="15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</row>
    <row r="767" spans="1:19" s="1" customFormat="1" ht="15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</row>
    <row r="768" spans="1:19" s="1" customFormat="1" ht="15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</row>
    <row r="769" spans="1:19" s="1" customFormat="1" ht="15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</row>
    <row r="770" spans="1:19" s="1" customFormat="1" ht="15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</row>
    <row r="771" spans="1:19" s="1" customFormat="1" ht="15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</row>
    <row r="772" spans="1:19" s="1" customFormat="1" ht="15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</row>
    <row r="773" spans="1:19" s="1" customFormat="1" ht="15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</row>
    <row r="774" spans="1:19" s="1" customFormat="1" ht="15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</row>
    <row r="775" spans="1:19" s="1" customFormat="1" ht="15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</row>
    <row r="776" spans="1:19" s="1" customFormat="1" ht="15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</row>
    <row r="777" spans="1:19" s="1" customFormat="1" ht="15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</row>
    <row r="778" spans="1:19" s="1" customFormat="1" ht="15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</row>
    <row r="779" spans="1:19" s="1" customFormat="1" ht="15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</row>
    <row r="780" spans="1:19" s="1" customFormat="1" ht="15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</row>
    <row r="781" spans="1:19" s="1" customFormat="1" ht="15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</row>
    <row r="782" spans="1:19" s="1" customFormat="1" ht="15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</row>
    <row r="783" spans="1:19" s="1" customFormat="1" ht="15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</row>
    <row r="784" spans="1:19" s="1" customFormat="1" ht="15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</row>
    <row r="785" spans="1:19" s="1" customFormat="1" ht="15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</row>
    <row r="786" spans="1:19" s="1" customFormat="1" ht="15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</row>
    <row r="787" spans="1:19" s="1" customFormat="1" ht="15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</row>
    <row r="788" spans="1:19" s="1" customFormat="1" ht="15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</row>
    <row r="789" spans="1:19" s="1" customFormat="1" ht="15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</row>
    <row r="790" spans="1:19" s="1" customFormat="1" ht="15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</row>
    <row r="791" spans="1:19" s="1" customFormat="1" ht="15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</row>
    <row r="792" spans="1:19" s="1" customFormat="1" ht="15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</row>
    <row r="793" spans="1:19" s="1" customFormat="1" ht="15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</row>
    <row r="794" spans="1:19" s="1" customFormat="1" ht="15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</row>
    <row r="795" spans="1:19" s="1" customFormat="1" ht="15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</row>
    <row r="796" spans="1:19" s="1" customFormat="1" ht="15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</row>
    <row r="797" spans="1:19" s="1" customFormat="1" ht="15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</row>
    <row r="798" spans="1:19" s="1" customFormat="1" ht="15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</row>
    <row r="799" spans="1:19" s="1" customFormat="1" ht="15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</row>
    <row r="800" spans="1:19" s="1" customFormat="1" ht="15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</row>
    <row r="801" spans="1:19" s="1" customFormat="1" ht="15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</row>
    <row r="802" spans="1:19" s="1" customFormat="1" ht="15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</row>
    <row r="803" spans="1:19" s="1" customFormat="1" ht="15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</row>
    <row r="804" spans="1:19" s="1" customFormat="1" ht="15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</row>
    <row r="805" spans="1:19" s="1" customFormat="1" ht="15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</row>
    <row r="806" spans="1:19" s="1" customFormat="1" ht="15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</row>
    <row r="807" spans="1:19" s="1" customFormat="1" ht="15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</row>
    <row r="808" spans="1:19" s="1" customFormat="1" ht="15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</row>
    <row r="809" spans="1:19" s="1" customFormat="1" ht="15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</row>
    <row r="810" spans="1:19" s="1" customFormat="1" ht="15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</row>
    <row r="811" spans="1:19" s="1" customFormat="1" ht="15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</row>
    <row r="812" spans="1:19" s="1" customFormat="1" ht="15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</row>
    <row r="813" spans="1:19" s="1" customFormat="1" ht="15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</row>
    <row r="814" spans="1:19" s="1" customFormat="1" ht="15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</row>
    <row r="815" spans="1:19" s="1" customFormat="1" ht="15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</row>
    <row r="816" spans="1:19" s="1" customFormat="1" ht="15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</row>
    <row r="817" spans="1:19" s="1" customFormat="1" ht="15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</row>
    <row r="818" spans="1:19" s="1" customFormat="1" ht="15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</row>
    <row r="819" spans="1:19" s="1" customFormat="1" ht="15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</row>
    <row r="820" spans="1:19" s="1" customFormat="1" ht="15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</row>
    <row r="821" spans="1:19" s="1" customFormat="1" ht="15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</row>
    <row r="822" spans="1:19" s="1" customFormat="1" ht="15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</row>
    <row r="823" spans="1:19" s="1" customFormat="1" ht="15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</row>
    <row r="824" spans="1:19" s="1" customFormat="1" ht="15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</row>
    <row r="825" spans="1:19" s="1" customFormat="1" ht="15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</row>
    <row r="826" spans="1:19" s="1" customFormat="1" ht="15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</row>
    <row r="827" spans="1:19" s="1" customFormat="1" ht="15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</row>
    <row r="828" spans="1:19" s="1" customFormat="1" ht="15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</row>
    <row r="829" spans="1:19" s="1" customFormat="1" ht="15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</row>
    <row r="830" spans="1:19" s="1" customFormat="1" ht="15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</row>
    <row r="831" spans="1:19" s="1" customFormat="1" ht="15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</row>
    <row r="832" spans="1:19" s="1" customFormat="1" ht="15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</row>
    <row r="833" spans="1:19" s="1" customFormat="1" ht="15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</row>
    <row r="834" spans="1:19" s="1" customFormat="1" ht="15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</row>
    <row r="835" spans="1:19" s="1" customFormat="1" ht="15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</row>
    <row r="836" spans="1:19" s="1" customFormat="1" ht="15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</row>
    <row r="837" spans="1:19" s="1" customFormat="1" ht="15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</row>
    <row r="838" spans="1:19" s="1" customFormat="1" ht="15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</row>
    <row r="839" spans="1:19" s="1" customFormat="1" ht="15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</row>
    <row r="840" spans="1:19" s="1" customFormat="1" ht="15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</row>
    <row r="841" spans="1:19" s="1" customFormat="1" ht="15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</row>
    <row r="842" spans="1:19" s="1" customFormat="1" ht="15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</row>
    <row r="843" spans="1:19" s="1" customFormat="1" ht="15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</row>
    <row r="844" spans="1:19" s="1" customFormat="1" ht="15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</row>
    <row r="845" spans="1:19" s="1" customFormat="1" ht="15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</row>
    <row r="846" spans="1:19" s="1" customFormat="1" ht="15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</row>
    <row r="847" spans="1:19" s="1" customFormat="1" ht="15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</row>
    <row r="848" spans="1:19" s="1" customFormat="1" ht="15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</row>
    <row r="849" spans="1:19" s="1" customFormat="1" ht="15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</row>
    <row r="850" spans="1:19" s="1" customFormat="1" ht="15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</row>
    <row r="851" spans="1:19" s="1" customFormat="1" ht="15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</row>
    <row r="852" spans="1:19" s="1" customFormat="1" ht="15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</row>
    <row r="853" spans="1:19" s="1" customFormat="1" ht="15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</row>
    <row r="854" spans="1:19" s="1" customFormat="1" ht="15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</row>
    <row r="855" spans="1:19" s="1" customFormat="1" ht="15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</row>
    <row r="856" spans="1:19" s="1" customFormat="1" ht="15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</row>
    <row r="857" spans="1:19" s="1" customFormat="1" ht="15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</row>
    <row r="858" spans="1:19" s="1" customFormat="1" ht="15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</row>
    <row r="859" spans="1:19" s="1" customFormat="1" ht="15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</row>
    <row r="860" spans="1:19" s="1" customFormat="1" ht="15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</row>
    <row r="861" spans="1:19" s="1" customFormat="1" ht="15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</row>
    <row r="862" spans="1:19" s="1" customFormat="1" ht="15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</row>
    <row r="863" spans="1:19" s="1" customFormat="1" ht="15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</row>
    <row r="864" spans="1:19" s="1" customFormat="1" ht="15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</row>
    <row r="865" spans="1:19" s="1" customFormat="1" ht="15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</row>
    <row r="866" spans="1:19" s="1" customFormat="1" ht="15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</row>
    <row r="867" spans="1:19" s="1" customFormat="1" ht="15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</row>
    <row r="868" spans="1:19" s="1" customFormat="1" ht="15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</row>
    <row r="869" spans="1:19" s="1" customFormat="1" ht="15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</row>
    <row r="870" spans="1:19" s="1" customFormat="1" ht="15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</row>
    <row r="871" spans="1:19" s="1" customFormat="1" ht="15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</row>
    <row r="872" spans="1:19" s="1" customFormat="1" ht="15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</row>
    <row r="873" spans="1:19" s="1" customFormat="1" ht="15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</row>
    <row r="874" spans="1:19" s="1" customFormat="1" ht="15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</row>
    <row r="875" spans="1:19" s="1" customFormat="1" ht="15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</row>
    <row r="876" spans="1:19" s="1" customFormat="1" ht="15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</row>
    <row r="877" spans="1:19" s="1" customFormat="1" ht="15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</row>
    <row r="878" spans="1:19" s="1" customFormat="1" ht="15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</row>
    <row r="879" spans="1:19" s="1" customFormat="1" ht="15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</row>
    <row r="880" spans="1:19" s="1" customFormat="1" ht="15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</row>
    <row r="881" spans="1:19" s="1" customFormat="1" ht="15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</row>
    <row r="882" spans="1:19" s="1" customFormat="1" ht="15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</row>
    <row r="883" spans="1:19" s="1" customFormat="1" ht="15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</row>
    <row r="884" spans="1:19" s="1" customFormat="1" ht="15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</row>
    <row r="885" spans="1:19" s="1" customFormat="1" ht="15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</row>
    <row r="886" spans="1:19" s="1" customFormat="1" ht="15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</row>
    <row r="887" spans="1:19" s="1" customFormat="1" ht="15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</row>
    <row r="888" spans="1:19" s="1" customFormat="1" ht="15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</row>
    <row r="889" spans="1:19" s="1" customFormat="1" ht="15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</row>
    <row r="890" spans="1:19" s="1" customFormat="1" ht="15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</row>
    <row r="891" spans="1:19" s="1" customFormat="1" ht="15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</row>
    <row r="892" spans="1:19" s="1" customFormat="1" ht="15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</row>
    <row r="893" spans="1:19" s="1" customFormat="1" ht="15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</row>
    <row r="894" spans="1:19" s="1" customFormat="1" ht="15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</row>
    <row r="895" spans="1:19" s="1" customFormat="1" ht="15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</row>
    <row r="896" spans="1:19" s="1" customFormat="1" ht="15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</row>
    <row r="897" spans="1:19" s="1" customFormat="1" ht="15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</row>
    <row r="898" spans="1:19" s="1" customFormat="1" ht="15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</row>
    <row r="899" spans="1:19" s="1" customFormat="1" ht="15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</row>
    <row r="900" spans="1:19" s="1" customFormat="1" ht="15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</row>
    <row r="901" spans="1:19" s="1" customFormat="1" ht="15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</row>
    <row r="902" spans="1:19" s="1" customFormat="1" ht="15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</row>
    <row r="903" spans="1:19" s="1" customFormat="1" ht="15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</row>
    <row r="904" spans="1:19" s="1" customFormat="1" ht="15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</row>
    <row r="905" spans="1:19" s="1" customFormat="1" ht="15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</row>
    <row r="906" spans="1:19" s="1" customFormat="1" ht="15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</row>
    <row r="907" spans="1:19" s="1" customFormat="1" ht="15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</row>
    <row r="908" spans="1:19" s="1" customFormat="1" ht="15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</row>
    <row r="909" spans="1:19" s="1" customFormat="1" ht="15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</row>
    <row r="910" spans="1:19" s="1" customFormat="1" ht="15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</row>
    <row r="911" spans="1:19" s="1" customFormat="1" ht="15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</row>
    <row r="912" spans="1:19" s="1" customFormat="1" ht="15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</row>
    <row r="913" spans="1:19" s="1" customFormat="1" ht="15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</row>
    <row r="914" spans="1:19" s="1" customFormat="1" ht="15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</row>
    <row r="915" spans="1:19" s="1" customFormat="1" ht="15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</row>
    <row r="916" spans="1:19" s="1" customFormat="1" ht="15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</row>
    <row r="917" spans="1:19" s="1" customFormat="1" ht="15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</row>
    <row r="918" spans="1:19" s="1" customFormat="1" ht="15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</row>
    <row r="919" spans="1:19" s="1" customFormat="1" ht="15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</row>
    <row r="920" spans="1:19" s="1" customFormat="1" ht="15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</row>
    <row r="921" spans="1:19" s="1" customFormat="1" ht="15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</row>
    <row r="922" spans="1:19" s="1" customFormat="1" ht="15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</row>
    <row r="923" spans="1:19" s="1" customFormat="1" ht="15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</row>
    <row r="924" spans="1:19" s="1" customFormat="1" ht="15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</row>
    <row r="925" spans="1:19" s="1" customFormat="1" ht="15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</row>
    <row r="926" spans="1:19" s="1" customFormat="1" ht="15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</row>
    <row r="927" spans="1:19" s="1" customFormat="1" ht="15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</row>
    <row r="928" spans="1:19" s="1" customFormat="1" ht="15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</row>
    <row r="929" spans="1:19" s="1" customFormat="1" ht="15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</row>
    <row r="930" spans="1:19" s="1" customFormat="1" ht="15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</row>
    <row r="931" spans="1:19" s="1" customFormat="1" ht="15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</row>
    <row r="932" spans="1:19" s="1" customFormat="1" ht="15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</row>
    <row r="933" spans="1:19" s="1" customFormat="1" ht="15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</row>
    <row r="934" spans="1:19" s="1" customFormat="1" ht="15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</row>
    <row r="935" spans="1:19" s="1" customFormat="1" ht="15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</row>
    <row r="936" spans="1:19" s="1" customFormat="1" ht="15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</row>
    <row r="937" spans="1:19" s="1" customFormat="1" ht="15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</row>
    <row r="938" spans="1:19" s="1" customFormat="1" ht="15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</row>
    <row r="939" spans="1:19" s="1" customFormat="1" ht="15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</row>
    <row r="940" spans="1:19" s="1" customFormat="1" ht="15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</row>
    <row r="941" spans="1:19" s="1" customFormat="1" ht="15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</row>
    <row r="942" spans="1:19" s="1" customFormat="1" ht="15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</row>
    <row r="943" spans="1:19" s="1" customFormat="1" ht="15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</row>
    <row r="944" spans="1:19" s="1" customFormat="1" ht="15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</row>
    <row r="945" spans="1:19" s="1" customFormat="1" ht="15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</row>
    <row r="946" spans="1:19" s="1" customFormat="1" ht="15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</row>
    <row r="947" spans="1:19" s="1" customFormat="1" ht="15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</row>
    <row r="948" spans="1:19" s="1" customFormat="1" ht="15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</row>
    <row r="949" spans="1:19" s="1" customFormat="1" ht="15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</row>
    <row r="950" spans="1:19" s="1" customFormat="1" ht="15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</row>
    <row r="951" spans="1:19" s="1" customFormat="1" ht="15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</row>
    <row r="952" spans="1:19" s="1" customFormat="1" ht="15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</row>
    <row r="953" spans="1:19" s="1" customFormat="1" ht="15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</row>
    <row r="954" spans="1:19" s="1" customFormat="1" ht="15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</row>
    <row r="955" spans="1:19" s="1" customFormat="1" ht="15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</row>
    <row r="956" spans="1:19" s="1" customFormat="1" ht="15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</row>
    <row r="957" spans="1:19" s="1" customFormat="1" ht="15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</row>
    <row r="958" spans="1:19" s="1" customFormat="1" ht="15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</row>
    <row r="959" spans="1:19" s="1" customFormat="1" ht="15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</row>
    <row r="960" spans="1:19" s="1" customFormat="1" ht="15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</row>
    <row r="961" spans="1:19" s="1" customFormat="1" ht="15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</row>
    <row r="962" spans="1:19" s="1" customFormat="1" ht="15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</row>
    <row r="963" spans="1:19" s="1" customFormat="1" ht="15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</row>
    <row r="964" spans="1:19" s="1" customFormat="1" ht="15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</row>
    <row r="965" spans="1:19" s="1" customFormat="1" ht="15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</row>
    <row r="966" spans="1:19" s="1" customFormat="1" ht="15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</row>
    <row r="967" spans="1:19" s="1" customFormat="1" ht="15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</row>
    <row r="968" spans="1:19" s="1" customFormat="1" ht="15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</row>
    <row r="969" spans="1:19" s="1" customFormat="1" ht="15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</row>
    <row r="970" spans="1:19" s="1" customFormat="1" ht="15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</row>
    <row r="971" spans="1:19" s="1" customFormat="1" ht="15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</row>
    <row r="972" spans="1:19" s="1" customFormat="1" ht="15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</row>
    <row r="973" spans="1:19" s="1" customFormat="1" ht="15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</row>
    <row r="974" spans="1:19" s="1" customFormat="1" ht="15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</row>
    <row r="975" spans="1:19" s="1" customFormat="1" ht="15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</row>
    <row r="976" spans="1:19" s="1" customFormat="1" ht="15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</row>
    <row r="977" spans="1:19" s="1" customFormat="1" ht="15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</row>
    <row r="978" spans="1:19" s="1" customFormat="1" ht="15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</row>
    <row r="979" spans="1:19" s="1" customFormat="1" ht="15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</row>
    <row r="980" spans="1:19" s="1" customFormat="1" ht="15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</row>
    <row r="981" spans="1:19" s="1" customFormat="1" ht="15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</row>
    <row r="982" spans="1:19" s="1" customFormat="1" ht="15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</row>
    <row r="983" spans="1:19" s="1" customFormat="1" ht="15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</row>
    <row r="984" spans="1:19" s="1" customFormat="1" ht="15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</row>
    <row r="985" spans="1:19" s="1" customFormat="1" ht="15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</row>
    <row r="986" spans="1:19" s="1" customFormat="1" ht="15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</row>
    <row r="987" spans="1:19" s="1" customFormat="1" ht="15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</row>
    <row r="988" spans="1:19" s="1" customFormat="1" ht="15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</row>
    <row r="989" spans="1:19" s="1" customFormat="1" ht="15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</row>
    <row r="990" spans="1:19" s="1" customFormat="1" ht="15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</row>
    <row r="991" spans="1:19" s="1" customFormat="1" ht="15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</row>
    <row r="992" spans="1:19" s="1" customFormat="1" ht="15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</row>
    <row r="993" spans="1:19" s="1" customFormat="1" ht="15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</row>
    <row r="994" spans="1:19" s="1" customFormat="1" ht="15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</row>
    <row r="995" spans="1:19" s="1" customFormat="1" ht="15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</row>
    <row r="996" spans="1:19" s="1" customFormat="1" ht="15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</row>
    <row r="997" spans="1:19" s="1" customFormat="1" ht="15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</row>
    <row r="998" spans="1:19" s="1" customFormat="1" ht="15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</row>
    <row r="999" spans="1:19" s="1" customFormat="1" ht="15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</row>
    <row r="1000" spans="1:19" s="1" customFormat="1" ht="15" customHeight="1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</row>
    <row r="1001" spans="1:19" s="1" customFormat="1" ht="15" customHeight="1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</row>
    <row r="1002" spans="1:19" s="1" customFormat="1" ht="15" customHeight="1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</row>
    <row r="1003" spans="1:19" s="1" customFormat="1" ht="15" customHeight="1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</row>
    <row r="1004" spans="1:19" s="1" customFormat="1" ht="15" customHeight="1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</row>
    <row r="1005" spans="1:19" s="1" customFormat="1" ht="15" customHeight="1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</row>
    <row r="1006" spans="1:19" s="1" customFormat="1" ht="15" customHeight="1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</row>
    <row r="1007" spans="1:19" s="1" customFormat="1" ht="15" customHeight="1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</row>
    <row r="1008" spans="1:19" s="1" customFormat="1" ht="15" customHeight="1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</row>
    <row r="1009" spans="1:19" s="1" customFormat="1" ht="15" customHeight="1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</row>
    <row r="1010" spans="1:19" s="1" customFormat="1" ht="15" customHeight="1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</row>
    <row r="1011" spans="1:19" s="1" customFormat="1" ht="15" customHeight="1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</row>
    <row r="1012" spans="1:19" s="1" customFormat="1" ht="15" customHeight="1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</row>
    <row r="1013" spans="1:19" s="1" customFormat="1" ht="15" customHeight="1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</row>
    <row r="1014" spans="1:19" s="1" customFormat="1" ht="15" customHeight="1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</row>
    <row r="1015" spans="1:19" s="1" customFormat="1" ht="15" customHeight="1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</row>
    <row r="1016" spans="1:19" s="1" customFormat="1" ht="15" customHeight="1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</row>
    <row r="1017" spans="1:19" s="1" customFormat="1" ht="15" customHeight="1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</row>
    <row r="1018" spans="1:19" s="1" customFormat="1" ht="15" customHeight="1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</row>
    <row r="1019" spans="1:19" s="1" customFormat="1" ht="15" customHeight="1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</row>
    <row r="1020" spans="1:19" s="1" customFormat="1" ht="15" customHeight="1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</row>
    <row r="1021" spans="1:19" s="1" customFormat="1" ht="15" customHeight="1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</row>
    <row r="1022" spans="1:19" s="1" customFormat="1" ht="15" customHeight="1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</row>
    <row r="1023" spans="1:19" s="1" customFormat="1" ht="15" customHeight="1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</row>
    <row r="1024" spans="1:19" s="1" customFormat="1" ht="15" customHeight="1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</row>
    <row r="1025" spans="1:19" s="1" customFormat="1" ht="15" customHeight="1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</row>
    <row r="1026" spans="1:19" s="1" customFormat="1" ht="15" customHeight="1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</row>
    <row r="1027" spans="1:19" s="1" customFormat="1" ht="15" customHeight="1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</row>
    <row r="1028" spans="1:19" s="1" customFormat="1" ht="15" customHeight="1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</row>
    <row r="1029" spans="1:19" s="1" customFormat="1" ht="15" customHeight="1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</row>
    <row r="1030" spans="1:19" s="1" customFormat="1" ht="15" customHeight="1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</row>
    <row r="1031" spans="1:19" s="1" customFormat="1" ht="15" customHeight="1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</row>
    <row r="1032" spans="1:19" s="1" customFormat="1" ht="15" customHeight="1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</row>
    <row r="1033" spans="1:19" s="1" customFormat="1" ht="15" customHeight="1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</row>
    <row r="1034" spans="1:19" s="1" customFormat="1" ht="15" customHeight="1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</row>
    <row r="1035" spans="1:19" s="1" customFormat="1" ht="15" customHeight="1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</row>
    <row r="1036" spans="1:19" s="1" customFormat="1" ht="15" customHeight="1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</row>
    <row r="1037" spans="1:19" s="1" customFormat="1" ht="15" customHeight="1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</row>
    <row r="1038" spans="1:19" s="1" customFormat="1" ht="15" customHeight="1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</row>
    <row r="1039" spans="1:19" s="1" customFormat="1" ht="15" customHeight="1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</row>
    <row r="1040" spans="1:19" s="1" customFormat="1" ht="15" customHeight="1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</row>
    <row r="1041" spans="1:19" s="1" customFormat="1" ht="15" customHeight="1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</row>
    <row r="1042" spans="1:19" s="1" customFormat="1" ht="15" customHeight="1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</row>
    <row r="1043" spans="1:19" s="1" customFormat="1" ht="15" customHeight="1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</row>
    <row r="1044" spans="1:19" s="1" customFormat="1" ht="15" customHeight="1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</row>
    <row r="1045" spans="1:19" s="1" customFormat="1" ht="15" customHeight="1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</row>
    <row r="1046" spans="1:19" s="1" customFormat="1" ht="15" customHeight="1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</row>
    <row r="1047" spans="1:19" s="1" customFormat="1" ht="15" customHeight="1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</row>
    <row r="1048" spans="1:19" s="1" customFormat="1" ht="15" customHeight="1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</row>
    <row r="1049" spans="1:19" s="1" customFormat="1" ht="15" customHeight="1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</row>
    <row r="1050" spans="1:19" s="1" customFormat="1" ht="15" customHeight="1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</row>
    <row r="1051" spans="1:19" s="1" customFormat="1" ht="15" customHeight="1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</row>
    <row r="1052" spans="1:19" s="1" customFormat="1" ht="15" customHeight="1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</row>
    <row r="1053" spans="1:19" s="1" customFormat="1" ht="15" customHeight="1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</row>
    <row r="1054" spans="1:19" s="1" customFormat="1" ht="15" customHeight="1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</row>
    <row r="1055" spans="1:19" s="1" customFormat="1" ht="15" customHeight="1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</row>
    <row r="1056" spans="1:19" s="1" customFormat="1" ht="15" customHeight="1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</row>
    <row r="1057" spans="1:19" s="1" customFormat="1" ht="15" customHeight="1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</row>
    <row r="1058" spans="1:19" s="1" customFormat="1" ht="15" customHeight="1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</row>
    <row r="1059" spans="1:19" s="1" customFormat="1" ht="15" customHeight="1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</row>
    <row r="1060" spans="1:19" s="1" customFormat="1" ht="15" customHeight="1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</row>
    <row r="1061" spans="1:19" s="1" customFormat="1" ht="15" customHeight="1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</row>
    <row r="1062" spans="1:19" s="1" customFormat="1" ht="15" customHeight="1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</row>
    <row r="1063" spans="1:19" s="1" customFormat="1" ht="15" customHeight="1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</row>
    <row r="1064" spans="1:19" s="1" customFormat="1" ht="15" customHeight="1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</row>
    <row r="1065" spans="1:19" s="1" customFormat="1" ht="15" customHeight="1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</row>
    <row r="1066" spans="1:19" s="1" customFormat="1" ht="15" customHeight="1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</row>
    <row r="1067" spans="1:19" s="1" customFormat="1" ht="15" customHeight="1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</row>
    <row r="1068" spans="1:19" s="1" customFormat="1" ht="15" customHeight="1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</row>
    <row r="1069" spans="1:19" s="1" customFormat="1" ht="15" customHeight="1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</row>
    <row r="1070" spans="1:19" s="1" customFormat="1" ht="15" customHeight="1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</row>
    <row r="1071" spans="1:19" s="1" customFormat="1" ht="15" customHeight="1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</row>
    <row r="1072" spans="1:19" s="1" customFormat="1" ht="15" customHeight="1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</row>
    <row r="1073" spans="1:19" s="1" customFormat="1" ht="15" customHeight="1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</row>
    <row r="1074" spans="1:19" s="1" customFormat="1" ht="15" customHeight="1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</row>
    <row r="1075" spans="1:19" s="1" customFormat="1" ht="15" customHeight="1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</row>
    <row r="1076" spans="1:19" s="1" customFormat="1" ht="15" customHeight="1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</row>
    <row r="1077" spans="1:19" s="1" customFormat="1" ht="15" customHeight="1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</row>
    <row r="1078" spans="1:19" s="1" customFormat="1" ht="15" customHeight="1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</row>
    <row r="1079" spans="1:19" s="1" customFormat="1" ht="15" customHeight="1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</row>
    <row r="1080" spans="1:19" s="1" customFormat="1" ht="15" customHeight="1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</row>
    <row r="1081" spans="1:19" s="1" customFormat="1" ht="15" customHeight="1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</row>
    <row r="1082" spans="1:19" s="1" customFormat="1" ht="15" customHeight="1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</row>
    <row r="1083" spans="1:19" s="1" customFormat="1" ht="15" customHeight="1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</row>
    <row r="1084" spans="1:19" s="1" customFormat="1" ht="15" customHeight="1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</row>
    <row r="1085" spans="1:19" s="1" customFormat="1" ht="15" customHeight="1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</row>
    <row r="1086" spans="1:19" s="1" customFormat="1" ht="15" customHeight="1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</row>
    <row r="1087" spans="1:19" s="1" customFormat="1" ht="15" customHeight="1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</row>
    <row r="1088" spans="1:19" s="1" customFormat="1" ht="15" customHeight="1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</row>
    <row r="1089" spans="1:19" s="1" customFormat="1" ht="15" customHeight="1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</row>
    <row r="1090" spans="1:19" s="1" customFormat="1" ht="15" customHeight="1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</row>
    <row r="1091" spans="1:19" s="1" customFormat="1" ht="15" customHeight="1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</row>
    <row r="1092" spans="1:19" s="1" customFormat="1" ht="15" customHeight="1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</row>
    <row r="1093" spans="1:19" s="1" customFormat="1" ht="15" customHeight="1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</row>
    <row r="1094" spans="1:19" s="1" customFormat="1" ht="15" customHeight="1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</row>
    <row r="1095" spans="1:19" s="1" customFormat="1" ht="15" customHeight="1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</row>
    <row r="1096" spans="1:19" s="1" customFormat="1" ht="15" customHeight="1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</row>
    <row r="1097" spans="1:19" s="1" customFormat="1" ht="15" customHeight="1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</row>
    <row r="1098" spans="1:19" s="1" customFormat="1" ht="15" customHeight="1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</row>
    <row r="1099" spans="1:19" s="1" customFormat="1" ht="15" customHeight="1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</row>
    <row r="1100" spans="1:19" s="1" customFormat="1" ht="15" customHeight="1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</row>
    <row r="1101" spans="1:19" s="1" customFormat="1" ht="15" customHeight="1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</row>
    <row r="1102" spans="1:19" s="1" customFormat="1" ht="15" customHeight="1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</row>
    <row r="1103" spans="1:19" s="1" customFormat="1" ht="15" customHeight="1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</row>
    <row r="1104" spans="1:19" s="1" customFormat="1" ht="15" customHeight="1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</row>
    <row r="1105" spans="1:19" s="1" customFormat="1" ht="15" customHeight="1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</row>
    <row r="1106" spans="1:19" s="1" customFormat="1" ht="15" customHeight="1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</row>
    <row r="1107" spans="1:19" s="1" customFormat="1" ht="15" customHeight="1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</row>
    <row r="1108" spans="1:19" s="1" customFormat="1" ht="15" customHeight="1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</row>
    <row r="1109" spans="1:19" s="1" customFormat="1" ht="15" customHeight="1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</row>
    <row r="1110" spans="1:19" s="1" customFormat="1" ht="15" customHeight="1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</row>
    <row r="1111" spans="1:19" s="1" customFormat="1" ht="15" customHeight="1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</row>
    <row r="1112" spans="1:19" s="1" customFormat="1" ht="15" customHeight="1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</row>
    <row r="1113" spans="1:19" s="1" customFormat="1" ht="15" customHeight="1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</row>
    <row r="1114" spans="1:19" s="1" customFormat="1" ht="15" customHeight="1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</row>
    <row r="1115" spans="1:19" s="1" customFormat="1" ht="15" customHeight="1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</row>
    <row r="1116" spans="1:19" s="1" customFormat="1" ht="15" customHeight="1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</row>
    <row r="1117" spans="1:19" s="1" customFormat="1" ht="15" customHeight="1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</row>
    <row r="1118" spans="1:19" s="1" customFormat="1" ht="15" customHeight="1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</row>
    <row r="1119" spans="1:19" s="1" customFormat="1" ht="15" customHeight="1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</row>
    <row r="1120" spans="1:19" s="1" customFormat="1" ht="15" customHeight="1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</row>
    <row r="1121" spans="1:19" s="1" customFormat="1" ht="15" customHeight="1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</row>
    <row r="1122" spans="1:19" s="1" customFormat="1" ht="15" customHeight="1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</row>
    <row r="1123" spans="1:19" s="1" customFormat="1" ht="15" customHeight="1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</row>
    <row r="1124" spans="1:19" s="1" customFormat="1" ht="15" customHeight="1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</row>
    <row r="1125" spans="1:19" s="1" customFormat="1" ht="15" customHeight="1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</row>
    <row r="1126" spans="1:19" s="1" customFormat="1" ht="15" customHeight="1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</row>
    <row r="1127" spans="1:19" s="1" customFormat="1" ht="15" customHeight="1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</row>
    <row r="1128" spans="1:19" s="1" customFormat="1" ht="15" customHeight="1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</row>
    <row r="1129" spans="1:19" s="1" customFormat="1" ht="15" customHeight="1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</row>
    <row r="1130" spans="1:19" s="1" customFormat="1" ht="15" customHeight="1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</row>
    <row r="1131" spans="1:19" s="1" customFormat="1" ht="15" customHeight="1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</row>
    <row r="1132" spans="1:19" s="1" customFormat="1" ht="15" customHeight="1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</row>
    <row r="1133" spans="1:19" s="1" customFormat="1" ht="15" customHeight="1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</row>
    <row r="1134" spans="1:19" s="1" customFormat="1" ht="15" customHeight="1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</row>
    <row r="1135" spans="1:19" s="1" customFormat="1" ht="15" customHeight="1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</row>
    <row r="1136" spans="1:19" s="1" customFormat="1" ht="15" customHeight="1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</row>
    <row r="1137" spans="1:19" s="1" customFormat="1" ht="15" customHeight="1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</row>
    <row r="1138" spans="1:19" s="1" customFormat="1" ht="15" customHeight="1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</row>
    <row r="1139" spans="1:19" s="1" customFormat="1" ht="15" customHeight="1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</row>
    <row r="1140" spans="1:19" s="1" customFormat="1" ht="15" customHeight="1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</row>
    <row r="1141" spans="1:19" s="1" customFormat="1" ht="15" customHeight="1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</row>
    <row r="1142" spans="1:19" s="1" customFormat="1" ht="15" customHeight="1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</row>
    <row r="1143" spans="1:19" s="1" customFormat="1" ht="15" customHeight="1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</row>
    <row r="1144" spans="1:19" s="1" customFormat="1" ht="15" customHeight="1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</row>
    <row r="1145" spans="1:19" s="1" customFormat="1" ht="15" customHeight="1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</row>
    <row r="1146" spans="1:19" s="1" customFormat="1" ht="15" customHeight="1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</row>
    <row r="1147" spans="1:19" s="1" customFormat="1" ht="15" customHeight="1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</row>
    <row r="1148" spans="1:19" s="1" customFormat="1" ht="15" customHeight="1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</row>
    <row r="1149" spans="1:19" s="1" customFormat="1" ht="15" customHeight="1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</row>
    <row r="1150" spans="1:19" s="1" customFormat="1" ht="15" customHeight="1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</row>
    <row r="1151" spans="1:19" s="1" customFormat="1" ht="15" customHeight="1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</row>
    <row r="1152" spans="1:19" s="1" customFormat="1" ht="15" customHeight="1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</row>
    <row r="1153" spans="1:19" s="1" customFormat="1" ht="15" customHeight="1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</row>
    <row r="1154" spans="1:19" s="1" customFormat="1" ht="15" customHeight="1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</row>
    <row r="1155" spans="1:19" s="1" customFormat="1" ht="15" customHeight="1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</row>
    <row r="1156" spans="1:19" s="1" customFormat="1" ht="15" customHeight="1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</row>
    <row r="1157" spans="1:19" s="1" customFormat="1" ht="15" customHeight="1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</row>
    <row r="1158" spans="1:19" s="1" customFormat="1" ht="15" customHeight="1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</row>
    <row r="1159" spans="1:19" s="1" customFormat="1" ht="15" customHeight="1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</row>
    <row r="1160" spans="1:19" s="1" customFormat="1" ht="15" customHeight="1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</row>
    <row r="1161" spans="1:19" s="1" customFormat="1" ht="15" customHeight="1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</row>
    <row r="1162" spans="1:19" s="1" customFormat="1" ht="15" customHeight="1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</row>
    <row r="1163" spans="1:19" s="1" customFormat="1" ht="15" customHeight="1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</row>
    <row r="1164" spans="1:19" s="1" customFormat="1" ht="15" customHeight="1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</row>
    <row r="1165" spans="1:19" s="1" customFormat="1" ht="15" customHeight="1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</row>
    <row r="1166" spans="1:19" s="1" customFormat="1" ht="15" customHeight="1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</row>
    <row r="1167" spans="1:19" s="1" customFormat="1" ht="15" customHeight="1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</row>
    <row r="1168" spans="1:19" s="1" customFormat="1" ht="15" customHeight="1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</row>
    <row r="1169" spans="1:19" s="1" customFormat="1" ht="15" customHeight="1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</row>
    <row r="1170" spans="1:19" s="1" customFormat="1" ht="15" customHeight="1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</row>
    <row r="1171" spans="1:19" s="1" customFormat="1" ht="15" customHeight="1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</row>
    <row r="1172" spans="1:19" s="1" customFormat="1" ht="15" customHeight="1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</row>
    <row r="1173" spans="1:19" s="1" customFormat="1" ht="15" customHeight="1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</row>
    <row r="1174" spans="1:19" s="1" customFormat="1" ht="15" customHeight="1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</row>
    <row r="1175" spans="1:19" s="1" customFormat="1" ht="15" customHeight="1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</row>
    <row r="1176" spans="1:19" s="1" customFormat="1" ht="15" customHeight="1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</row>
    <row r="1177" spans="1:19" s="1" customFormat="1" ht="15" customHeight="1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</row>
    <row r="1178" spans="1:19" s="1" customFormat="1" ht="15" customHeight="1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</row>
    <row r="1179" spans="1:19" s="1" customFormat="1" ht="15" customHeight="1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</row>
    <row r="1180" spans="1:19" s="1" customFormat="1" ht="15" customHeight="1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</row>
    <row r="1181" spans="1:19" s="1" customFormat="1" ht="15" customHeight="1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</row>
    <row r="1182" spans="1:19" s="1" customFormat="1" ht="15" customHeight="1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</row>
    <row r="1183" spans="1:19" s="1" customFormat="1" ht="15" customHeight="1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</row>
    <row r="1184" spans="1:19" s="1" customFormat="1" ht="15" customHeight="1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</row>
    <row r="1185" spans="1:19" s="1" customFormat="1" ht="15" customHeight="1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</row>
    <row r="1186" spans="1:19" s="1" customFormat="1" ht="15" customHeight="1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</row>
    <row r="1187" spans="1:19" s="1" customFormat="1" ht="15" customHeight="1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</row>
    <row r="1188" spans="1:19" s="1" customFormat="1" ht="15" customHeight="1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</row>
    <row r="1189" spans="1:19" s="1" customFormat="1" ht="15" customHeight="1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</row>
    <row r="1190" spans="1:19" s="1" customFormat="1" ht="15" customHeight="1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</row>
    <row r="1191" spans="1:19" s="1" customFormat="1" ht="15" customHeight="1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</row>
    <row r="1192" spans="1:19" s="1" customFormat="1" ht="15" customHeight="1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</row>
    <row r="1193" spans="1:19" s="1" customFormat="1" ht="15" customHeight="1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</row>
    <row r="1194" spans="1:19" s="1" customFormat="1" ht="15" customHeight="1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</row>
    <row r="1195" spans="1:19" s="1" customFormat="1" ht="15" customHeight="1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</row>
    <row r="1196" spans="1:19" s="1" customFormat="1" ht="15" customHeight="1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</row>
    <row r="1197" spans="1:19" s="1" customFormat="1" ht="15" customHeight="1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</row>
    <row r="1198" spans="1:19" s="1" customFormat="1" ht="15" customHeight="1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</row>
    <row r="1199" spans="1:19" s="1" customFormat="1" ht="15" customHeight="1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</row>
    <row r="1200" spans="1:19" s="1" customFormat="1" ht="15" customHeight="1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</row>
    <row r="1201" spans="1:19" s="1" customFormat="1" ht="15" customHeight="1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</row>
    <row r="1202" spans="1:19" s="1" customFormat="1" ht="15" customHeight="1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</row>
    <row r="1203" spans="1:19" s="1" customFormat="1" ht="15" customHeight="1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</row>
    <row r="1204" spans="1:19" s="1" customFormat="1" ht="15" customHeight="1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</row>
    <row r="1205" spans="1:19" s="1" customFormat="1" ht="15" customHeight="1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</row>
    <row r="1206" spans="1:19" s="1" customFormat="1" ht="15" customHeight="1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</row>
    <row r="1207" spans="1:19" s="1" customFormat="1" ht="15" customHeight="1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</row>
    <row r="1208" spans="1:19" s="1" customFormat="1" ht="15" customHeight="1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</row>
    <row r="1209" spans="1:19" s="1" customFormat="1" ht="15" customHeight="1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</row>
    <row r="1210" spans="1:19" s="1" customFormat="1" ht="15" customHeight="1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</row>
    <row r="1211" spans="1:19" s="1" customFormat="1" ht="15" customHeight="1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</row>
    <row r="1212" spans="1:19" s="1" customFormat="1" ht="15" customHeight="1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</row>
    <row r="1213" spans="1:19" s="1" customFormat="1" ht="15" customHeight="1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</row>
    <row r="1214" spans="1:19" s="1" customFormat="1" ht="15" customHeight="1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</row>
    <row r="1215" spans="1:19" s="1" customFormat="1" ht="15" customHeight="1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</row>
    <row r="1216" spans="1:19" s="1" customFormat="1" ht="15" customHeight="1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</row>
    <row r="1217" spans="1:19" s="1" customFormat="1" ht="15" customHeight="1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</row>
    <row r="1218" spans="1:19" s="1" customFormat="1" ht="15" customHeight="1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</row>
    <row r="1219" spans="1:19" s="1" customFormat="1" ht="15" customHeight="1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</row>
    <row r="1220" spans="1:19" s="1" customFormat="1" ht="15" customHeight="1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</row>
    <row r="1221" spans="1:19" s="1" customFormat="1" ht="15" customHeight="1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</row>
    <row r="1222" spans="1:19" s="1" customFormat="1" ht="15" customHeight="1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</row>
    <row r="1223" spans="1:19" s="1" customFormat="1" ht="15" customHeight="1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</row>
    <row r="1224" spans="1:19" s="1" customFormat="1" ht="15" customHeight="1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</row>
    <row r="1225" spans="1:19" s="1" customFormat="1" ht="15" customHeight="1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</row>
    <row r="1226" spans="1:19" s="1" customFormat="1" ht="15" customHeight="1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</row>
    <row r="1227" spans="1:19" s="1" customFormat="1" ht="15" customHeight="1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</row>
    <row r="1228" spans="1:19" s="1" customFormat="1" ht="15" customHeight="1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</row>
    <row r="1229" spans="1:19" s="1" customFormat="1" ht="15" customHeight="1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</row>
    <row r="1230" spans="1:19" s="1" customFormat="1" ht="15" customHeight="1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</row>
    <row r="1231" spans="1:19" s="1" customFormat="1" ht="15" customHeight="1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</row>
    <row r="1232" spans="1:19" s="1" customFormat="1" ht="15" customHeight="1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</row>
    <row r="1233" spans="1:19" s="1" customFormat="1" ht="15" customHeight="1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</row>
    <row r="1234" spans="1:19" s="1" customFormat="1" ht="15" customHeight="1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</row>
    <row r="1235" spans="1:19" s="1" customFormat="1" ht="15" customHeight="1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</row>
    <row r="1236" spans="1:19" s="1" customFormat="1" ht="15" customHeight="1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</row>
    <row r="1237" spans="1:19" s="1" customFormat="1" ht="15" customHeight="1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</row>
    <row r="1238" spans="1:19" s="1" customFormat="1" ht="15" customHeight="1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</row>
    <row r="1239" spans="1:19" s="1" customFormat="1" ht="15" customHeight="1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</row>
    <row r="1240" spans="1:19" s="1" customFormat="1" ht="15" customHeight="1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</row>
    <row r="1241" spans="1:19" s="1" customFormat="1" ht="15" customHeight="1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</row>
    <row r="1242" spans="1:19" s="1" customFormat="1" ht="15" customHeight="1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</row>
    <row r="1243" spans="1:19" s="1" customFormat="1" ht="15" customHeight="1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</row>
    <row r="1244" spans="1:19" s="1" customFormat="1" ht="15" customHeight="1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</row>
    <row r="1245" spans="1:19" s="1" customFormat="1" ht="15" customHeight="1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</row>
    <row r="1246" spans="1:19" s="1" customFormat="1" ht="15" customHeight="1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</row>
    <row r="1247" spans="1:19" s="1" customFormat="1" ht="15" customHeight="1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</row>
    <row r="1248" spans="1:19" s="1" customFormat="1" ht="15" customHeight="1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</row>
    <row r="1249" spans="1:19" s="1" customFormat="1" ht="15" customHeight="1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</row>
    <row r="1250" spans="1:19" s="1" customFormat="1" ht="15" customHeight="1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</row>
    <row r="1251" spans="1:19" s="1" customFormat="1" ht="15" customHeight="1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</row>
    <row r="1252" spans="1:19" s="1" customFormat="1" ht="15" customHeight="1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</row>
    <row r="1253" spans="1:19" s="1" customFormat="1" ht="15" customHeight="1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</row>
    <row r="1254" spans="1:19" s="1" customFormat="1" ht="15" customHeight="1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</row>
    <row r="1255" spans="1:19" s="1" customFormat="1" ht="15" customHeight="1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</row>
    <row r="1256" spans="1:19" s="1" customFormat="1" ht="15" customHeight="1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</row>
    <row r="1257" spans="1:19" s="1" customFormat="1" ht="15" customHeight="1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</row>
    <row r="1258" spans="1:19" s="1" customFormat="1" ht="15" customHeight="1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</row>
    <row r="1259" spans="1:19" s="1" customFormat="1" ht="15" customHeight="1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</row>
    <row r="1260" spans="1:19" s="1" customFormat="1" ht="15" customHeight="1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</row>
    <row r="1261" spans="1:19" s="1" customFormat="1" ht="15" customHeight="1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</row>
    <row r="1262" spans="1:19" s="1" customFormat="1" ht="15" customHeight="1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</row>
    <row r="1263" spans="1:19" s="1" customFormat="1" ht="15" customHeight="1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</row>
    <row r="1264" spans="1:19" s="1" customFormat="1" ht="15" customHeight="1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</row>
    <row r="1265" spans="1:19" s="1" customFormat="1" ht="15" customHeight="1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</row>
    <row r="1266" spans="1:19" s="1" customFormat="1" ht="15" customHeight="1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</row>
    <row r="1267" spans="1:19" s="1" customFormat="1" ht="15" customHeight="1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</row>
    <row r="1268" spans="1:19" s="1" customFormat="1" ht="15" customHeight="1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</row>
    <row r="1269" spans="1:19" s="1" customFormat="1" ht="15" customHeight="1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</row>
    <row r="1270" spans="1:19" s="1" customFormat="1" ht="15" customHeight="1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</row>
    <row r="1271" spans="1:19" s="1" customFormat="1" ht="15" customHeight="1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</row>
    <row r="1272" spans="1:19" s="1" customFormat="1" ht="15" customHeight="1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</row>
    <row r="1273" spans="1:19" s="1" customFormat="1" ht="15" customHeight="1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</row>
    <row r="1274" spans="1:19" s="1" customFormat="1" ht="15" customHeight="1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</row>
    <row r="1275" spans="1:19" s="1" customFormat="1" ht="15" customHeight="1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</row>
    <row r="1276" spans="1:19" s="1" customFormat="1" ht="15" customHeight="1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</row>
    <row r="1277" spans="1:19" s="1" customFormat="1" ht="15" customHeight="1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</row>
    <row r="1278" spans="1:19" s="1" customFormat="1" ht="15" customHeight="1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</row>
    <row r="1279" spans="1:19" s="1" customFormat="1" ht="15" customHeight="1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</row>
    <row r="1280" spans="1:19" s="1" customFormat="1" ht="15" customHeight="1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</row>
    <row r="1281" spans="1:19" s="1" customFormat="1" ht="15" customHeight="1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</row>
    <row r="1282" spans="1:19" s="1" customFormat="1" ht="15" customHeight="1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</row>
    <row r="1283" spans="1:19" s="1" customFormat="1" ht="15" customHeight="1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</row>
    <row r="1284" spans="1:19" s="1" customFormat="1" ht="15" customHeight="1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</row>
    <row r="1285" spans="1:19" s="1" customFormat="1" ht="15" customHeight="1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</row>
    <row r="1286" spans="1:19" s="1" customFormat="1" ht="15" customHeight="1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</row>
    <row r="1287" spans="1:19" s="1" customFormat="1" ht="15" customHeight="1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</row>
    <row r="1288" spans="1:19" s="1" customFormat="1" ht="15" customHeight="1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</row>
    <row r="1289" spans="1:19" s="1" customFormat="1" ht="15" customHeight="1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</row>
    <row r="1290" spans="1:19" s="1" customFormat="1" ht="15" customHeight="1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</row>
    <row r="1291" spans="1:19" s="1" customFormat="1" ht="15" customHeight="1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</row>
    <row r="1292" spans="1:19" s="1" customFormat="1" ht="15" customHeight="1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</row>
    <row r="1293" spans="1:19" s="1" customFormat="1" ht="15" customHeight="1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</row>
    <row r="1294" spans="1:19" s="1" customFormat="1" ht="15" customHeight="1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</row>
    <row r="1295" spans="1:19" s="1" customFormat="1" ht="15" customHeight="1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</row>
    <row r="1296" spans="1:19" s="1" customFormat="1" ht="15" customHeight="1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</row>
    <row r="1297" spans="1:19" s="1" customFormat="1" ht="15" customHeight="1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</row>
    <row r="1298" spans="1:19" s="1" customFormat="1" ht="15" customHeight="1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</row>
    <row r="1299" spans="1:19" s="1" customFormat="1" ht="15" customHeight="1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</row>
    <row r="1300" spans="1:19" s="1" customFormat="1" ht="15" customHeight="1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</row>
    <row r="1301" spans="1:19" s="1" customFormat="1" ht="15" customHeight="1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</row>
    <row r="1302" spans="1:19" s="1" customFormat="1" ht="15" customHeight="1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</row>
    <row r="1303" spans="1:19" s="1" customFormat="1" ht="15" customHeight="1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</row>
    <row r="1304" spans="1:19" s="1" customFormat="1" ht="15" customHeight="1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</row>
    <row r="1305" spans="1:19" s="1" customFormat="1" ht="15" customHeight="1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</row>
    <row r="1306" spans="1:19" s="1" customFormat="1" ht="15" customHeight="1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</row>
    <row r="1307" spans="1:19" s="1" customFormat="1" ht="15" customHeight="1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</row>
    <row r="1308" spans="1:19" s="1" customFormat="1" ht="15" customHeight="1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</row>
    <row r="1309" spans="1:19" s="1" customFormat="1" ht="15" customHeight="1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</row>
    <row r="1310" spans="1:19" s="1" customFormat="1" ht="15" customHeight="1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</row>
    <row r="1311" spans="1:19" s="1" customFormat="1" ht="15" customHeight="1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</row>
    <row r="1312" spans="1:19" s="1" customFormat="1" ht="15" customHeight="1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</row>
    <row r="1313" spans="1:19" s="1" customFormat="1" ht="15" customHeight="1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</row>
    <row r="1314" spans="1:19" s="1" customFormat="1" ht="15" customHeight="1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</row>
    <row r="1315" spans="1:19" s="1" customFormat="1" ht="15" customHeight="1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</row>
    <row r="1316" spans="1:19" s="1" customFormat="1" ht="15" customHeight="1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</row>
    <row r="1317" spans="1:19" s="1" customFormat="1" ht="15" customHeight="1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</row>
    <row r="1318" spans="1:19" s="1" customFormat="1" ht="15" customHeight="1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</row>
    <row r="1319" spans="1:19" s="1" customFormat="1" ht="15" customHeight="1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</row>
    <row r="1320" spans="1:19" s="1" customFormat="1" ht="15" customHeight="1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</row>
    <row r="1321" spans="1:19" s="1" customFormat="1" ht="15" customHeight="1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</row>
    <row r="1322" spans="1:19" s="1" customFormat="1" ht="15" customHeight="1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</row>
    <row r="1323" spans="1:19" s="1" customFormat="1" ht="15" customHeight="1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</row>
    <row r="1324" spans="1:19" s="1" customFormat="1" ht="15" customHeight="1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</row>
    <row r="1325" spans="1:19" s="1" customFormat="1" ht="15" customHeight="1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</row>
    <row r="1326" spans="1:19" s="1" customFormat="1" ht="15" customHeight="1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</row>
    <row r="1327" spans="1:19" s="1" customFormat="1" ht="15" customHeight="1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</row>
    <row r="1328" spans="1:19" s="1" customFormat="1" ht="15" customHeight="1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</row>
    <row r="1329" spans="1:19" s="1" customFormat="1" ht="15" customHeight="1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</row>
    <row r="1330" spans="1:19" s="1" customFormat="1" ht="15" customHeight="1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</row>
    <row r="1331" spans="1:19" s="1" customFormat="1" ht="15" customHeight="1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</row>
    <row r="1332" spans="1:19" s="1" customFormat="1" ht="15" customHeight="1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</row>
    <row r="1333" spans="1:19" s="1" customFormat="1" ht="15" customHeight="1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</row>
    <row r="1334" spans="1:19" s="1" customFormat="1" ht="15" customHeight="1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</row>
    <row r="1335" spans="1:19" s="1" customFormat="1" ht="15" customHeight="1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</row>
    <row r="1336" spans="1:19" s="1" customFormat="1" ht="15" customHeight="1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</row>
    <row r="1337" spans="1:19" s="1" customFormat="1" ht="15" customHeight="1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</row>
    <row r="1338" spans="1:19" s="1" customFormat="1" ht="15" customHeight="1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</row>
    <row r="1339" spans="1:19" s="1" customFormat="1" ht="15" customHeight="1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</row>
    <row r="1340" spans="1:19" s="1" customFormat="1" ht="15" customHeight="1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</row>
    <row r="1341" spans="1:19" s="1" customFormat="1" ht="15" customHeight="1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</row>
    <row r="1342" spans="1:19" s="1" customFormat="1" ht="15" customHeight="1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</row>
    <row r="1343" spans="1:19" s="1" customFormat="1" ht="15" customHeight="1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</row>
    <row r="1344" spans="1:19" s="1" customFormat="1" ht="15" customHeight="1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</row>
    <row r="1345" spans="1:19" s="1" customFormat="1" ht="15" customHeight="1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</row>
    <row r="1346" spans="1:19" s="1" customFormat="1" ht="15" customHeight="1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</row>
    <row r="1347" spans="1:19" s="1" customFormat="1" ht="15" customHeight="1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</row>
    <row r="1348" spans="1:19" s="1" customFormat="1" ht="15" customHeight="1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</row>
    <row r="1349" spans="1:19" s="1" customFormat="1" ht="15" customHeight="1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</row>
    <row r="1350" spans="1:19" s="1" customFormat="1" ht="15" customHeight="1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</row>
    <row r="1351" spans="1:19" s="1" customFormat="1" ht="15" customHeight="1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</row>
    <row r="1352" spans="1:19" s="1" customFormat="1" ht="15" customHeight="1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</row>
    <row r="1353" spans="1:19" s="1" customFormat="1" ht="15" customHeight="1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</row>
    <row r="1354" spans="1:19" s="1" customFormat="1" ht="15" customHeight="1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</row>
    <row r="1355" spans="1:19" s="1" customFormat="1" ht="15" customHeight="1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</row>
    <row r="1356" spans="1:19" s="1" customFormat="1" ht="15" customHeight="1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</row>
    <row r="1357" spans="1:19" s="1" customFormat="1" ht="15" customHeight="1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</row>
    <row r="1358" spans="1:19" s="1" customFormat="1" ht="15" customHeight="1">
      <c r="Q1358" s="7"/>
      <c r="R1358" s="7"/>
      <c r="S1358" s="7"/>
    </row>
    <row r="1359" spans="1:19" s="1" customFormat="1" ht="15" customHeight="1">
      <c r="S1359" s="7"/>
    </row>
    <row r="1360" spans="1:19" s="1" customFormat="1" ht="15" customHeight="1">
      <c r="S1360" s="7"/>
    </row>
    <row r="1361" spans="19:19" s="1" customFormat="1" ht="15" customHeight="1">
      <c r="S1361" s="7"/>
    </row>
    <row r="1362" spans="19:19" s="1" customFormat="1" ht="15" customHeight="1"/>
    <row r="1363" spans="19:19" s="1" customFormat="1" ht="15" customHeight="1"/>
    <row r="1364" spans="19:19" s="1" customFormat="1" ht="15" customHeight="1"/>
    <row r="1365" spans="19:19" s="1" customFormat="1" ht="15" customHeight="1"/>
    <row r="1366" spans="19:19" s="1" customFormat="1" ht="15" customHeight="1"/>
    <row r="1367" spans="19:19" s="1" customFormat="1" ht="15" customHeight="1"/>
    <row r="1368" spans="19:19" s="1" customFormat="1" ht="15" customHeight="1"/>
    <row r="1369" spans="19:19" s="1" customFormat="1" ht="15" customHeight="1"/>
    <row r="1370" spans="19:19" s="1" customFormat="1" ht="15" customHeight="1"/>
    <row r="1371" spans="19:19" s="1" customFormat="1" ht="15" customHeight="1"/>
    <row r="1372" spans="19:19" s="1" customFormat="1" ht="15" customHeight="1"/>
    <row r="1373" spans="19:19" s="1" customFormat="1" ht="15" customHeight="1"/>
    <row r="1374" spans="19:19" s="1" customFormat="1" ht="15" customHeight="1"/>
    <row r="1375" spans="19:19" s="1" customFormat="1" ht="15" customHeight="1"/>
    <row r="1376" spans="19:19" s="1" customFormat="1" ht="15" customHeight="1"/>
    <row r="1377" s="1" customFormat="1" ht="15" customHeight="1"/>
    <row r="1378" s="1" customFormat="1" ht="15" customHeight="1"/>
    <row r="1379" s="1" customFormat="1" ht="15" customHeight="1"/>
    <row r="1380" s="1" customFormat="1" ht="15" customHeight="1"/>
    <row r="1381" s="1" customFormat="1" ht="15" customHeight="1"/>
    <row r="1382" s="1" customFormat="1" ht="15" customHeight="1"/>
    <row r="1383" s="1" customFormat="1" ht="15" customHeight="1"/>
    <row r="1384" s="1" customFormat="1" ht="15" customHeight="1"/>
    <row r="1385" s="1" customFormat="1" ht="15" customHeight="1"/>
    <row r="1386" s="1" customFormat="1" ht="15" customHeight="1"/>
    <row r="1387" s="1" customFormat="1" ht="15" customHeight="1"/>
    <row r="1388" s="1" customFormat="1" ht="15" customHeight="1"/>
    <row r="1389" s="1" customFormat="1" ht="15" customHeight="1"/>
    <row r="1390" s="1" customFormat="1" ht="15" customHeight="1"/>
    <row r="1391" s="1" customFormat="1" ht="15" customHeight="1"/>
    <row r="1392" s="1" customFormat="1" ht="15" customHeight="1"/>
    <row r="1393" s="1" customFormat="1" ht="15" customHeight="1"/>
    <row r="1394" s="1" customFormat="1" ht="15" customHeight="1"/>
    <row r="1395" s="1" customFormat="1" ht="15" customHeight="1"/>
    <row r="1396" s="1" customFormat="1" ht="15" customHeight="1"/>
    <row r="1397" s="1" customFormat="1" ht="15" customHeight="1"/>
    <row r="1398" s="1" customFormat="1" ht="15" customHeight="1"/>
    <row r="1399" s="1" customFormat="1" ht="15" customHeight="1"/>
    <row r="1400" s="1" customFormat="1" ht="15" customHeight="1"/>
    <row r="1401" s="1" customFormat="1" ht="15" customHeight="1"/>
    <row r="1402" s="1" customFormat="1" ht="15" customHeight="1"/>
    <row r="1403" s="1" customFormat="1" ht="15" customHeight="1"/>
    <row r="1404" s="1" customFormat="1" ht="15" customHeight="1"/>
    <row r="1405" s="1" customFormat="1" ht="15" customHeight="1"/>
    <row r="1406" s="1" customFormat="1" ht="15" customHeight="1"/>
    <row r="1407" s="1" customFormat="1" ht="15" customHeight="1"/>
    <row r="1408" s="1" customFormat="1" ht="15" customHeight="1"/>
    <row r="1409" s="1" customFormat="1" ht="15" customHeight="1"/>
    <row r="1410" s="1" customFormat="1" ht="15" customHeight="1"/>
    <row r="1411" s="1" customFormat="1" ht="15" customHeight="1"/>
    <row r="1412" s="1" customFormat="1" ht="15" customHeight="1"/>
    <row r="1413" s="1" customFormat="1" ht="15" customHeight="1"/>
    <row r="1414" s="1" customFormat="1" ht="15" customHeight="1"/>
    <row r="1415" s="1" customFormat="1" ht="15" customHeight="1"/>
    <row r="1416" s="1" customFormat="1" ht="15" customHeight="1"/>
    <row r="1417" s="1" customFormat="1" ht="15" customHeight="1"/>
    <row r="1418" s="1" customFormat="1" ht="15" customHeight="1"/>
    <row r="1419" s="1" customFormat="1" ht="15" customHeight="1"/>
    <row r="1420" s="1" customFormat="1" ht="15" customHeight="1"/>
    <row r="1421" s="1" customFormat="1" ht="15" customHeight="1"/>
    <row r="1422" s="1" customFormat="1" ht="15" customHeight="1"/>
    <row r="1423" s="1" customFormat="1" ht="15" customHeight="1"/>
    <row r="1424" s="1" customFormat="1" ht="15" customHeight="1"/>
    <row r="1425" s="1" customFormat="1" ht="15" customHeight="1"/>
    <row r="1426" s="1" customFormat="1" ht="15" customHeight="1"/>
    <row r="1427" s="1" customFormat="1" ht="15" customHeight="1"/>
    <row r="1428" s="1" customFormat="1" ht="15" customHeight="1"/>
    <row r="1429" s="1" customFormat="1" ht="15" customHeight="1"/>
    <row r="1430" s="1" customFormat="1" ht="15" customHeight="1"/>
    <row r="1431" s="1" customFormat="1" ht="15" customHeight="1"/>
    <row r="1432" s="1" customFormat="1" ht="15" customHeight="1"/>
    <row r="1433" s="1" customFormat="1" ht="15" customHeight="1"/>
    <row r="1434" s="1" customFormat="1" ht="15" customHeight="1"/>
    <row r="1435" s="1" customFormat="1" ht="15" customHeight="1"/>
    <row r="1436" s="1" customFormat="1" ht="15" customHeight="1"/>
    <row r="1437" s="1" customFormat="1" ht="15" customHeight="1"/>
    <row r="1438" s="1" customFormat="1" ht="15" customHeight="1"/>
    <row r="1439" s="1" customFormat="1" ht="15" customHeight="1"/>
    <row r="1440" s="1" customFormat="1" ht="15" customHeight="1"/>
    <row r="1441" s="1" customFormat="1" ht="15" customHeight="1"/>
    <row r="1442" s="1" customFormat="1" ht="15" customHeight="1"/>
    <row r="1443" s="1" customFormat="1" ht="15" customHeight="1"/>
    <row r="1444" s="1" customFormat="1" ht="15" customHeight="1"/>
    <row r="1445" s="1" customFormat="1" ht="15" customHeight="1"/>
    <row r="1446" s="1" customFormat="1" ht="15" customHeight="1"/>
    <row r="1447" s="1" customFormat="1" ht="15" customHeight="1"/>
    <row r="1448" s="1" customFormat="1" ht="15" customHeight="1"/>
    <row r="1449" s="1" customFormat="1" ht="15" customHeight="1"/>
    <row r="1450" s="1" customFormat="1" ht="15" customHeight="1"/>
    <row r="1451" s="1" customFormat="1" ht="15" customHeight="1"/>
    <row r="1452" s="1" customFormat="1" ht="15" customHeight="1"/>
    <row r="1453" s="1" customFormat="1" ht="15" customHeight="1"/>
    <row r="1454" s="1" customFormat="1" ht="15" customHeight="1"/>
    <row r="1455" s="1" customFormat="1" ht="15" customHeight="1"/>
    <row r="1456" s="1" customFormat="1" ht="15" customHeight="1"/>
    <row r="1457" s="1" customFormat="1" ht="15" customHeight="1"/>
    <row r="1458" s="1" customFormat="1" ht="15" customHeight="1"/>
    <row r="1459" s="1" customFormat="1" ht="15" customHeight="1"/>
    <row r="1460" s="1" customFormat="1" ht="15" customHeight="1"/>
    <row r="1461" s="1" customFormat="1" ht="15" customHeight="1"/>
    <row r="1462" s="1" customFormat="1" ht="15" customHeight="1"/>
    <row r="1463" s="1" customFormat="1" ht="15" customHeight="1"/>
    <row r="1464" s="1" customFormat="1" ht="15" customHeight="1"/>
    <row r="1465" s="1" customFormat="1" ht="15" customHeight="1"/>
    <row r="1466" s="1" customFormat="1" ht="15" customHeight="1"/>
    <row r="1467" s="1" customFormat="1" ht="15" customHeight="1"/>
    <row r="1468" s="1" customFormat="1" ht="15" customHeight="1"/>
    <row r="1469" s="1" customFormat="1" ht="15" customHeight="1"/>
    <row r="1470" s="1" customFormat="1" ht="15" customHeight="1"/>
    <row r="1471" s="1" customFormat="1" ht="15" customHeight="1"/>
    <row r="1472" s="1" customFormat="1" ht="15" customHeight="1"/>
    <row r="1473" s="1" customFormat="1" ht="15" customHeight="1"/>
    <row r="1474" s="1" customFormat="1" ht="15" customHeight="1"/>
    <row r="1475" s="1" customFormat="1" ht="15" customHeight="1"/>
    <row r="1476" s="1" customFormat="1" ht="15" customHeight="1"/>
    <row r="1477" s="1" customFormat="1" ht="15" customHeight="1"/>
    <row r="1478" s="1" customFormat="1" ht="15" customHeight="1"/>
    <row r="1479" s="1" customFormat="1" ht="15" customHeight="1"/>
    <row r="1480" s="1" customFormat="1" ht="15" customHeight="1"/>
    <row r="1481" s="1" customFormat="1" ht="15" customHeight="1"/>
    <row r="1482" s="1" customFormat="1" ht="15" customHeight="1"/>
    <row r="1483" s="1" customFormat="1" ht="15" customHeight="1"/>
    <row r="1484" s="1" customFormat="1" ht="15" customHeight="1"/>
    <row r="1485" s="1" customFormat="1" ht="15" customHeight="1"/>
    <row r="1486" s="1" customFormat="1" ht="15" customHeight="1"/>
    <row r="1487" s="1" customFormat="1" ht="15" customHeight="1"/>
    <row r="1488" s="1" customFormat="1" ht="15" customHeight="1"/>
    <row r="1489" s="1" customFormat="1" ht="15" customHeight="1"/>
    <row r="1490" s="1" customFormat="1" ht="15" customHeight="1"/>
    <row r="1491" s="1" customFormat="1" ht="15" customHeight="1"/>
    <row r="1492" s="1" customFormat="1" ht="15" customHeight="1"/>
    <row r="1493" s="1" customFormat="1" ht="15" customHeight="1"/>
    <row r="1494" s="1" customFormat="1" ht="15" customHeight="1"/>
    <row r="1495" s="1" customFormat="1" ht="15" customHeight="1"/>
    <row r="1496" s="1" customFormat="1" ht="15" customHeight="1"/>
    <row r="1497" s="1" customFormat="1" ht="15" customHeight="1"/>
    <row r="1498" s="1" customFormat="1" ht="15" customHeight="1"/>
    <row r="1499" s="1" customFormat="1" ht="15" customHeight="1"/>
    <row r="1500" s="1" customFormat="1" ht="15" customHeight="1"/>
    <row r="1501" s="1" customFormat="1" ht="15" customHeight="1"/>
    <row r="1502" s="1" customFormat="1" ht="15" customHeight="1"/>
    <row r="1503" s="1" customFormat="1" ht="15" customHeight="1"/>
    <row r="1504" s="1" customFormat="1" ht="15" customHeight="1"/>
    <row r="1505" s="1" customFormat="1" ht="15" customHeight="1"/>
    <row r="1506" s="1" customFormat="1" ht="15" customHeight="1"/>
    <row r="1507" s="1" customFormat="1" ht="15" customHeight="1"/>
    <row r="1508" s="1" customFormat="1" ht="15" customHeight="1"/>
    <row r="1509" s="1" customFormat="1" ht="15" customHeight="1"/>
    <row r="1510" s="1" customFormat="1" ht="15" customHeight="1"/>
    <row r="1511" s="1" customFormat="1" ht="15" customHeight="1"/>
    <row r="1512" s="1" customFormat="1" ht="15" customHeight="1"/>
    <row r="1513" s="1" customFormat="1" ht="15" customHeight="1"/>
    <row r="1514" s="1" customFormat="1" ht="15" customHeight="1"/>
    <row r="1515" s="1" customFormat="1" ht="15" customHeight="1"/>
    <row r="1516" s="1" customFormat="1" ht="15" customHeight="1"/>
    <row r="1517" s="1" customFormat="1" ht="15" customHeight="1"/>
    <row r="1518" s="1" customFormat="1" ht="15" customHeight="1"/>
    <row r="1519" s="1" customFormat="1" ht="15" customHeight="1"/>
    <row r="1520" s="1" customFormat="1" ht="15" customHeight="1"/>
    <row r="1521" s="1" customFormat="1" ht="15" customHeight="1"/>
    <row r="1522" s="1" customFormat="1" ht="15" customHeight="1"/>
    <row r="1523" s="1" customFormat="1" ht="15" customHeight="1"/>
    <row r="1524" s="1" customFormat="1" ht="15" customHeight="1"/>
    <row r="1525" s="1" customFormat="1" ht="15" customHeight="1"/>
    <row r="1526" s="1" customFormat="1" ht="15" customHeight="1"/>
    <row r="1527" s="1" customFormat="1" ht="15" customHeight="1"/>
    <row r="1528" s="1" customFormat="1" ht="15" customHeight="1"/>
    <row r="1529" s="1" customFormat="1" ht="15" customHeight="1"/>
    <row r="1530" s="1" customFormat="1" ht="15" customHeight="1"/>
    <row r="1531" s="1" customFormat="1" ht="15" customHeight="1"/>
    <row r="1532" s="1" customFormat="1" ht="15" customHeight="1"/>
    <row r="1533" s="1" customFormat="1" ht="15" customHeight="1"/>
    <row r="1534" s="1" customFormat="1" ht="15" customHeight="1"/>
    <row r="1535" s="1" customFormat="1" ht="15" customHeight="1"/>
    <row r="1536" s="1" customFormat="1" ht="15" customHeight="1"/>
    <row r="1537" s="1" customFormat="1" ht="15" customHeight="1"/>
    <row r="1538" s="1" customFormat="1" ht="15" customHeight="1"/>
    <row r="1539" s="1" customFormat="1" ht="15" customHeight="1"/>
    <row r="1540" s="1" customFormat="1" ht="15" customHeight="1"/>
    <row r="1541" s="1" customFormat="1" ht="15" customHeight="1"/>
    <row r="1542" s="1" customFormat="1" ht="15" customHeight="1"/>
    <row r="1543" s="1" customFormat="1" ht="15" customHeight="1"/>
    <row r="1544" s="1" customFormat="1" ht="15" customHeight="1"/>
    <row r="1545" s="1" customFormat="1" ht="15" customHeight="1"/>
    <row r="1546" s="1" customFormat="1" ht="15" customHeight="1"/>
    <row r="1547" s="1" customFormat="1" ht="15" customHeight="1"/>
    <row r="1548" s="1" customFormat="1" ht="15" customHeight="1"/>
    <row r="1549" s="1" customFormat="1" ht="15" customHeight="1"/>
    <row r="1550" s="1" customFormat="1" ht="15" customHeight="1"/>
    <row r="1551" s="1" customFormat="1" ht="15" customHeight="1"/>
    <row r="1552" s="1" customFormat="1" ht="15" customHeight="1"/>
    <row r="1553" s="1" customFormat="1" ht="15" customHeight="1"/>
    <row r="1554" s="1" customFormat="1" ht="15" customHeight="1"/>
    <row r="1555" s="1" customFormat="1" ht="15" customHeight="1"/>
    <row r="1556" s="1" customFormat="1" ht="15" customHeight="1"/>
    <row r="1557" s="1" customFormat="1" ht="15" customHeight="1"/>
    <row r="1558" s="1" customFormat="1" ht="15" customHeight="1"/>
    <row r="1559" s="1" customFormat="1" ht="15" customHeight="1"/>
    <row r="1560" s="1" customFormat="1" ht="15" customHeight="1"/>
    <row r="1561" s="1" customFormat="1" ht="15" customHeight="1"/>
    <row r="1562" s="1" customFormat="1" ht="15" customHeight="1"/>
    <row r="1563" s="1" customFormat="1" ht="15" customHeight="1"/>
    <row r="1564" s="1" customFormat="1" ht="15" customHeight="1"/>
    <row r="1565" s="1" customFormat="1" ht="15" customHeight="1"/>
    <row r="1566" s="1" customFormat="1" ht="15" customHeight="1"/>
    <row r="1567" s="1" customFormat="1" ht="15" customHeight="1"/>
    <row r="1568" s="1" customFormat="1" ht="15" customHeight="1"/>
    <row r="1569" s="1" customFormat="1" ht="15" customHeight="1"/>
    <row r="1570" s="1" customFormat="1" ht="15" customHeight="1"/>
    <row r="1571" s="1" customFormat="1" ht="15" customHeight="1"/>
    <row r="1572" s="1" customFormat="1" ht="15" customHeight="1"/>
    <row r="1573" s="1" customFormat="1" ht="15" customHeight="1"/>
    <row r="1574" s="1" customFormat="1" ht="15" customHeight="1"/>
    <row r="1575" s="1" customFormat="1" ht="15" customHeight="1"/>
    <row r="1576" s="1" customFormat="1" ht="15" customHeight="1"/>
    <row r="1577" s="1" customFormat="1" ht="15" customHeight="1"/>
    <row r="1578" s="1" customFormat="1" ht="15" customHeight="1"/>
    <row r="1579" s="1" customFormat="1" ht="15" customHeight="1"/>
    <row r="1580" s="1" customFormat="1" ht="15" customHeight="1"/>
    <row r="1581" s="1" customFormat="1" ht="15" customHeight="1"/>
    <row r="1582" s="1" customFormat="1" ht="15" customHeight="1"/>
    <row r="1583" s="1" customFormat="1" ht="15" customHeight="1"/>
    <row r="1584" s="1" customFormat="1" ht="15" customHeight="1"/>
    <row r="1585" s="1" customFormat="1" ht="15" customHeight="1"/>
    <row r="1586" s="1" customFormat="1" ht="15" customHeight="1"/>
    <row r="1587" s="1" customFormat="1" ht="15" customHeight="1"/>
    <row r="1588" s="1" customFormat="1" ht="15" customHeight="1"/>
    <row r="1589" s="1" customFormat="1" ht="15" customHeight="1"/>
    <row r="1590" s="1" customFormat="1" ht="15" customHeight="1"/>
    <row r="1591" s="1" customFormat="1" ht="15" customHeight="1"/>
    <row r="1592" s="1" customFormat="1" ht="15" customHeight="1"/>
    <row r="1593" s="1" customFormat="1" ht="15" customHeight="1"/>
    <row r="1594" s="1" customFormat="1" ht="15" customHeight="1"/>
    <row r="1595" s="1" customFormat="1" ht="15" customHeight="1"/>
    <row r="1596" s="1" customFormat="1" ht="15" customHeight="1"/>
    <row r="1597" s="1" customFormat="1" ht="15" customHeight="1"/>
    <row r="1598" s="1" customFormat="1" ht="15" customHeight="1"/>
    <row r="1599" s="1" customFormat="1" ht="15" customHeight="1"/>
    <row r="1600" s="1" customFormat="1" ht="15" customHeight="1"/>
    <row r="1601" s="1" customFormat="1" ht="15" customHeight="1"/>
    <row r="1602" s="1" customFormat="1" ht="15" customHeight="1"/>
    <row r="1603" s="1" customFormat="1" ht="15" customHeight="1"/>
    <row r="1604" s="1" customFormat="1" ht="15" customHeight="1"/>
    <row r="1605" s="1" customFormat="1" ht="15" customHeight="1"/>
    <row r="1606" s="1" customFormat="1" ht="15" customHeight="1"/>
    <row r="1607" s="1" customFormat="1" ht="15" customHeight="1"/>
    <row r="1608" s="1" customFormat="1" ht="15" customHeight="1"/>
    <row r="1609" s="1" customFormat="1" ht="15" customHeight="1"/>
    <row r="1610" s="1" customFormat="1" ht="15" customHeight="1"/>
    <row r="1611" s="1" customFormat="1" ht="15" customHeight="1"/>
    <row r="1612" s="1" customFormat="1" ht="15" customHeight="1"/>
    <row r="1613" s="1" customFormat="1" ht="15" customHeight="1"/>
    <row r="1614" s="1" customFormat="1" ht="15" customHeight="1"/>
    <row r="1615" s="1" customFormat="1" ht="15" customHeight="1"/>
    <row r="1616" s="1" customFormat="1" ht="15" customHeight="1"/>
    <row r="1617" s="1" customFormat="1" ht="15" customHeight="1"/>
    <row r="1618" s="1" customFormat="1" ht="15" customHeight="1"/>
    <row r="1619" s="1" customFormat="1" ht="15" customHeight="1"/>
    <row r="1620" s="1" customFormat="1" ht="15" customHeight="1"/>
    <row r="1621" s="1" customFormat="1" ht="15" customHeight="1"/>
    <row r="1622" s="1" customFormat="1" ht="15" customHeight="1"/>
    <row r="1623" s="1" customFormat="1" ht="15" customHeight="1"/>
    <row r="1624" s="1" customFormat="1" ht="15" customHeight="1"/>
    <row r="1625" s="1" customFormat="1" ht="15" customHeight="1"/>
    <row r="1626" s="1" customFormat="1" ht="15" customHeight="1"/>
    <row r="1627" s="1" customFormat="1" ht="15" customHeight="1"/>
    <row r="1628" s="1" customFormat="1" ht="15" customHeight="1"/>
    <row r="1629" s="1" customFormat="1" ht="15" customHeight="1"/>
    <row r="1630" s="1" customFormat="1" ht="15" customHeight="1"/>
    <row r="1631" s="1" customFormat="1" ht="15" customHeight="1"/>
    <row r="1632" s="1" customFormat="1" ht="15" customHeight="1"/>
    <row r="1633" s="1" customFormat="1" ht="15" customHeight="1"/>
    <row r="1634" s="1" customFormat="1" ht="15" customHeight="1"/>
    <row r="1635" s="1" customFormat="1" ht="15" customHeight="1"/>
    <row r="1636" s="1" customFormat="1" ht="15" customHeight="1"/>
    <row r="1637" s="1" customFormat="1" ht="15" customHeight="1"/>
    <row r="1638" s="1" customFormat="1" ht="15" customHeight="1"/>
    <row r="1639" s="1" customFormat="1" ht="15" customHeight="1"/>
    <row r="1640" s="1" customFormat="1" ht="15" customHeight="1"/>
    <row r="1641" s="1" customFormat="1" ht="15" customHeight="1"/>
    <row r="1642" s="1" customFormat="1" ht="15" customHeight="1"/>
    <row r="1643" s="1" customFormat="1" ht="15" customHeight="1"/>
    <row r="1644" s="1" customFormat="1" ht="15" customHeight="1"/>
    <row r="1645" s="1" customFormat="1" ht="15" customHeight="1"/>
    <row r="1646" s="1" customFormat="1" ht="15" customHeight="1"/>
    <row r="1647" s="1" customFormat="1" ht="15" customHeight="1"/>
    <row r="1648" s="1" customFormat="1" ht="15" customHeight="1"/>
    <row r="1649" s="1" customFormat="1" ht="15" customHeight="1"/>
    <row r="1650" s="1" customFormat="1" ht="15" customHeight="1"/>
    <row r="1651" s="1" customFormat="1" ht="15" customHeight="1"/>
    <row r="1652" s="1" customFormat="1" ht="15" customHeight="1"/>
    <row r="1653" s="1" customFormat="1" ht="15" customHeight="1"/>
    <row r="1654" s="1" customFormat="1" ht="15" customHeight="1"/>
    <row r="1655" s="1" customFormat="1" ht="15" customHeight="1"/>
    <row r="1656" s="1" customFormat="1" ht="15" customHeight="1"/>
    <row r="1657" s="1" customFormat="1" ht="15" customHeight="1"/>
    <row r="1658" s="1" customFormat="1" ht="15" customHeight="1"/>
    <row r="1659" s="1" customFormat="1" ht="15" customHeight="1"/>
    <row r="1660" s="1" customFormat="1" ht="15" customHeight="1"/>
    <row r="1661" s="1" customFormat="1" ht="15" customHeight="1"/>
    <row r="1662" s="1" customFormat="1" ht="15" customHeight="1"/>
    <row r="1663" s="1" customFormat="1" ht="15" customHeight="1"/>
    <row r="1664" s="1" customFormat="1" ht="15" customHeight="1"/>
    <row r="1665" spans="24:24" s="1" customFormat="1" ht="15" customHeight="1"/>
    <row r="1666" spans="24:24" s="1" customFormat="1" ht="15" customHeight="1"/>
    <row r="1667" spans="24:24" s="1" customFormat="1" ht="15" customHeight="1"/>
    <row r="1668" spans="24:24" s="1" customFormat="1" ht="15" customHeight="1"/>
    <row r="1669" spans="24:24" s="1" customFormat="1" ht="15" customHeight="1"/>
    <row r="1670" spans="24:24" s="1" customFormat="1" ht="15" customHeight="1"/>
    <row r="1671" spans="24:24" s="1" customFormat="1" ht="15" customHeight="1"/>
    <row r="1672" spans="24:24" s="1" customFormat="1" ht="15" customHeight="1">
      <c r="X1672"/>
    </row>
    <row r="1673" spans="24:24" s="1" customFormat="1" ht="15" customHeight="1">
      <c r="X1673"/>
    </row>
    <row r="1674" spans="24:24" s="1" customFormat="1" ht="15" customHeight="1">
      <c r="X1674"/>
    </row>
    <row r="1675" spans="24:24" s="1" customFormat="1" ht="15" customHeight="1">
      <c r="X1675"/>
    </row>
    <row r="1676" spans="24:24" s="1" customFormat="1" ht="15" customHeight="1">
      <c r="X1676"/>
    </row>
    <row r="1677" spans="24:24" s="1" customFormat="1" ht="15" customHeight="1">
      <c r="X1677"/>
    </row>
    <row r="1678" spans="24:24" s="1" customFormat="1" ht="15" customHeight="1">
      <c r="X1678"/>
    </row>
    <row r="1679" spans="24:24" s="1" customFormat="1" ht="15" customHeight="1">
      <c r="X1679"/>
    </row>
    <row r="1680" spans="24:24" s="1" customFormat="1" ht="15" customHeight="1">
      <c r="X1680"/>
    </row>
    <row r="1681" spans="1:50" s="1" customFormat="1" ht="15" customHeight="1">
      <c r="X1681"/>
    </row>
    <row r="1682" spans="1:50" s="1" customFormat="1" ht="15" customHeight="1">
      <c r="X1682"/>
    </row>
    <row r="1683" spans="1:50" s="1" customFormat="1" ht="15" customHeight="1">
      <c r="X1683"/>
    </row>
    <row r="1684" spans="1:50" s="1" customFormat="1" ht="15" customHeight="1">
      <c r="X1684"/>
    </row>
    <row r="1685" spans="1:50" s="1" customFormat="1" ht="15" customHeight="1">
      <c r="X1685"/>
      <c r="AI1685"/>
    </row>
    <row r="1686" spans="1:50" s="1" customFormat="1" ht="15" customHeight="1">
      <c r="X1686"/>
      <c r="AI1686"/>
    </row>
    <row r="1687" spans="1:50" s="1" customFormat="1" ht="15" customHeight="1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X1687"/>
      <c r="AI1687"/>
    </row>
    <row r="1688" spans="1:50" s="1" customFormat="1" ht="15" customHeight="1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X1688"/>
      <c r="AB1688"/>
      <c r="AC1688"/>
      <c r="AD1688"/>
      <c r="AE1688"/>
      <c r="AF1688"/>
      <c r="AG1688"/>
      <c r="AH1688"/>
      <c r="AI1688"/>
    </row>
    <row r="1689" spans="1:50" s="1" customFormat="1" ht="15" customHeight="1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X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</row>
    <row r="1690" spans="1:50" s="1" customFormat="1" ht="15" customHeight="1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X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</row>
    <row r="1691" spans="1:50" ht="15" customHeight="1">
      <c r="AA1691" s="1"/>
    </row>
    <row r="1692" spans="1:50" ht="15" customHeight="1"/>
    <row r="1693" spans="1:50" ht="15" customHeight="1"/>
    <row r="1694" spans="1:50" ht="15" customHeight="1"/>
    <row r="1695" spans="1:50" ht="15" customHeight="1"/>
    <row r="1696" spans="1:50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</sheetData>
  <mergeCells count="45">
    <mergeCell ref="A113:P113"/>
    <mergeCell ref="A114:P114"/>
    <mergeCell ref="A77:C77"/>
    <mergeCell ref="A78:C78"/>
    <mergeCell ref="D78:E78"/>
    <mergeCell ref="A87:C87"/>
    <mergeCell ref="A105:P105"/>
    <mergeCell ref="J110:K110"/>
    <mergeCell ref="N110:O110"/>
    <mergeCell ref="A39:C39"/>
    <mergeCell ref="A18:C18"/>
    <mergeCell ref="A108:P108"/>
    <mergeCell ref="A109:P109"/>
    <mergeCell ref="A58:P60"/>
    <mergeCell ref="A62:P62"/>
    <mergeCell ref="A63:P63"/>
    <mergeCell ref="A45:C45"/>
    <mergeCell ref="A66:D66"/>
    <mergeCell ref="A47:C47"/>
    <mergeCell ref="E66:F66"/>
    <mergeCell ref="B106:D106"/>
    <mergeCell ref="G106:I106"/>
    <mergeCell ref="M106:O106"/>
    <mergeCell ref="M107:O107"/>
    <mergeCell ref="J106:K106"/>
    <mergeCell ref="Q107:R107"/>
    <mergeCell ref="B107:D107"/>
    <mergeCell ref="G107:I107"/>
    <mergeCell ref="A40:C40"/>
    <mergeCell ref="Q111:R111"/>
    <mergeCell ref="H110:I110"/>
    <mergeCell ref="C110:D110"/>
    <mergeCell ref="J107:K107"/>
    <mergeCell ref="Q108:R108"/>
    <mergeCell ref="K8:O8"/>
    <mergeCell ref="O34:P34"/>
    <mergeCell ref="O35:P35"/>
    <mergeCell ref="H38:K38"/>
    <mergeCell ref="K3:O3"/>
    <mergeCell ref="K4:O4"/>
    <mergeCell ref="K5:O5"/>
    <mergeCell ref="K6:O6"/>
    <mergeCell ref="K7:O7"/>
    <mergeCell ref="A14:P14"/>
    <mergeCell ref="A12:P13"/>
  </mergeCells>
  <phoneticPr fontId="0" type="noConversion"/>
  <conditionalFormatting sqref="D26 O34 D45 D40 D28 H38 D54 D30 D32 D34">
    <cfRule type="containsBlanks" dxfId="0" priority="17">
      <formula>LEN(TRIM(D26))=0</formula>
    </cfRule>
  </conditionalFormatting>
  <printOptions horizontalCentered="1"/>
  <pageMargins left="0.35433070866141736" right="0.19685039370078741" top="0.19685039370078741" bottom="0.19685039370078741" header="0" footer="0"/>
  <pageSetup paperSize="9" scale="93" fitToHeight="0" pageOrder="overThenDown" orientation="portrait" r:id="rId1"/>
  <headerFooter alignWithMargins="0">
    <oddFooter>&amp;RPage &amp;P/&amp;N</oddFooter>
  </headerFooter>
  <rowBreaks count="1" manualBreakCount="1">
    <brk id="60" max="15" man="1"/>
  </rowBreaks>
  <colBreaks count="1" manualBreakCount="1">
    <brk id="16" max="106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67" r:id="rId4" name="Drop Down 1879">
              <controlPr defaultSize="0" autoLine="0" autoPict="0">
                <anchor moveWithCells="1">
                  <from>
                    <xdr:col>19</xdr:col>
                    <xdr:colOff>381000</xdr:colOff>
                    <xdr:row>113</xdr:row>
                    <xdr:rowOff>9525</xdr:rowOff>
                  </from>
                  <to>
                    <xdr:col>21</xdr:col>
                    <xdr:colOff>314325</xdr:colOff>
                    <xdr:row>114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5" r:id="rId5" name="Drop Down 1937">
              <controlPr defaultSize="0" print="0" autoLine="0" autoPict="0">
                <anchor moveWithCells="1">
                  <from>
                    <xdr:col>13</xdr:col>
                    <xdr:colOff>342900</xdr:colOff>
                    <xdr:row>53</xdr:row>
                    <xdr:rowOff>9525</xdr:rowOff>
                  </from>
                  <to>
                    <xdr:col>16</xdr:col>
                    <xdr:colOff>9525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6" r:id="rId6" name="Drop Down 1938">
              <controlPr defaultSize="0" print="0" autoLine="0" autoPict="0">
                <anchor moveWithCells="1">
                  <from>
                    <xdr:col>12</xdr:col>
                    <xdr:colOff>428625</xdr:colOff>
                    <xdr:row>64</xdr:row>
                    <xdr:rowOff>171450</xdr:rowOff>
                  </from>
                  <to>
                    <xdr:col>15</xdr:col>
                    <xdr:colOff>409575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4" r:id="rId7" name="Drop Down 1936">
              <controlPr defaultSize="0" print="0" autoLine="0" autoPict="0">
                <anchor moveWithCells="1">
                  <from>
                    <xdr:col>3</xdr:col>
                    <xdr:colOff>0</xdr:colOff>
                    <xdr:row>46</xdr:row>
                    <xdr:rowOff>19050</xdr:rowOff>
                  </from>
                  <to>
                    <xdr:col>15</xdr:col>
                    <xdr:colOff>285750</xdr:colOff>
                    <xdr:row>47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pageSetUpPr fitToPage="1"/>
  </sheetPr>
  <dimension ref="A2:AN16383"/>
  <sheetViews>
    <sheetView zoomScale="85" zoomScaleNormal="85" workbookViewId="0">
      <selection activeCell="A3" sqref="A3:Y3"/>
    </sheetView>
  </sheetViews>
  <sheetFormatPr baseColWidth="10" defaultRowHeight="12.75"/>
  <cols>
    <col min="1" max="1" width="8.7109375" style="28" customWidth="1"/>
    <col min="2" max="2" width="0" style="28" hidden="1" customWidth="1"/>
    <col min="3" max="4" width="5.7109375" style="28" customWidth="1"/>
    <col min="5" max="6" width="6.7109375" style="28" customWidth="1"/>
    <col min="7" max="8" width="7.28515625" style="28" customWidth="1"/>
    <col min="9" max="9" width="5.7109375" style="28" customWidth="1"/>
    <col min="10" max="11" width="6.7109375" style="28" customWidth="1"/>
    <col min="12" max="12" width="5.7109375" style="28" customWidth="1"/>
    <col min="13" max="14" width="6.7109375" style="28" customWidth="1"/>
    <col min="15" max="15" width="5.7109375" style="28" customWidth="1"/>
    <col min="16" max="17" width="6.7109375" style="28" customWidth="1"/>
    <col min="18" max="18" width="5.7109375" style="28" customWidth="1"/>
    <col min="19" max="23" width="6.7109375" style="28" customWidth="1"/>
    <col min="24" max="24" width="5.7109375" style="28" customWidth="1"/>
    <col min="25" max="25" width="6.7109375" style="28" customWidth="1"/>
    <col min="26" max="35" width="3.7109375" style="29" customWidth="1"/>
    <col min="36" max="36" width="16.5703125" style="28" bestFit="1" customWidth="1"/>
    <col min="37" max="16384" width="11.42578125" style="28"/>
  </cols>
  <sheetData>
    <row r="2" spans="1:40" s="147" customFormat="1" ht="23.25">
      <c r="A2" s="245" t="s">
        <v>33</v>
      </c>
      <c r="B2" s="245"/>
      <c r="C2" s="245"/>
      <c r="D2" s="245"/>
      <c r="E2" s="245"/>
      <c r="F2" s="245"/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  <c r="U2" s="245"/>
      <c r="V2" s="245"/>
      <c r="W2" s="245"/>
      <c r="X2" s="245"/>
      <c r="Y2" s="245"/>
    </row>
    <row r="3" spans="1:40" s="147" customFormat="1" ht="19.5" customHeight="1">
      <c r="A3" s="246" t="str">
        <f>'Rapport d''essai dimensionnel'!A14</f>
        <v xml:space="preserve">N° </v>
      </c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AK3" s="148" t="s">
        <v>147</v>
      </c>
      <c r="AL3" s="148"/>
      <c r="AM3" s="148"/>
      <c r="AN3" s="149"/>
    </row>
    <row r="4" spans="1:40" s="147" customFormat="1" ht="19.5" customHeight="1">
      <c r="A4" s="203"/>
      <c r="B4" s="203"/>
      <c r="C4" s="203"/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203"/>
    </row>
    <row r="5" spans="1:40" ht="21.75" customHeight="1">
      <c r="A5" s="242" t="s">
        <v>51</v>
      </c>
      <c r="B5" s="243"/>
      <c r="C5" s="243"/>
      <c r="D5" s="243"/>
      <c r="E5" s="243"/>
      <c r="F5" s="243"/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  <c r="T5" s="243"/>
      <c r="U5" s="243"/>
      <c r="V5" s="243"/>
      <c r="W5" s="243"/>
      <c r="X5" s="243"/>
      <c r="Y5" s="244"/>
      <c r="Z5" s="31"/>
      <c r="AA5" s="31"/>
      <c r="AB5" s="32"/>
      <c r="AC5" s="32"/>
      <c r="AD5" s="28"/>
      <c r="AE5" s="28"/>
      <c r="AF5" s="28"/>
      <c r="AG5" s="28"/>
      <c r="AH5" s="28"/>
      <c r="AI5" s="28"/>
    </row>
    <row r="6" spans="1:40" ht="6.95" customHeight="1">
      <c r="A6" s="191"/>
      <c r="B6" s="190"/>
      <c r="C6" s="190"/>
      <c r="D6" s="190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90"/>
      <c r="P6" s="190"/>
      <c r="Q6" s="190"/>
      <c r="R6" s="190"/>
      <c r="S6" s="190"/>
      <c r="T6" s="190"/>
      <c r="U6" s="190"/>
      <c r="V6" s="190"/>
      <c r="W6" s="190"/>
      <c r="X6" s="190"/>
      <c r="Y6" s="192"/>
      <c r="Z6" s="31"/>
      <c r="AA6" s="31"/>
      <c r="AB6" s="31"/>
      <c r="AC6" s="32"/>
      <c r="AD6" s="32"/>
      <c r="AE6" s="28"/>
      <c r="AF6" s="28"/>
      <c r="AG6" s="28"/>
      <c r="AH6" s="28"/>
      <c r="AI6" s="28"/>
    </row>
    <row r="7" spans="1:40" s="34" customFormat="1" ht="15" customHeight="1">
      <c r="A7" s="35"/>
      <c r="B7" s="36"/>
      <c r="C7" s="36"/>
      <c r="D7" s="36"/>
      <c r="E7" s="37"/>
      <c r="F7" s="37"/>
      <c r="G7" s="36"/>
      <c r="H7" s="36"/>
      <c r="I7" s="38"/>
      <c r="J7" s="36"/>
      <c r="K7" s="36"/>
      <c r="L7" s="38"/>
      <c r="M7" s="36"/>
      <c r="N7" s="36"/>
      <c r="O7" s="38"/>
      <c r="P7" s="36"/>
      <c r="Q7" s="36"/>
      <c r="R7" s="38"/>
      <c r="S7" s="36"/>
      <c r="T7" s="36"/>
      <c r="U7" s="36"/>
      <c r="V7" s="36"/>
      <c r="W7" s="36"/>
      <c r="X7" s="38"/>
      <c r="Y7" s="39"/>
      <c r="Z7" s="33"/>
      <c r="AA7" s="33"/>
      <c r="AB7" s="33"/>
      <c r="AC7" s="33"/>
      <c r="AD7" s="33"/>
      <c r="AE7" s="33"/>
      <c r="AF7" s="33"/>
      <c r="AG7" s="33"/>
      <c r="AH7" s="33"/>
      <c r="AI7" s="33"/>
    </row>
    <row r="8" spans="1:40" s="34" customFormat="1" ht="15" customHeight="1">
      <c r="A8" s="35"/>
      <c r="B8" s="36"/>
      <c r="C8" s="36"/>
      <c r="D8" s="36"/>
      <c r="E8" s="37"/>
      <c r="F8" s="37"/>
      <c r="G8" s="36"/>
      <c r="H8" s="36"/>
      <c r="I8" s="38"/>
      <c r="J8" s="36"/>
      <c r="K8" s="36"/>
      <c r="L8" s="38"/>
      <c r="M8" s="36"/>
      <c r="N8" s="36"/>
      <c r="O8" s="38"/>
      <c r="P8" s="36"/>
      <c r="Q8" s="36"/>
      <c r="R8" s="38"/>
      <c r="S8" s="36"/>
      <c r="T8" s="36"/>
      <c r="U8" s="36"/>
      <c r="V8" s="36"/>
      <c r="W8" s="36"/>
      <c r="X8" s="38"/>
      <c r="Y8" s="39"/>
      <c r="Z8" s="33"/>
      <c r="AA8" s="33"/>
      <c r="AB8" s="33"/>
      <c r="AC8" s="33"/>
      <c r="AD8" s="33"/>
      <c r="AE8" s="33"/>
      <c r="AF8" s="33"/>
      <c r="AG8" s="33"/>
      <c r="AH8" s="33"/>
      <c r="AI8" s="33"/>
    </row>
    <row r="9" spans="1:40" s="34" customFormat="1" ht="15" customHeight="1">
      <c r="A9" s="35"/>
      <c r="B9" s="36"/>
      <c r="C9" s="36"/>
      <c r="D9" s="36"/>
      <c r="E9" s="37"/>
      <c r="F9" s="37"/>
      <c r="G9" s="36"/>
      <c r="H9" s="36"/>
      <c r="I9" s="38"/>
      <c r="J9" s="36"/>
      <c r="K9" s="36"/>
      <c r="L9" s="38"/>
      <c r="M9" s="36"/>
      <c r="N9" s="36"/>
      <c r="O9" s="38"/>
      <c r="P9" s="36"/>
      <c r="Q9" s="36"/>
      <c r="R9" s="38"/>
      <c r="S9" s="36"/>
      <c r="T9" s="36"/>
      <c r="U9" s="36"/>
      <c r="V9" s="36"/>
      <c r="W9" s="36"/>
      <c r="X9" s="38"/>
      <c r="Y9" s="39"/>
      <c r="Z9" s="33"/>
      <c r="AA9" s="33"/>
      <c r="AB9" s="33"/>
      <c r="AC9" s="33"/>
      <c r="AD9" s="33"/>
      <c r="AE9" s="33"/>
      <c r="AF9" s="33"/>
      <c r="AG9" s="33"/>
      <c r="AH9" s="33"/>
      <c r="AI9" s="33"/>
    </row>
    <row r="10" spans="1:40" s="34" customFormat="1" ht="15" customHeight="1">
      <c r="A10" s="35"/>
      <c r="B10" s="36"/>
      <c r="C10" s="36"/>
      <c r="D10" s="36"/>
      <c r="E10" s="37"/>
      <c r="F10" s="37"/>
      <c r="G10" s="36"/>
      <c r="H10" s="36"/>
      <c r="I10" s="38"/>
      <c r="J10" s="36"/>
      <c r="K10" s="36"/>
      <c r="L10" s="38"/>
      <c r="M10" s="36"/>
      <c r="N10" s="36"/>
      <c r="O10" s="38"/>
      <c r="P10" s="36"/>
      <c r="Q10" s="36"/>
      <c r="R10" s="38"/>
      <c r="S10" s="36"/>
      <c r="T10" s="36"/>
      <c r="U10" s="36"/>
      <c r="V10" s="36"/>
      <c r="W10" s="36"/>
      <c r="X10" s="38"/>
      <c r="Y10" s="39"/>
      <c r="Z10" s="33"/>
      <c r="AA10" s="33"/>
      <c r="AB10" s="33"/>
      <c r="AC10" s="33"/>
      <c r="AD10" s="33"/>
      <c r="AE10" s="33"/>
      <c r="AF10" s="33"/>
      <c r="AG10" s="33"/>
      <c r="AH10" s="33"/>
      <c r="AI10" s="33"/>
    </row>
    <row r="11" spans="1:40" s="34" customFormat="1" ht="15" customHeight="1">
      <c r="A11" s="35"/>
      <c r="B11" s="36"/>
      <c r="C11" s="36"/>
      <c r="D11" s="36"/>
      <c r="E11" s="37"/>
      <c r="F11" s="37"/>
      <c r="G11" s="36"/>
      <c r="H11" s="36"/>
      <c r="I11" s="38"/>
      <c r="J11" s="36"/>
      <c r="K11" s="36"/>
      <c r="L11" s="38"/>
      <c r="M11" s="36"/>
      <c r="N11" s="36"/>
      <c r="O11" s="38"/>
      <c r="P11" s="36"/>
      <c r="Q11" s="36"/>
      <c r="R11" s="38"/>
      <c r="S11" s="36"/>
      <c r="T11" s="36"/>
      <c r="U11" s="36"/>
      <c r="V11" s="36"/>
      <c r="W11" s="36"/>
      <c r="X11" s="38"/>
      <c r="Y11" s="39"/>
      <c r="Z11" s="33"/>
      <c r="AA11" s="33"/>
      <c r="AB11" s="33"/>
      <c r="AC11" s="33"/>
      <c r="AD11" s="33"/>
      <c r="AE11" s="33"/>
      <c r="AF11" s="33"/>
      <c r="AG11" s="33"/>
      <c r="AH11" s="33"/>
      <c r="AI11" s="33"/>
    </row>
    <row r="12" spans="1:40" s="34" customFormat="1" ht="15" customHeight="1">
      <c r="A12" s="35"/>
      <c r="B12" s="36"/>
      <c r="C12" s="36"/>
      <c r="D12" s="36"/>
      <c r="E12" s="37"/>
      <c r="F12" s="37"/>
      <c r="G12" s="36"/>
      <c r="H12" s="36"/>
      <c r="I12" s="38"/>
      <c r="J12" s="36"/>
      <c r="K12" s="36"/>
      <c r="L12" s="38"/>
      <c r="M12" s="36"/>
      <c r="N12" s="36"/>
      <c r="O12" s="38"/>
      <c r="P12" s="36"/>
      <c r="Q12" s="36"/>
      <c r="R12" s="38"/>
      <c r="S12" s="36"/>
      <c r="T12" s="36"/>
      <c r="U12" s="36"/>
      <c r="V12" s="36"/>
      <c r="W12" s="36"/>
      <c r="X12" s="38"/>
      <c r="Y12" s="39"/>
      <c r="Z12" s="33"/>
      <c r="AA12" s="33"/>
      <c r="AB12" s="33"/>
      <c r="AC12" s="33"/>
      <c r="AD12" s="33"/>
      <c r="AE12" s="33"/>
      <c r="AF12" s="33"/>
      <c r="AG12" s="33"/>
      <c r="AH12" s="33"/>
      <c r="AI12" s="33"/>
    </row>
    <row r="13" spans="1:40" s="34" customFormat="1" ht="15" customHeight="1">
      <c r="A13" s="35"/>
      <c r="B13" s="36"/>
      <c r="C13" s="36"/>
      <c r="D13" s="36"/>
      <c r="E13" s="37"/>
      <c r="F13" s="37"/>
      <c r="G13" s="36"/>
      <c r="H13" s="36"/>
      <c r="I13" s="38"/>
      <c r="J13" s="36"/>
      <c r="K13" s="36"/>
      <c r="L13" s="38"/>
      <c r="M13" s="36"/>
      <c r="N13" s="36"/>
      <c r="O13" s="38"/>
      <c r="P13" s="36"/>
      <c r="Q13" s="36"/>
      <c r="R13" s="38"/>
      <c r="S13" s="36"/>
      <c r="T13" s="36"/>
      <c r="U13" s="36"/>
      <c r="V13" s="36"/>
      <c r="W13" s="36"/>
      <c r="X13" s="38"/>
      <c r="Y13" s="39"/>
      <c r="Z13" s="33"/>
      <c r="AA13" s="33"/>
      <c r="AB13" s="33"/>
      <c r="AC13" s="33"/>
      <c r="AD13" s="33"/>
      <c r="AE13" s="33"/>
      <c r="AF13" s="33"/>
      <c r="AG13" s="33"/>
      <c r="AH13" s="33"/>
      <c r="AI13" s="33"/>
    </row>
    <row r="14" spans="1:40" s="34" customFormat="1" ht="15" customHeight="1">
      <c r="A14" s="35"/>
      <c r="B14" s="36"/>
      <c r="C14" s="36"/>
      <c r="D14" s="36"/>
      <c r="E14" s="37"/>
      <c r="F14" s="37"/>
      <c r="G14" s="36"/>
      <c r="H14" s="36"/>
      <c r="I14" s="38"/>
      <c r="J14" s="36"/>
      <c r="K14" s="36"/>
      <c r="L14" s="38"/>
      <c r="M14" s="36"/>
      <c r="N14" s="36"/>
      <c r="O14" s="38"/>
      <c r="P14" s="36"/>
      <c r="Q14" s="36"/>
      <c r="R14" s="38"/>
      <c r="S14" s="36"/>
      <c r="T14" s="36"/>
      <c r="U14" s="36"/>
      <c r="V14" s="36"/>
      <c r="W14" s="36"/>
      <c r="X14" s="38"/>
      <c r="Y14" s="39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40" s="34" customFormat="1" ht="15" customHeight="1">
      <c r="A15" s="35"/>
      <c r="B15" s="36"/>
      <c r="C15" s="36"/>
      <c r="D15" s="36"/>
      <c r="E15" s="37"/>
      <c r="F15" s="37"/>
      <c r="G15" s="36"/>
      <c r="H15" s="36"/>
      <c r="I15" s="38"/>
      <c r="J15" s="36"/>
      <c r="K15" s="36"/>
      <c r="L15" s="38"/>
      <c r="M15" s="36"/>
      <c r="N15" s="36"/>
      <c r="O15" s="38"/>
      <c r="P15" s="36"/>
      <c r="Q15" s="36"/>
      <c r="R15" s="38"/>
      <c r="S15" s="36"/>
      <c r="T15" s="36"/>
      <c r="U15" s="36"/>
      <c r="V15" s="36"/>
      <c r="W15" s="36"/>
      <c r="X15" s="38"/>
      <c r="Y15" s="39"/>
      <c r="Z15" s="33"/>
      <c r="AA15" s="33"/>
      <c r="AB15" s="33"/>
      <c r="AC15" s="33"/>
      <c r="AD15" s="33"/>
      <c r="AE15" s="33"/>
      <c r="AF15" s="33"/>
      <c r="AG15" s="33"/>
      <c r="AH15" s="33"/>
      <c r="AI15" s="33"/>
    </row>
    <row r="16" spans="1:40" s="34" customFormat="1" ht="15" customHeight="1">
      <c r="A16" s="35"/>
      <c r="B16" s="36"/>
      <c r="C16" s="36"/>
      <c r="D16" s="36"/>
      <c r="E16" s="37"/>
      <c r="F16" s="37"/>
      <c r="G16" s="36"/>
      <c r="H16" s="36"/>
      <c r="I16" s="38"/>
      <c r="J16" s="36"/>
      <c r="K16" s="36"/>
      <c r="L16" s="38"/>
      <c r="M16" s="36"/>
      <c r="N16" s="36"/>
      <c r="O16" s="38"/>
      <c r="P16" s="36"/>
      <c r="Q16" s="36"/>
      <c r="R16" s="38"/>
      <c r="S16" s="36"/>
      <c r="T16" s="36"/>
      <c r="U16" s="36"/>
      <c r="V16" s="36"/>
      <c r="W16" s="36"/>
      <c r="X16" s="38"/>
      <c r="Y16" s="39"/>
      <c r="Z16" s="33"/>
      <c r="AA16" s="33"/>
      <c r="AB16" s="33"/>
      <c r="AC16" s="33"/>
      <c r="AD16" s="33"/>
      <c r="AE16" s="33"/>
      <c r="AF16" s="33"/>
      <c r="AG16" s="33"/>
      <c r="AH16" s="33"/>
      <c r="AI16" s="33"/>
    </row>
    <row r="17" spans="1:35" s="34" customFormat="1" ht="15" customHeight="1">
      <c r="A17" s="35"/>
      <c r="B17" s="36"/>
      <c r="C17" s="36"/>
      <c r="D17" s="36"/>
      <c r="E17" s="37"/>
      <c r="F17" s="37"/>
      <c r="G17" s="36"/>
      <c r="H17" s="36"/>
      <c r="I17" s="38"/>
      <c r="J17" s="36"/>
      <c r="K17" s="36"/>
      <c r="L17" s="38"/>
      <c r="M17" s="36"/>
      <c r="N17" s="36"/>
      <c r="O17" s="38"/>
      <c r="P17" s="36"/>
      <c r="Q17" s="36"/>
      <c r="R17" s="38"/>
      <c r="S17" s="36"/>
      <c r="T17" s="36"/>
      <c r="U17" s="36"/>
      <c r="V17" s="36"/>
      <c r="W17" s="36"/>
      <c r="X17" s="38"/>
      <c r="Y17" s="39"/>
      <c r="Z17" s="33"/>
      <c r="AA17" s="33"/>
      <c r="AB17" s="33"/>
      <c r="AC17" s="33"/>
      <c r="AD17" s="33"/>
      <c r="AE17" s="33"/>
      <c r="AF17" s="33"/>
      <c r="AG17" s="33"/>
      <c r="AH17" s="33"/>
      <c r="AI17" s="33"/>
    </row>
    <row r="18" spans="1:35" s="34" customFormat="1" ht="15" customHeight="1">
      <c r="A18" s="35"/>
      <c r="B18" s="36"/>
      <c r="C18" s="36"/>
      <c r="D18" s="36"/>
      <c r="E18" s="37"/>
      <c r="F18" s="37"/>
      <c r="G18" s="36"/>
      <c r="H18" s="36"/>
      <c r="I18" s="38"/>
      <c r="J18" s="36"/>
      <c r="K18" s="36"/>
      <c r="L18" s="38"/>
      <c r="M18" s="36"/>
      <c r="N18" s="36"/>
      <c r="O18" s="38"/>
      <c r="P18" s="36"/>
      <c r="Q18" s="36"/>
      <c r="R18" s="38"/>
      <c r="S18" s="36"/>
      <c r="T18" s="36"/>
      <c r="U18" s="36"/>
      <c r="V18" s="36"/>
      <c r="W18" s="36"/>
      <c r="X18" s="38"/>
      <c r="Y18" s="39"/>
      <c r="Z18" s="33"/>
      <c r="AA18" s="33"/>
      <c r="AB18" s="33"/>
      <c r="AC18" s="33"/>
      <c r="AD18" s="33"/>
      <c r="AE18" s="33"/>
      <c r="AF18" s="33"/>
      <c r="AG18" s="33"/>
      <c r="AH18" s="33"/>
      <c r="AI18" s="33"/>
    </row>
    <row r="19" spans="1:35" s="34" customFormat="1" ht="15" customHeight="1">
      <c r="A19" s="35"/>
      <c r="B19" s="36"/>
      <c r="C19" s="36"/>
      <c r="D19" s="36"/>
      <c r="E19" s="37"/>
      <c r="F19" s="37"/>
      <c r="G19" s="36"/>
      <c r="H19" s="36"/>
      <c r="I19" s="38"/>
      <c r="J19" s="36"/>
      <c r="K19" s="36"/>
      <c r="L19" s="38"/>
      <c r="M19" s="36"/>
      <c r="N19" s="36"/>
      <c r="O19" s="38"/>
      <c r="P19" s="36"/>
      <c r="Q19" s="36"/>
      <c r="R19" s="38"/>
      <c r="S19" s="36"/>
      <c r="T19" s="36"/>
      <c r="U19" s="36"/>
      <c r="V19" s="36"/>
      <c r="W19" s="36"/>
      <c r="X19" s="38"/>
      <c r="Y19" s="39"/>
      <c r="Z19" s="33"/>
      <c r="AA19" s="33"/>
      <c r="AB19" s="33"/>
      <c r="AC19" s="33"/>
      <c r="AD19" s="33"/>
      <c r="AE19" s="33"/>
      <c r="AF19" s="33"/>
      <c r="AG19" s="33"/>
      <c r="AH19" s="33"/>
      <c r="AI19" s="33"/>
    </row>
    <row r="20" spans="1:35" s="34" customFormat="1" ht="15" customHeight="1">
      <c r="A20" s="35"/>
      <c r="B20" s="36"/>
      <c r="C20" s="36"/>
      <c r="D20" s="36"/>
      <c r="E20" s="37"/>
      <c r="F20" s="37"/>
      <c r="G20" s="36"/>
      <c r="H20" s="36"/>
      <c r="I20" s="38"/>
      <c r="J20" s="36"/>
      <c r="K20" s="36"/>
      <c r="L20" s="38"/>
      <c r="M20" s="36"/>
      <c r="N20" s="36"/>
      <c r="O20" s="38"/>
      <c r="P20" s="36"/>
      <c r="Q20" s="36"/>
      <c r="R20" s="38"/>
      <c r="S20" s="36"/>
      <c r="T20" s="36"/>
      <c r="U20" s="36"/>
      <c r="V20" s="36"/>
      <c r="W20" s="36"/>
      <c r="X20" s="38"/>
      <c r="Y20" s="39"/>
      <c r="Z20" s="33"/>
      <c r="AA20" s="33"/>
      <c r="AB20" s="33"/>
      <c r="AC20" s="33"/>
      <c r="AD20" s="33"/>
      <c r="AE20" s="33"/>
      <c r="AF20" s="33"/>
      <c r="AG20" s="33"/>
      <c r="AH20" s="33"/>
      <c r="AI20" s="33"/>
    </row>
    <row r="21" spans="1:35" s="34" customFormat="1" ht="15" customHeight="1">
      <c r="A21" s="35"/>
      <c r="B21" s="36"/>
      <c r="C21" s="36"/>
      <c r="D21" s="36"/>
      <c r="E21" s="37"/>
      <c r="F21" s="37"/>
      <c r="G21" s="36"/>
      <c r="H21" s="36"/>
      <c r="I21" s="38"/>
      <c r="J21" s="36"/>
      <c r="K21" s="36"/>
      <c r="L21" s="38"/>
      <c r="M21" s="36"/>
      <c r="N21" s="36"/>
      <c r="O21" s="38"/>
      <c r="P21" s="36"/>
      <c r="Q21" s="36"/>
      <c r="R21" s="38"/>
      <c r="S21" s="36"/>
      <c r="T21" s="36"/>
      <c r="U21" s="36"/>
      <c r="V21" s="36"/>
      <c r="W21" s="36"/>
      <c r="X21" s="38"/>
      <c r="Y21" s="39"/>
      <c r="Z21" s="33"/>
      <c r="AA21" s="33"/>
      <c r="AB21" s="33"/>
      <c r="AC21" s="33"/>
      <c r="AD21" s="33"/>
      <c r="AE21" s="33"/>
      <c r="AF21" s="33"/>
      <c r="AG21" s="33"/>
      <c r="AH21" s="33"/>
      <c r="AI21" s="33"/>
    </row>
    <row r="22" spans="1:35" s="34" customFormat="1" ht="15" customHeight="1">
      <c r="A22" s="35"/>
      <c r="B22" s="36"/>
      <c r="C22" s="36"/>
      <c r="D22" s="36"/>
      <c r="E22" s="37"/>
      <c r="F22" s="37"/>
      <c r="G22" s="36"/>
      <c r="H22" s="36"/>
      <c r="I22" s="38"/>
      <c r="J22" s="36"/>
      <c r="K22" s="36"/>
      <c r="L22" s="38"/>
      <c r="M22" s="36"/>
      <c r="N22" s="36"/>
      <c r="O22" s="38"/>
      <c r="P22" s="36"/>
      <c r="Q22" s="36"/>
      <c r="R22" s="38"/>
      <c r="S22" s="36"/>
      <c r="T22" s="36"/>
      <c r="U22" s="36"/>
      <c r="V22" s="36"/>
      <c r="W22" s="36"/>
      <c r="X22" s="38"/>
      <c r="Y22" s="39"/>
      <c r="Z22" s="33"/>
      <c r="AA22" s="33"/>
      <c r="AB22" s="33"/>
      <c r="AC22" s="33"/>
      <c r="AD22" s="33"/>
      <c r="AE22" s="33"/>
      <c r="AF22" s="33"/>
      <c r="AG22" s="33"/>
      <c r="AH22" s="33"/>
      <c r="AI22" s="33"/>
    </row>
    <row r="23" spans="1:35" s="34" customFormat="1" ht="15" customHeight="1">
      <c r="A23" s="35"/>
      <c r="B23" s="36"/>
      <c r="C23" s="36"/>
      <c r="D23" s="36"/>
      <c r="E23" s="37"/>
      <c r="F23" s="37"/>
      <c r="G23" s="36"/>
      <c r="H23" s="36"/>
      <c r="I23" s="38"/>
      <c r="J23" s="36"/>
      <c r="K23" s="36"/>
      <c r="L23" s="38"/>
      <c r="M23" s="36"/>
      <c r="N23" s="36"/>
      <c r="O23" s="38"/>
      <c r="P23" s="36"/>
      <c r="Q23" s="36"/>
      <c r="R23" s="38"/>
      <c r="S23" s="36"/>
      <c r="T23" s="36"/>
      <c r="U23" s="36"/>
      <c r="V23" s="36"/>
      <c r="W23" s="36"/>
      <c r="X23" s="38"/>
      <c r="Y23" s="39"/>
      <c r="Z23" s="33"/>
      <c r="AA23" s="33"/>
      <c r="AB23" s="33"/>
      <c r="AC23" s="33"/>
      <c r="AD23" s="33"/>
      <c r="AE23" s="33"/>
      <c r="AF23" s="33"/>
      <c r="AG23" s="33"/>
      <c r="AH23" s="33"/>
      <c r="AI23" s="33"/>
    </row>
    <row r="24" spans="1:35" s="34" customFormat="1" ht="15" customHeight="1">
      <c r="A24" s="35"/>
      <c r="B24" s="36"/>
      <c r="C24" s="36"/>
      <c r="D24" s="36"/>
      <c r="E24" s="37"/>
      <c r="F24" s="37"/>
      <c r="G24" s="36"/>
      <c r="H24" s="36"/>
      <c r="I24" s="38"/>
      <c r="J24" s="36"/>
      <c r="K24" s="36"/>
      <c r="L24" s="38"/>
      <c r="M24" s="36"/>
      <c r="N24" s="36"/>
      <c r="O24" s="38"/>
      <c r="P24" s="36"/>
      <c r="Q24" s="36"/>
      <c r="R24" s="38"/>
      <c r="S24" s="36"/>
      <c r="T24" s="36"/>
      <c r="U24" s="36"/>
      <c r="V24" s="36"/>
      <c r="W24" s="36"/>
      <c r="X24" s="38"/>
      <c r="Y24" s="39"/>
      <c r="Z24" s="33"/>
      <c r="AA24" s="33"/>
      <c r="AB24" s="33"/>
      <c r="AC24" s="33"/>
      <c r="AD24" s="33"/>
      <c r="AE24" s="33"/>
      <c r="AF24" s="33"/>
      <c r="AG24" s="33"/>
      <c r="AH24" s="33"/>
      <c r="AI24" s="33"/>
    </row>
    <row r="25" spans="1:35" s="34" customFormat="1" ht="15" customHeight="1">
      <c r="A25" s="35"/>
      <c r="B25" s="36"/>
      <c r="C25" s="36"/>
      <c r="D25" s="36"/>
      <c r="E25" s="37"/>
      <c r="F25" s="37"/>
      <c r="G25" s="36"/>
      <c r="H25" s="36"/>
      <c r="I25" s="38"/>
      <c r="J25" s="36"/>
      <c r="K25" s="36"/>
      <c r="L25" s="38"/>
      <c r="M25" s="36"/>
      <c r="N25" s="36"/>
      <c r="O25" s="38"/>
      <c r="P25" s="36"/>
      <c r="Q25" s="36"/>
      <c r="R25" s="38"/>
      <c r="S25" s="36"/>
      <c r="T25" s="36"/>
      <c r="U25" s="36"/>
      <c r="V25" s="36"/>
      <c r="W25" s="36"/>
      <c r="X25" s="38"/>
      <c r="Y25" s="39"/>
      <c r="Z25" s="33"/>
      <c r="AA25" s="33"/>
      <c r="AB25" s="33"/>
      <c r="AC25" s="33"/>
      <c r="AD25" s="33"/>
      <c r="AE25" s="33"/>
      <c r="AF25" s="33"/>
      <c r="AG25" s="33"/>
      <c r="AH25" s="33"/>
      <c r="AI25" s="33"/>
    </row>
    <row r="26" spans="1:35" s="34" customFormat="1" ht="15" customHeight="1">
      <c r="A26" s="35"/>
      <c r="B26" s="36"/>
      <c r="C26" s="36"/>
      <c r="D26" s="36"/>
      <c r="E26" s="37"/>
      <c r="F26" s="37"/>
      <c r="G26" s="36"/>
      <c r="H26" s="36"/>
      <c r="I26" s="38"/>
      <c r="J26" s="36"/>
      <c r="K26" s="36"/>
      <c r="L26" s="38"/>
      <c r="M26" s="36"/>
      <c r="N26" s="36"/>
      <c r="O26" s="38"/>
      <c r="P26" s="36"/>
      <c r="Q26" s="36"/>
      <c r="R26" s="38"/>
      <c r="S26" s="36"/>
      <c r="T26" s="36"/>
      <c r="U26" s="36"/>
      <c r="V26" s="36"/>
      <c r="W26" s="36"/>
      <c r="X26" s="38"/>
      <c r="Y26" s="39"/>
      <c r="Z26" s="33"/>
      <c r="AA26" s="33"/>
      <c r="AB26" s="33"/>
      <c r="AC26" s="33"/>
      <c r="AD26" s="33"/>
      <c r="AE26" s="33"/>
      <c r="AF26" s="33"/>
      <c r="AG26" s="33"/>
      <c r="AH26" s="33"/>
      <c r="AI26" s="33"/>
    </row>
    <row r="27" spans="1:35" s="34" customFormat="1" ht="15" customHeight="1">
      <c r="A27" s="35"/>
      <c r="B27" s="36"/>
      <c r="C27" s="36"/>
      <c r="D27" s="36"/>
      <c r="E27" s="37"/>
      <c r="F27" s="37"/>
      <c r="G27" s="36"/>
      <c r="H27" s="36"/>
      <c r="I27" s="38"/>
      <c r="J27" s="36"/>
      <c r="K27" s="36"/>
      <c r="L27" s="38"/>
      <c r="M27" s="36"/>
      <c r="N27" s="36"/>
      <c r="O27" s="38"/>
      <c r="P27" s="36"/>
      <c r="Q27" s="36"/>
      <c r="R27" s="38"/>
      <c r="S27" s="36"/>
      <c r="T27" s="36"/>
      <c r="U27" s="36"/>
      <c r="V27" s="36"/>
      <c r="W27" s="36"/>
      <c r="X27" s="38"/>
      <c r="Y27" s="39"/>
      <c r="Z27" s="33"/>
      <c r="AA27" s="33"/>
      <c r="AB27" s="33"/>
      <c r="AC27" s="33"/>
      <c r="AD27" s="33"/>
      <c r="AE27" s="33"/>
      <c r="AF27" s="33"/>
      <c r="AG27" s="33"/>
      <c r="AH27" s="33"/>
      <c r="AI27" s="33"/>
    </row>
    <row r="28" spans="1:35" s="34" customFormat="1" ht="15" customHeight="1">
      <c r="A28" s="35"/>
      <c r="B28" s="36"/>
      <c r="C28" s="36"/>
      <c r="D28" s="36"/>
      <c r="E28" s="37"/>
      <c r="F28" s="37"/>
      <c r="G28" s="36"/>
      <c r="H28" s="36"/>
      <c r="I28" s="38"/>
      <c r="J28" s="36"/>
      <c r="K28" s="36"/>
      <c r="L28" s="38"/>
      <c r="M28" s="36"/>
      <c r="N28" s="36"/>
      <c r="O28" s="38"/>
      <c r="P28" s="36"/>
      <c r="Q28" s="36"/>
      <c r="R28" s="38"/>
      <c r="S28" s="36"/>
      <c r="T28" s="36"/>
      <c r="U28" s="36"/>
      <c r="V28" s="36"/>
      <c r="W28" s="36"/>
      <c r="X28" s="38"/>
      <c r="Y28" s="39"/>
      <c r="Z28" s="33"/>
      <c r="AA28" s="33"/>
      <c r="AB28" s="33"/>
      <c r="AC28" s="33"/>
      <c r="AD28" s="33"/>
      <c r="AE28" s="33"/>
      <c r="AF28" s="33"/>
      <c r="AG28" s="33"/>
      <c r="AH28" s="33"/>
      <c r="AI28" s="33"/>
    </row>
    <row r="29" spans="1:35" s="34" customFormat="1" ht="15" customHeight="1">
      <c r="A29" s="35"/>
      <c r="B29" s="36"/>
      <c r="C29" s="36"/>
      <c r="D29" s="36"/>
      <c r="E29" s="37"/>
      <c r="F29" s="37"/>
      <c r="G29" s="36"/>
      <c r="H29" s="36"/>
      <c r="I29" s="38"/>
      <c r="J29" s="36"/>
      <c r="K29" s="36"/>
      <c r="L29" s="38"/>
      <c r="M29" s="36"/>
      <c r="N29" s="36"/>
      <c r="O29" s="38"/>
      <c r="P29" s="36"/>
      <c r="Q29" s="36"/>
      <c r="R29" s="38"/>
      <c r="S29" s="36"/>
      <c r="T29" s="36"/>
      <c r="U29" s="36"/>
      <c r="V29" s="36"/>
      <c r="W29" s="36"/>
      <c r="X29" s="38"/>
      <c r="Y29" s="39"/>
      <c r="Z29" s="33"/>
      <c r="AA29" s="33"/>
      <c r="AB29" s="33"/>
      <c r="AC29" s="33"/>
      <c r="AD29" s="33"/>
      <c r="AE29" s="33"/>
      <c r="AF29" s="33"/>
      <c r="AG29" s="33"/>
      <c r="AH29" s="33"/>
      <c r="AI29" s="33"/>
    </row>
    <row r="30" spans="1:35" s="34" customFormat="1" ht="15" customHeight="1">
      <c r="A30" s="35"/>
      <c r="B30" s="36"/>
      <c r="C30" s="36"/>
      <c r="D30" s="36"/>
      <c r="E30" s="37"/>
      <c r="F30" s="37"/>
      <c r="G30" s="36"/>
      <c r="H30" s="36"/>
      <c r="I30" s="38"/>
      <c r="J30" s="36"/>
      <c r="K30" s="36"/>
      <c r="L30" s="38"/>
      <c r="M30" s="36"/>
      <c r="N30" s="36"/>
      <c r="O30" s="38"/>
      <c r="P30" s="36"/>
      <c r="Q30" s="36"/>
      <c r="R30" s="38"/>
      <c r="S30" s="36"/>
      <c r="T30" s="36"/>
      <c r="U30" s="36"/>
      <c r="V30" s="36"/>
      <c r="W30" s="36"/>
      <c r="X30" s="38"/>
      <c r="Y30" s="39"/>
      <c r="Z30" s="33"/>
      <c r="AA30" s="33"/>
      <c r="AB30" s="33"/>
      <c r="AC30" s="33"/>
      <c r="AD30" s="33"/>
      <c r="AE30" s="33"/>
      <c r="AF30" s="33"/>
      <c r="AG30" s="33"/>
      <c r="AH30" s="33"/>
      <c r="AI30" s="33"/>
    </row>
    <row r="31" spans="1:35" s="34" customFormat="1" ht="15" customHeight="1">
      <c r="A31" s="35"/>
      <c r="B31" s="36"/>
      <c r="C31" s="36"/>
      <c r="D31" s="36"/>
      <c r="E31" s="37"/>
      <c r="F31" s="37"/>
      <c r="G31" s="36"/>
      <c r="H31" s="36"/>
      <c r="I31" s="38"/>
      <c r="J31" s="36"/>
      <c r="K31" s="36"/>
      <c r="L31" s="38"/>
      <c r="M31" s="36"/>
      <c r="N31" s="36"/>
      <c r="O31" s="38"/>
      <c r="P31" s="36"/>
      <c r="Q31" s="36"/>
      <c r="R31" s="38"/>
      <c r="S31" s="36"/>
      <c r="T31" s="36"/>
      <c r="U31" s="36"/>
      <c r="V31" s="36"/>
      <c r="W31" s="36"/>
      <c r="X31" s="38"/>
      <c r="Y31" s="39"/>
      <c r="Z31" s="33"/>
      <c r="AA31" s="33"/>
      <c r="AB31" s="33"/>
      <c r="AC31" s="33"/>
      <c r="AD31" s="33"/>
      <c r="AE31" s="33"/>
      <c r="AF31" s="33"/>
      <c r="AG31" s="33"/>
      <c r="AH31" s="33"/>
      <c r="AI31" s="33"/>
    </row>
    <row r="32" spans="1:35" s="34" customFormat="1" ht="15" customHeight="1">
      <c r="A32" s="35"/>
      <c r="B32" s="36"/>
      <c r="C32" s="36"/>
      <c r="D32" s="36"/>
      <c r="E32" s="37"/>
      <c r="F32" s="37"/>
      <c r="G32" s="36"/>
      <c r="H32" s="36"/>
      <c r="I32" s="38"/>
      <c r="J32" s="36"/>
      <c r="K32" s="36"/>
      <c r="L32" s="38"/>
      <c r="M32" s="36"/>
      <c r="N32" s="36"/>
      <c r="O32" s="38"/>
      <c r="P32" s="36"/>
      <c r="Q32" s="36"/>
      <c r="R32" s="38"/>
      <c r="S32" s="36"/>
      <c r="T32" s="36"/>
      <c r="U32" s="36"/>
      <c r="V32" s="36"/>
      <c r="W32" s="36"/>
      <c r="X32" s="38"/>
      <c r="Y32" s="39"/>
      <c r="Z32" s="33"/>
      <c r="AA32" s="33"/>
      <c r="AB32" s="33"/>
      <c r="AC32" s="33"/>
      <c r="AD32" s="33"/>
      <c r="AE32" s="33"/>
      <c r="AF32" s="33"/>
      <c r="AG32" s="33"/>
      <c r="AH32" s="33"/>
      <c r="AI32" s="33"/>
    </row>
    <row r="33" spans="1:35" s="34" customFormat="1" ht="15" customHeight="1">
      <c r="A33" s="35"/>
      <c r="B33" s="36"/>
      <c r="C33" s="36"/>
      <c r="D33" s="36"/>
      <c r="E33" s="37"/>
      <c r="F33" s="37"/>
      <c r="G33" s="36"/>
      <c r="H33" s="36"/>
      <c r="I33" s="38"/>
      <c r="J33" s="36"/>
      <c r="K33" s="36"/>
      <c r="L33" s="38"/>
      <c r="M33" s="36"/>
      <c r="N33" s="36"/>
      <c r="O33" s="38"/>
      <c r="P33" s="36"/>
      <c r="Q33" s="36"/>
      <c r="R33" s="38"/>
      <c r="S33" s="36"/>
      <c r="T33" s="36"/>
      <c r="U33" s="36"/>
      <c r="V33" s="36"/>
      <c r="W33" s="36"/>
      <c r="X33" s="38"/>
      <c r="Y33" s="39"/>
      <c r="Z33" s="33"/>
      <c r="AA33" s="33"/>
      <c r="AB33" s="33"/>
      <c r="AC33" s="33"/>
      <c r="AD33" s="33"/>
      <c r="AE33" s="33"/>
      <c r="AF33" s="33"/>
      <c r="AG33" s="33"/>
      <c r="AH33" s="33"/>
      <c r="AI33" s="33"/>
    </row>
    <row r="34" spans="1:35" s="34" customFormat="1" ht="15" customHeight="1">
      <c r="A34" s="35"/>
      <c r="B34" s="36"/>
      <c r="C34" s="36"/>
      <c r="D34" s="36"/>
      <c r="E34" s="37"/>
      <c r="F34" s="37"/>
      <c r="G34" s="36"/>
      <c r="H34" s="36"/>
      <c r="I34" s="38"/>
      <c r="J34" s="36"/>
      <c r="K34" s="36"/>
      <c r="L34" s="38"/>
      <c r="M34" s="36"/>
      <c r="N34" s="36"/>
      <c r="O34" s="38"/>
      <c r="P34" s="36"/>
      <c r="Q34" s="36"/>
      <c r="R34" s="38"/>
      <c r="S34" s="36"/>
      <c r="T34" s="36"/>
      <c r="U34" s="36"/>
      <c r="V34" s="36"/>
      <c r="W34" s="36"/>
      <c r="X34" s="38"/>
      <c r="Y34" s="39"/>
      <c r="Z34" s="33"/>
      <c r="AA34" s="33"/>
      <c r="AB34" s="33"/>
      <c r="AC34" s="33"/>
      <c r="AD34" s="33"/>
      <c r="AE34" s="33"/>
      <c r="AF34" s="33"/>
      <c r="AG34" s="33"/>
      <c r="AH34" s="33"/>
      <c r="AI34" s="33"/>
    </row>
    <row r="35" spans="1:35" s="34" customFormat="1" ht="15" customHeight="1">
      <c r="A35" s="35"/>
      <c r="B35" s="36"/>
      <c r="C35" s="36"/>
      <c r="D35" s="36"/>
      <c r="E35" s="37"/>
      <c r="F35" s="37"/>
      <c r="G35" s="36"/>
      <c r="H35" s="36"/>
      <c r="I35" s="38"/>
      <c r="J35" s="36"/>
      <c r="K35" s="36"/>
      <c r="L35" s="38"/>
      <c r="M35" s="36"/>
      <c r="N35" s="36"/>
      <c r="O35" s="38"/>
      <c r="P35" s="36"/>
      <c r="Q35" s="36"/>
      <c r="R35" s="38"/>
      <c r="S35" s="36"/>
      <c r="T35" s="36"/>
      <c r="U35" s="36"/>
      <c r="V35" s="36"/>
      <c r="W35" s="36"/>
      <c r="X35" s="38"/>
      <c r="Y35" s="39"/>
      <c r="Z35" s="33"/>
      <c r="AA35" s="33"/>
      <c r="AB35" s="33"/>
      <c r="AC35" s="33"/>
      <c r="AD35" s="33"/>
      <c r="AE35" s="33"/>
      <c r="AF35" s="33"/>
      <c r="AG35" s="33"/>
      <c r="AH35" s="33"/>
      <c r="AI35" s="33"/>
    </row>
    <row r="36" spans="1:35" s="34" customFormat="1" ht="15" customHeight="1">
      <c r="A36" s="35"/>
      <c r="B36" s="36"/>
      <c r="C36" s="36"/>
      <c r="D36" s="36"/>
      <c r="E36" s="37"/>
      <c r="F36" s="37"/>
      <c r="G36" s="36"/>
      <c r="H36" s="36"/>
      <c r="I36" s="38"/>
      <c r="J36" s="36"/>
      <c r="K36" s="36"/>
      <c r="L36" s="38"/>
      <c r="M36" s="36"/>
      <c r="N36" s="36"/>
      <c r="O36" s="38"/>
      <c r="P36" s="36"/>
      <c r="Q36" s="36"/>
      <c r="R36" s="38"/>
      <c r="S36" s="36"/>
      <c r="T36" s="36"/>
      <c r="U36" s="36"/>
      <c r="V36" s="36"/>
      <c r="W36" s="36"/>
      <c r="X36" s="38"/>
      <c r="Y36" s="39"/>
      <c r="Z36" s="33"/>
      <c r="AA36" s="33"/>
      <c r="AB36" s="33"/>
      <c r="AC36" s="33"/>
      <c r="AD36" s="33"/>
      <c r="AE36" s="33"/>
      <c r="AF36" s="33"/>
      <c r="AG36" s="33"/>
      <c r="AH36" s="33"/>
      <c r="AI36" s="33"/>
    </row>
    <row r="37" spans="1:35" s="34" customFormat="1" ht="15" customHeight="1">
      <c r="A37" s="35"/>
      <c r="B37" s="36"/>
      <c r="C37" s="36"/>
      <c r="D37" s="36"/>
      <c r="E37" s="37"/>
      <c r="F37" s="37"/>
      <c r="G37" s="36"/>
      <c r="H37" s="36"/>
      <c r="I37" s="38"/>
      <c r="J37" s="36"/>
      <c r="K37" s="36"/>
      <c r="L37" s="38"/>
      <c r="M37" s="36"/>
      <c r="N37" s="36"/>
      <c r="O37" s="38"/>
      <c r="P37" s="36"/>
      <c r="Q37" s="36"/>
      <c r="R37" s="38"/>
      <c r="S37" s="36"/>
      <c r="T37" s="36"/>
      <c r="U37" s="36"/>
      <c r="V37" s="36"/>
      <c r="W37" s="36"/>
      <c r="X37" s="38"/>
      <c r="Y37" s="39"/>
      <c r="Z37" s="33"/>
      <c r="AA37" s="33"/>
      <c r="AB37" s="33"/>
      <c r="AC37" s="33"/>
      <c r="AD37" s="33"/>
      <c r="AE37" s="33"/>
      <c r="AF37" s="33"/>
      <c r="AG37" s="33"/>
      <c r="AH37" s="33"/>
      <c r="AI37" s="33"/>
    </row>
    <row r="38" spans="1:35" s="34" customFormat="1" ht="15" customHeight="1">
      <c r="A38" s="157"/>
      <c r="B38" s="158"/>
      <c r="C38" s="158"/>
      <c r="D38" s="158"/>
      <c r="E38" s="159"/>
      <c r="F38" s="159"/>
      <c r="G38" s="158"/>
      <c r="H38" s="158"/>
      <c r="I38" s="160"/>
      <c r="J38" s="158"/>
      <c r="K38" s="158"/>
      <c r="L38" s="160"/>
      <c r="M38" s="158"/>
      <c r="N38" s="158"/>
      <c r="O38" s="160"/>
      <c r="P38" s="158"/>
      <c r="Q38" s="158"/>
      <c r="R38" s="160"/>
      <c r="S38" s="158"/>
      <c r="T38" s="158"/>
      <c r="U38" s="158"/>
      <c r="V38" s="158"/>
      <c r="W38" s="158"/>
      <c r="X38" s="160"/>
      <c r="Y38" s="161"/>
      <c r="Z38" s="33"/>
      <c r="AA38" s="33"/>
      <c r="AB38" s="33"/>
      <c r="AC38" s="33"/>
      <c r="AD38" s="33"/>
      <c r="AE38" s="33"/>
      <c r="AF38" s="33"/>
      <c r="AG38" s="33"/>
      <c r="AH38" s="33"/>
      <c r="AI38" s="33"/>
    </row>
    <row r="39" spans="1:35" s="34" customFormat="1" ht="15" customHeight="1">
      <c r="A39" s="36"/>
      <c r="B39" s="36"/>
      <c r="C39" s="36"/>
      <c r="D39" s="36"/>
      <c r="E39" s="37"/>
      <c r="F39" s="37"/>
      <c r="G39" s="36"/>
      <c r="H39" s="36"/>
      <c r="I39" s="38"/>
      <c r="J39" s="36"/>
      <c r="K39" s="36"/>
      <c r="L39" s="38"/>
      <c r="M39" s="36"/>
      <c r="N39" s="36"/>
      <c r="O39" s="38"/>
      <c r="P39" s="36"/>
      <c r="Q39" s="36"/>
      <c r="R39" s="38"/>
      <c r="S39" s="36"/>
      <c r="T39" s="36"/>
      <c r="U39" s="36"/>
      <c r="V39" s="36"/>
      <c r="W39" s="36"/>
      <c r="X39" s="38"/>
      <c r="Y39" s="36"/>
      <c r="Z39" s="33"/>
      <c r="AA39" s="33"/>
      <c r="AB39" s="33"/>
      <c r="AC39" s="33"/>
      <c r="AD39" s="33"/>
      <c r="AE39" s="33"/>
      <c r="AF39" s="33"/>
      <c r="AG39" s="33"/>
      <c r="AH39" s="33"/>
      <c r="AI39" s="33"/>
    </row>
    <row r="40" spans="1:35" s="34" customFormat="1" ht="15" customHeight="1">
      <c r="A40" s="35"/>
      <c r="B40" s="36"/>
      <c r="C40" s="36"/>
      <c r="D40" s="36"/>
      <c r="E40" s="37"/>
      <c r="F40" s="37"/>
      <c r="G40" s="36"/>
      <c r="H40" s="36"/>
      <c r="I40" s="38"/>
      <c r="J40" s="36"/>
      <c r="K40" s="36"/>
      <c r="L40" s="38"/>
      <c r="M40" s="36"/>
      <c r="N40" s="36"/>
      <c r="O40" s="38"/>
      <c r="P40" s="36"/>
      <c r="Q40" s="36"/>
      <c r="R40" s="38"/>
      <c r="S40" s="36"/>
      <c r="T40" s="36"/>
      <c r="U40" s="36"/>
      <c r="V40" s="36"/>
      <c r="W40" s="36"/>
      <c r="X40" s="38"/>
      <c r="Y40" s="36"/>
      <c r="Z40" s="33"/>
      <c r="AA40" s="33"/>
      <c r="AB40" s="33"/>
      <c r="AC40" s="33"/>
      <c r="AD40" s="33"/>
      <c r="AE40" s="33"/>
      <c r="AF40" s="33"/>
      <c r="AG40" s="33"/>
      <c r="AH40" s="33"/>
      <c r="AI40" s="33"/>
    </row>
    <row r="41" spans="1:35" s="34" customFormat="1" ht="15" customHeight="1">
      <c r="A41" s="36"/>
      <c r="B41" s="36"/>
      <c r="C41" s="36"/>
      <c r="D41" s="36"/>
      <c r="E41" s="37"/>
      <c r="F41" s="37"/>
      <c r="G41" s="36"/>
      <c r="H41" s="36"/>
      <c r="I41" s="38"/>
      <c r="J41" s="36"/>
      <c r="K41" s="36"/>
      <c r="L41" s="38"/>
      <c r="M41" s="36"/>
      <c r="N41" s="36"/>
      <c r="O41" s="38"/>
      <c r="P41" s="36"/>
      <c r="Q41" s="36"/>
      <c r="R41" s="38"/>
      <c r="S41" s="36"/>
      <c r="T41" s="36"/>
      <c r="U41" s="36"/>
      <c r="V41" s="36"/>
      <c r="W41" s="36"/>
      <c r="X41" s="38"/>
      <c r="Y41" s="36"/>
      <c r="Z41" s="33"/>
      <c r="AA41" s="33"/>
      <c r="AB41" s="33"/>
      <c r="AC41" s="33"/>
      <c r="AD41" s="33"/>
      <c r="AE41" s="33"/>
      <c r="AF41" s="33"/>
      <c r="AG41" s="33"/>
      <c r="AH41" s="33"/>
      <c r="AI41" s="33"/>
    </row>
    <row r="57" spans="5:9" ht="35.1" customHeight="1">
      <c r="E57" s="147"/>
      <c r="F57" s="147"/>
      <c r="G57" s="147"/>
      <c r="H57" s="147"/>
      <c r="I57" s="147"/>
    </row>
    <row r="16370" spans="26:30">
      <c r="Z16370" s="29">
        <v>24.446999999999999</v>
      </c>
      <c r="AB16370" s="29">
        <v>1.6</v>
      </c>
      <c r="AC16370" s="29">
        <v>1.5269999999999999</v>
      </c>
      <c r="AD16370" s="29">
        <v>72</v>
      </c>
    </row>
    <row r="16371" spans="26:30">
      <c r="Z16371" s="29">
        <v>17.547999999999998</v>
      </c>
      <c r="AB16371" s="29">
        <v>1.629</v>
      </c>
      <c r="AC16371" s="29">
        <v>73</v>
      </c>
      <c r="AD16371" s="29">
        <v>24.443999999999999</v>
      </c>
    </row>
    <row r="16372" spans="26:30">
      <c r="Z16372" s="29">
        <v>1.645</v>
      </c>
      <c r="AB16372" s="29">
        <v>72</v>
      </c>
      <c r="AC16372" s="29">
        <v>24.393000000000001</v>
      </c>
      <c r="AD16372" s="29">
        <v>17.591000000000001</v>
      </c>
    </row>
    <row r="16373" spans="26:30">
      <c r="Z16373" s="29">
        <v>1.579</v>
      </c>
      <c r="AB16373" s="29">
        <v>24.516999999999999</v>
      </c>
      <c r="AC16373" s="29">
        <v>17.501999999999999</v>
      </c>
    </row>
    <row r="16374" spans="26:30">
      <c r="Z16374" s="29">
        <v>73</v>
      </c>
      <c r="AB16374" s="29">
        <v>17.587</v>
      </c>
      <c r="AC16374" s="29">
        <v>1.5840000000000001</v>
      </c>
    </row>
    <row r="16375" spans="26:30">
      <c r="Z16375" s="29">
        <v>1.613</v>
      </c>
      <c r="AB16375" s="29">
        <v>1.4830000000000001</v>
      </c>
      <c r="AC16375" s="29">
        <v>1.5509999999999999</v>
      </c>
    </row>
    <row r="16376" spans="26:30">
      <c r="Z16376" s="29">
        <v>72</v>
      </c>
    </row>
    <row r="16377" spans="26:30">
      <c r="Z16377" s="29">
        <v>24.47</v>
      </c>
    </row>
    <row r="16378" spans="26:30">
      <c r="Z16378" s="29">
        <v>17.536000000000001</v>
      </c>
    </row>
    <row r="16379" spans="26:30">
      <c r="Z16379" s="29">
        <v>1.5860000000000001</v>
      </c>
    </row>
    <row r="16380" spans="26:30">
      <c r="Z16380" s="29">
        <v>1.552</v>
      </c>
    </row>
    <row r="16381" spans="26:30">
      <c r="Z16381" s="29">
        <v>70</v>
      </c>
    </row>
    <row r="16382" spans="26:30">
      <c r="Z16382" s="29">
        <v>24.384</v>
      </c>
    </row>
    <row r="16383" spans="26:30">
      <c r="Z16383" s="29">
        <v>72</v>
      </c>
    </row>
  </sheetData>
  <mergeCells count="3">
    <mergeCell ref="A5:Y5"/>
    <mergeCell ref="A2:Y2"/>
    <mergeCell ref="A3:Y3"/>
  </mergeCells>
  <printOptions horizontalCentered="1"/>
  <pageMargins left="0.35433070866141736" right="0.19685039370078741" top="0.19685039370078741" bottom="0.19685039370078741" header="0" footer="0"/>
  <pageSetup paperSize="9" fitToHeight="0" pageOrder="overThenDown" orientation="landscape" r:id="rId1"/>
  <headerFooter alignWithMargins="0">
    <oddFooter>&amp;RPage &amp;P/&amp;N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AJ16374"/>
  <sheetViews>
    <sheetView zoomScale="85" zoomScaleNormal="85" workbookViewId="0">
      <selection activeCell="A2" sqref="A2:O2"/>
    </sheetView>
  </sheetViews>
  <sheetFormatPr baseColWidth="10" defaultRowHeight="12.75"/>
  <cols>
    <col min="1" max="11" width="6.7109375" style="28" customWidth="1"/>
    <col min="12" max="12" width="5.7109375" style="28" customWidth="1"/>
    <col min="13" max="14" width="6.7109375" style="28" customWidth="1"/>
    <col min="15" max="15" width="5.7109375" style="28" customWidth="1"/>
    <col min="16" max="19" width="6.7109375" style="28" customWidth="1"/>
    <col min="20" max="20" width="5.7109375" style="28" customWidth="1"/>
    <col min="21" max="21" width="6.7109375" style="28" customWidth="1"/>
    <col min="22" max="31" width="3.7109375" style="29" customWidth="1"/>
    <col min="32" max="16384" width="11.42578125" style="28"/>
  </cols>
  <sheetData>
    <row r="1" spans="1:36" s="147" customFormat="1" ht="18" customHeight="1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87"/>
      <c r="Q1" s="187"/>
      <c r="R1" s="187"/>
      <c r="S1" s="187"/>
      <c r="T1" s="187"/>
      <c r="U1" s="187"/>
    </row>
    <row r="2" spans="1:36" s="147" customFormat="1" ht="18" customHeight="1">
      <c r="A2" s="247" t="s">
        <v>33</v>
      </c>
      <c r="B2" s="247"/>
      <c r="C2" s="247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188"/>
      <c r="Q2" s="188"/>
      <c r="R2" s="188"/>
      <c r="S2" s="188"/>
      <c r="T2" s="188"/>
      <c r="U2" s="188"/>
      <c r="AG2" s="148" t="s">
        <v>147</v>
      </c>
      <c r="AH2" s="148"/>
      <c r="AI2" s="148"/>
      <c r="AJ2" s="149"/>
    </row>
    <row r="3" spans="1:36" s="147" customFormat="1" ht="18" customHeight="1">
      <c r="A3" s="232" t="str">
        <f>'Rapport d''essai dimensionnel'!A14</f>
        <v xml:space="preserve">N° </v>
      </c>
      <c r="B3" s="232"/>
      <c r="C3" s="232"/>
      <c r="D3" s="232"/>
      <c r="E3" s="232"/>
      <c r="F3" s="232"/>
      <c r="G3" s="232"/>
      <c r="H3" s="232"/>
      <c r="I3" s="232"/>
      <c r="J3" s="232"/>
      <c r="K3" s="232"/>
      <c r="L3" s="232"/>
      <c r="M3" s="232"/>
      <c r="N3" s="232"/>
      <c r="O3" s="232"/>
      <c r="P3" s="188"/>
      <c r="Q3" s="188"/>
      <c r="R3" s="188"/>
      <c r="S3" s="188"/>
      <c r="T3" s="188"/>
      <c r="U3" s="188"/>
      <c r="AG3" s="148"/>
      <c r="AH3" s="148"/>
      <c r="AI3" s="148"/>
      <c r="AJ3" s="149"/>
    </row>
    <row r="4" spans="1:36" ht="18" customHeight="1">
      <c r="N4" s="189"/>
      <c r="O4" s="189"/>
      <c r="P4" s="189"/>
      <c r="Q4" s="189"/>
      <c r="R4" s="189"/>
      <c r="S4" s="189"/>
      <c r="T4" s="189"/>
      <c r="U4" s="189"/>
      <c r="V4" s="31"/>
      <c r="W4" s="31"/>
      <c r="X4" s="32"/>
      <c r="Y4" s="32"/>
      <c r="Z4" s="28"/>
      <c r="AA4" s="28"/>
      <c r="AB4" s="28"/>
      <c r="AC4" s="28"/>
      <c r="AD4" s="28"/>
      <c r="AE4" s="28"/>
    </row>
    <row r="5" spans="1:36" ht="16.5" customHeight="1">
      <c r="A5" s="248" t="s">
        <v>51</v>
      </c>
      <c r="B5" s="249"/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50"/>
      <c r="P5" s="190"/>
      <c r="Q5" s="190"/>
      <c r="R5" s="190"/>
      <c r="S5" s="190"/>
      <c r="T5" s="190"/>
      <c r="U5" s="190"/>
      <c r="V5" s="31"/>
      <c r="W5" s="31"/>
      <c r="X5" s="31"/>
      <c r="Y5" s="32"/>
      <c r="Z5" s="32"/>
      <c r="AA5" s="28"/>
      <c r="AB5" s="28"/>
      <c r="AC5" s="28"/>
      <c r="AD5" s="28"/>
      <c r="AE5" s="28"/>
    </row>
    <row r="6" spans="1:36" s="34" customFormat="1" ht="15" customHeight="1">
      <c r="A6" s="242"/>
      <c r="B6" s="243"/>
      <c r="C6" s="243"/>
      <c r="D6" s="243"/>
      <c r="E6" s="243"/>
      <c r="F6" s="243"/>
      <c r="G6" s="243"/>
      <c r="H6" s="243"/>
      <c r="I6" s="243"/>
      <c r="J6" s="243"/>
      <c r="K6" s="243"/>
      <c r="L6" s="243"/>
      <c r="M6" s="243"/>
      <c r="N6" s="243"/>
      <c r="O6" s="244"/>
      <c r="P6" s="36"/>
      <c r="Q6" s="36"/>
      <c r="R6" s="36"/>
      <c r="S6" s="36"/>
      <c r="T6" s="38"/>
      <c r="U6" s="36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7" spans="1:36" s="34" customFormat="1" ht="15" customHeight="1">
      <c r="A7" s="35"/>
      <c r="B7" s="36"/>
      <c r="C7" s="36"/>
      <c r="D7" s="36"/>
      <c r="E7" s="37"/>
      <c r="F7" s="37"/>
      <c r="G7" s="36"/>
      <c r="H7" s="36"/>
      <c r="I7" s="38"/>
      <c r="J7" s="36"/>
      <c r="K7" s="36"/>
      <c r="L7" s="38"/>
      <c r="M7" s="36"/>
      <c r="N7" s="36"/>
      <c r="O7" s="204"/>
      <c r="P7" s="36"/>
      <c r="Q7" s="36"/>
      <c r="R7" s="36"/>
      <c r="S7" s="36"/>
      <c r="T7" s="38"/>
      <c r="U7" s="36"/>
      <c r="V7" s="33"/>
      <c r="W7" s="33"/>
      <c r="X7" s="33"/>
      <c r="Y7" s="33"/>
      <c r="Z7" s="33"/>
      <c r="AA7" s="33"/>
      <c r="AB7" s="33"/>
      <c r="AC7" s="33"/>
      <c r="AD7" s="33"/>
      <c r="AE7" s="33"/>
    </row>
    <row r="8" spans="1:36" s="34" customFormat="1" ht="15" customHeight="1">
      <c r="A8" s="35"/>
      <c r="B8" s="36"/>
      <c r="C8" s="36"/>
      <c r="D8" s="36"/>
      <c r="E8" s="37"/>
      <c r="F8" s="37"/>
      <c r="G8" s="36"/>
      <c r="H8" s="36"/>
      <c r="I8" s="38"/>
      <c r="J8" s="36"/>
      <c r="K8" s="36"/>
      <c r="L8" s="38"/>
      <c r="M8" s="36"/>
      <c r="N8" s="36"/>
      <c r="O8" s="204"/>
      <c r="P8" s="36"/>
      <c r="Q8" s="36"/>
      <c r="R8" s="36"/>
      <c r="S8" s="36"/>
      <c r="T8" s="38"/>
      <c r="U8" s="36"/>
      <c r="V8" s="33"/>
      <c r="W8" s="33"/>
      <c r="X8" s="33"/>
      <c r="Y8" s="33"/>
      <c r="Z8" s="33"/>
      <c r="AA8" s="33"/>
      <c r="AB8" s="33"/>
      <c r="AC8" s="33"/>
      <c r="AD8" s="33"/>
      <c r="AE8" s="33"/>
    </row>
    <row r="9" spans="1:36" s="34" customFormat="1" ht="15" customHeight="1">
      <c r="A9" s="35"/>
      <c r="B9" s="36"/>
      <c r="C9" s="36"/>
      <c r="D9" s="36"/>
      <c r="E9" s="37"/>
      <c r="F9" s="37"/>
      <c r="G9" s="36"/>
      <c r="H9" s="36"/>
      <c r="I9" s="38"/>
      <c r="J9" s="36"/>
      <c r="K9" s="36"/>
      <c r="L9" s="38"/>
      <c r="M9" s="36"/>
      <c r="N9" s="36"/>
      <c r="O9" s="204"/>
      <c r="P9" s="36"/>
      <c r="Q9" s="36"/>
      <c r="R9" s="36"/>
      <c r="S9" s="36"/>
      <c r="T9" s="38"/>
      <c r="U9" s="36"/>
      <c r="V9" s="33"/>
      <c r="W9" s="33"/>
      <c r="X9" s="33"/>
      <c r="Y9" s="33"/>
      <c r="Z9" s="33"/>
      <c r="AA9" s="33"/>
      <c r="AB9" s="33"/>
      <c r="AC9" s="33"/>
      <c r="AD9" s="33"/>
      <c r="AE9" s="33"/>
    </row>
    <row r="10" spans="1:36" s="34" customFormat="1" ht="15" customHeight="1">
      <c r="A10" s="35"/>
      <c r="B10" s="36"/>
      <c r="C10" s="36"/>
      <c r="D10" s="36"/>
      <c r="E10" s="37"/>
      <c r="F10" s="37"/>
      <c r="G10" s="36"/>
      <c r="H10" s="36"/>
      <c r="I10" s="38"/>
      <c r="J10" s="36"/>
      <c r="K10" s="36"/>
      <c r="L10" s="38"/>
      <c r="M10" s="36"/>
      <c r="N10" s="36"/>
      <c r="O10" s="204"/>
      <c r="P10" s="36"/>
      <c r="Q10" s="36"/>
      <c r="R10" s="36"/>
      <c r="S10" s="36"/>
      <c r="T10" s="38"/>
      <c r="U10" s="36"/>
      <c r="V10" s="33"/>
      <c r="W10" s="33"/>
      <c r="X10" s="33"/>
      <c r="Y10" s="33"/>
      <c r="Z10" s="33"/>
      <c r="AA10" s="33"/>
      <c r="AB10" s="33"/>
      <c r="AC10" s="33"/>
      <c r="AD10" s="33"/>
      <c r="AE10" s="33"/>
    </row>
    <row r="11" spans="1:36" s="34" customFormat="1" ht="15" customHeight="1">
      <c r="A11" s="35"/>
      <c r="B11" s="36"/>
      <c r="C11" s="36"/>
      <c r="D11" s="36"/>
      <c r="E11" s="37"/>
      <c r="F11" s="37"/>
      <c r="G11" s="36"/>
      <c r="H11" s="36"/>
      <c r="I11" s="38"/>
      <c r="J11" s="36"/>
      <c r="K11" s="36"/>
      <c r="L11" s="38"/>
      <c r="M11" s="36"/>
      <c r="N11" s="36"/>
      <c r="O11" s="204"/>
      <c r="P11" s="36"/>
      <c r="Q11" s="36"/>
      <c r="R11" s="36"/>
      <c r="S11" s="36"/>
      <c r="T11" s="38"/>
      <c r="U11" s="36"/>
      <c r="V11" s="33"/>
      <c r="W11" s="33"/>
      <c r="X11" s="33"/>
      <c r="Y11" s="33"/>
      <c r="Z11" s="33"/>
      <c r="AA11" s="33"/>
      <c r="AB11" s="33"/>
      <c r="AC11" s="33"/>
      <c r="AD11" s="33"/>
      <c r="AE11" s="33"/>
    </row>
    <row r="12" spans="1:36" s="34" customFormat="1" ht="15" customHeight="1">
      <c r="A12" s="35"/>
      <c r="B12" s="36"/>
      <c r="C12" s="36"/>
      <c r="D12" s="36"/>
      <c r="E12" s="37"/>
      <c r="F12" s="37"/>
      <c r="G12" s="36"/>
      <c r="H12" s="36"/>
      <c r="I12" s="38"/>
      <c r="J12" s="36"/>
      <c r="K12" s="36"/>
      <c r="L12" s="38"/>
      <c r="M12" s="36"/>
      <c r="N12" s="36"/>
      <c r="O12" s="204"/>
      <c r="P12" s="36"/>
      <c r="Q12" s="36"/>
      <c r="R12" s="36"/>
      <c r="S12" s="36"/>
      <c r="T12" s="38"/>
      <c r="U12" s="36"/>
      <c r="V12" s="33"/>
      <c r="W12" s="33"/>
      <c r="X12" s="33"/>
      <c r="Y12" s="33"/>
      <c r="Z12" s="33"/>
      <c r="AA12" s="33"/>
      <c r="AB12" s="33"/>
      <c r="AC12" s="33"/>
      <c r="AD12" s="33"/>
      <c r="AE12" s="33"/>
    </row>
    <row r="13" spans="1:36" s="34" customFormat="1" ht="15" customHeight="1">
      <c r="A13" s="35"/>
      <c r="B13" s="36"/>
      <c r="C13" s="36"/>
      <c r="D13" s="36"/>
      <c r="E13" s="37"/>
      <c r="F13" s="37"/>
      <c r="G13" s="36"/>
      <c r="H13" s="36"/>
      <c r="I13" s="38"/>
      <c r="J13" s="36"/>
      <c r="K13" s="36"/>
      <c r="L13" s="38"/>
      <c r="M13" s="36"/>
      <c r="N13" s="36"/>
      <c r="O13" s="204"/>
      <c r="P13" s="36"/>
      <c r="Q13" s="36"/>
      <c r="R13" s="36"/>
      <c r="S13" s="36"/>
      <c r="T13" s="38"/>
      <c r="U13" s="36"/>
      <c r="V13" s="33"/>
      <c r="W13" s="33"/>
      <c r="X13" s="33"/>
      <c r="Y13" s="33"/>
      <c r="Z13" s="33"/>
      <c r="AA13" s="33"/>
      <c r="AB13" s="33"/>
      <c r="AC13" s="33"/>
      <c r="AD13" s="33"/>
      <c r="AE13" s="33"/>
    </row>
    <row r="14" spans="1:36" s="34" customFormat="1" ht="15" customHeight="1">
      <c r="A14" s="35"/>
      <c r="B14" s="36"/>
      <c r="C14" s="36"/>
      <c r="D14" s="36"/>
      <c r="E14" s="37"/>
      <c r="F14" s="37"/>
      <c r="G14" s="36"/>
      <c r="H14" s="36"/>
      <c r="I14" s="38"/>
      <c r="J14" s="36"/>
      <c r="K14" s="36"/>
      <c r="L14" s="38"/>
      <c r="M14" s="36"/>
      <c r="N14" s="36"/>
      <c r="O14" s="204"/>
      <c r="P14" s="36"/>
      <c r="Q14" s="36"/>
      <c r="R14" s="36"/>
      <c r="S14" s="36"/>
      <c r="T14" s="38"/>
      <c r="U14" s="36"/>
      <c r="V14" s="33"/>
      <c r="W14" s="33"/>
      <c r="X14" s="33"/>
      <c r="Y14" s="33"/>
      <c r="Z14" s="33"/>
      <c r="AA14" s="33"/>
      <c r="AB14" s="33"/>
      <c r="AC14" s="33"/>
      <c r="AD14" s="33"/>
      <c r="AE14" s="33"/>
    </row>
    <row r="15" spans="1:36" s="34" customFormat="1" ht="15" customHeight="1">
      <c r="A15" s="35"/>
      <c r="B15" s="36"/>
      <c r="C15" s="36"/>
      <c r="D15" s="36"/>
      <c r="E15" s="37"/>
      <c r="F15" s="37"/>
      <c r="G15" s="36"/>
      <c r="H15" s="36"/>
      <c r="I15" s="38"/>
      <c r="J15" s="36"/>
      <c r="K15" s="36"/>
      <c r="L15" s="38"/>
      <c r="M15" s="36"/>
      <c r="N15" s="36"/>
      <c r="O15" s="204"/>
      <c r="P15" s="36"/>
      <c r="Q15" s="36"/>
      <c r="R15" s="36"/>
      <c r="S15" s="36"/>
      <c r="T15" s="38"/>
      <c r="U15" s="36"/>
      <c r="V15" s="33"/>
      <c r="W15" s="33"/>
      <c r="X15" s="33"/>
      <c r="Y15" s="33"/>
      <c r="Z15" s="33"/>
      <c r="AA15" s="33"/>
      <c r="AB15" s="33"/>
      <c r="AC15" s="33"/>
      <c r="AD15" s="33"/>
      <c r="AE15" s="33"/>
    </row>
    <row r="16" spans="1:36" s="34" customFormat="1" ht="15" customHeight="1">
      <c r="A16" s="35"/>
      <c r="B16" s="36"/>
      <c r="C16" s="36"/>
      <c r="D16" s="36"/>
      <c r="E16" s="37"/>
      <c r="F16" s="37"/>
      <c r="G16" s="36"/>
      <c r="H16" s="36"/>
      <c r="I16" s="38"/>
      <c r="J16" s="36"/>
      <c r="K16" s="36"/>
      <c r="L16" s="38"/>
      <c r="M16" s="36"/>
      <c r="N16" s="36"/>
      <c r="O16" s="204"/>
      <c r="P16" s="36"/>
      <c r="Q16" s="36"/>
      <c r="R16" s="36"/>
      <c r="S16" s="36"/>
      <c r="T16" s="38"/>
      <c r="U16" s="36"/>
      <c r="V16" s="33"/>
      <c r="W16" s="33"/>
      <c r="X16" s="33"/>
      <c r="Y16" s="33"/>
      <c r="Z16" s="33"/>
      <c r="AA16" s="33"/>
      <c r="AB16" s="33"/>
      <c r="AC16" s="33"/>
      <c r="AD16" s="33"/>
      <c r="AE16" s="33"/>
    </row>
    <row r="17" spans="1:31" s="34" customFormat="1" ht="15" customHeight="1">
      <c r="A17" s="35"/>
      <c r="B17" s="36"/>
      <c r="C17" s="36"/>
      <c r="D17" s="36"/>
      <c r="E17" s="37"/>
      <c r="F17" s="37"/>
      <c r="G17" s="36"/>
      <c r="H17" s="36"/>
      <c r="I17" s="38"/>
      <c r="J17" s="36"/>
      <c r="K17" s="36"/>
      <c r="L17" s="38"/>
      <c r="M17" s="36"/>
      <c r="N17" s="36"/>
      <c r="O17" s="204"/>
      <c r="P17" s="36"/>
      <c r="Q17" s="36"/>
      <c r="R17" s="36"/>
      <c r="S17" s="36"/>
      <c r="T17" s="38"/>
      <c r="U17" s="36"/>
      <c r="V17" s="33"/>
      <c r="W17" s="33"/>
      <c r="X17" s="33"/>
      <c r="Y17" s="33"/>
      <c r="Z17" s="33"/>
      <c r="AA17" s="33"/>
      <c r="AB17" s="33"/>
      <c r="AC17" s="33"/>
      <c r="AD17" s="33"/>
      <c r="AE17" s="33"/>
    </row>
    <row r="18" spans="1:31" s="34" customFormat="1" ht="15" customHeight="1">
      <c r="A18" s="35"/>
      <c r="B18" s="36"/>
      <c r="C18" s="36"/>
      <c r="D18" s="36"/>
      <c r="E18" s="37"/>
      <c r="F18" s="37"/>
      <c r="G18" s="36"/>
      <c r="H18" s="36"/>
      <c r="I18" s="38"/>
      <c r="J18" s="36"/>
      <c r="K18" s="36"/>
      <c r="L18" s="38"/>
      <c r="M18" s="36"/>
      <c r="N18" s="36"/>
      <c r="O18" s="204"/>
      <c r="P18" s="36"/>
      <c r="Q18" s="36"/>
      <c r="R18" s="36"/>
      <c r="S18" s="36"/>
      <c r="T18" s="38"/>
      <c r="U18" s="36"/>
      <c r="V18" s="33"/>
      <c r="W18" s="33"/>
      <c r="X18" s="33"/>
      <c r="Y18" s="33"/>
      <c r="Z18" s="33"/>
      <c r="AA18" s="33"/>
      <c r="AB18" s="33"/>
      <c r="AC18" s="33"/>
      <c r="AD18" s="33"/>
      <c r="AE18" s="33"/>
    </row>
    <row r="19" spans="1:31" s="34" customFormat="1" ht="15" customHeight="1">
      <c r="A19" s="35"/>
      <c r="B19" s="36"/>
      <c r="C19" s="36"/>
      <c r="D19" s="36"/>
      <c r="E19" s="37"/>
      <c r="F19" s="37"/>
      <c r="G19" s="36"/>
      <c r="H19" s="36"/>
      <c r="I19" s="38"/>
      <c r="J19" s="36"/>
      <c r="K19" s="36"/>
      <c r="L19" s="38"/>
      <c r="M19" s="36"/>
      <c r="N19" s="36"/>
      <c r="O19" s="204"/>
      <c r="P19" s="36"/>
      <c r="Q19" s="36"/>
      <c r="R19" s="36"/>
      <c r="S19" s="36"/>
      <c r="T19" s="38"/>
      <c r="U19" s="36"/>
      <c r="V19" s="33"/>
      <c r="W19" s="33"/>
      <c r="X19" s="33"/>
      <c r="Y19" s="33"/>
      <c r="Z19" s="33"/>
      <c r="AA19" s="33"/>
      <c r="AB19" s="33"/>
      <c r="AC19" s="33"/>
      <c r="AD19" s="33"/>
      <c r="AE19" s="33"/>
    </row>
    <row r="20" spans="1:31" s="34" customFormat="1" ht="15" customHeight="1">
      <c r="A20" s="35"/>
      <c r="B20" s="36"/>
      <c r="C20" s="36"/>
      <c r="D20" s="36"/>
      <c r="E20" s="37"/>
      <c r="F20" s="37"/>
      <c r="G20" s="36"/>
      <c r="H20" s="36"/>
      <c r="I20" s="38"/>
      <c r="J20" s="36"/>
      <c r="K20" s="36"/>
      <c r="L20" s="38"/>
      <c r="M20" s="36"/>
      <c r="N20" s="36"/>
      <c r="O20" s="204"/>
      <c r="P20" s="36"/>
      <c r="Q20" s="36"/>
      <c r="R20" s="36"/>
      <c r="S20" s="36"/>
      <c r="T20" s="38"/>
      <c r="U20" s="36"/>
      <c r="V20" s="33"/>
      <c r="W20" s="33"/>
      <c r="X20" s="33"/>
      <c r="Y20" s="33"/>
      <c r="Z20" s="33"/>
      <c r="AA20" s="33"/>
      <c r="AB20" s="33"/>
      <c r="AC20" s="33"/>
      <c r="AD20" s="33"/>
      <c r="AE20" s="33"/>
    </row>
    <row r="21" spans="1:31" s="34" customFormat="1" ht="15" customHeight="1">
      <c r="A21" s="35"/>
      <c r="B21" s="36"/>
      <c r="C21" s="36"/>
      <c r="D21" s="36"/>
      <c r="E21" s="37"/>
      <c r="F21" s="37"/>
      <c r="G21" s="36"/>
      <c r="H21" s="36"/>
      <c r="I21" s="38"/>
      <c r="J21" s="36"/>
      <c r="K21" s="36"/>
      <c r="L21" s="38"/>
      <c r="M21" s="36"/>
      <c r="N21" s="36"/>
      <c r="O21" s="204"/>
      <c r="P21" s="36"/>
      <c r="Q21" s="36"/>
      <c r="R21" s="36"/>
      <c r="S21" s="36"/>
      <c r="T21" s="38"/>
      <c r="U21" s="36"/>
      <c r="V21" s="33"/>
      <c r="W21" s="33"/>
      <c r="X21" s="33"/>
      <c r="Y21" s="33"/>
      <c r="Z21" s="33"/>
      <c r="AA21" s="33"/>
      <c r="AB21" s="33"/>
      <c r="AC21" s="33"/>
      <c r="AD21" s="33"/>
      <c r="AE21" s="33"/>
    </row>
    <row r="22" spans="1:31" s="34" customFormat="1" ht="15" customHeight="1">
      <c r="A22" s="35"/>
      <c r="B22" s="36"/>
      <c r="C22" s="36"/>
      <c r="D22" s="36"/>
      <c r="E22" s="37"/>
      <c r="F22" s="37"/>
      <c r="G22" s="36"/>
      <c r="H22" s="36"/>
      <c r="I22" s="38"/>
      <c r="J22" s="36"/>
      <c r="K22" s="36"/>
      <c r="L22" s="38"/>
      <c r="M22" s="36"/>
      <c r="N22" s="36"/>
      <c r="O22" s="204"/>
      <c r="P22" s="36"/>
      <c r="Q22" s="36"/>
      <c r="R22" s="36"/>
      <c r="S22" s="36"/>
      <c r="T22" s="38"/>
      <c r="U22" s="36"/>
      <c r="V22" s="33"/>
      <c r="W22" s="33"/>
      <c r="X22" s="33"/>
      <c r="Y22" s="33"/>
      <c r="Z22" s="33"/>
      <c r="AA22" s="33"/>
      <c r="AB22" s="33"/>
      <c r="AC22" s="33"/>
      <c r="AD22" s="33"/>
      <c r="AE22" s="33"/>
    </row>
    <row r="23" spans="1:31" s="34" customFormat="1" ht="15" customHeight="1">
      <c r="A23" s="35"/>
      <c r="B23" s="36"/>
      <c r="C23" s="36"/>
      <c r="D23" s="36"/>
      <c r="E23" s="37"/>
      <c r="F23" s="37"/>
      <c r="G23" s="36"/>
      <c r="H23" s="36"/>
      <c r="I23" s="38"/>
      <c r="J23" s="36"/>
      <c r="K23" s="36"/>
      <c r="L23" s="38"/>
      <c r="M23" s="36"/>
      <c r="N23" s="36"/>
      <c r="O23" s="204"/>
      <c r="P23" s="36"/>
      <c r="Q23" s="36"/>
      <c r="R23" s="36"/>
      <c r="S23" s="36"/>
      <c r="T23" s="38"/>
      <c r="U23" s="36"/>
      <c r="V23" s="33"/>
      <c r="W23" s="33"/>
      <c r="X23" s="33"/>
      <c r="Y23" s="33"/>
      <c r="Z23" s="33"/>
      <c r="AA23" s="33"/>
      <c r="AB23" s="33"/>
      <c r="AC23" s="33"/>
      <c r="AD23" s="33"/>
      <c r="AE23" s="33"/>
    </row>
    <row r="24" spans="1:31" s="34" customFormat="1" ht="15" customHeight="1">
      <c r="A24" s="35"/>
      <c r="B24" s="36"/>
      <c r="C24" s="36"/>
      <c r="D24" s="36"/>
      <c r="E24" s="37"/>
      <c r="F24" s="37"/>
      <c r="G24" s="36"/>
      <c r="H24" s="36"/>
      <c r="I24" s="38"/>
      <c r="J24" s="36"/>
      <c r="K24" s="36"/>
      <c r="L24" s="38"/>
      <c r="M24" s="36"/>
      <c r="N24" s="36"/>
      <c r="O24" s="204"/>
      <c r="P24" s="36"/>
      <c r="Q24" s="36"/>
      <c r="R24" s="36"/>
      <c r="S24" s="36"/>
      <c r="T24" s="38"/>
      <c r="U24" s="36"/>
      <c r="V24" s="33"/>
      <c r="W24" s="33"/>
      <c r="X24" s="33"/>
      <c r="Y24" s="33"/>
      <c r="Z24" s="33"/>
      <c r="AA24" s="33"/>
      <c r="AB24" s="33"/>
      <c r="AC24" s="33"/>
      <c r="AD24" s="33"/>
      <c r="AE24" s="33"/>
    </row>
    <row r="25" spans="1:31" s="34" customFormat="1" ht="15" customHeight="1">
      <c r="A25" s="35"/>
      <c r="B25" s="36"/>
      <c r="C25" s="36"/>
      <c r="D25" s="36"/>
      <c r="E25" s="37"/>
      <c r="F25" s="37"/>
      <c r="G25" s="36"/>
      <c r="H25" s="36"/>
      <c r="I25" s="38"/>
      <c r="J25" s="36"/>
      <c r="K25" s="36"/>
      <c r="L25" s="38"/>
      <c r="M25" s="36"/>
      <c r="N25" s="36"/>
      <c r="O25" s="204"/>
      <c r="P25" s="36"/>
      <c r="Q25" s="36"/>
      <c r="R25" s="36"/>
      <c r="S25" s="36"/>
      <c r="T25" s="38"/>
      <c r="U25" s="36"/>
      <c r="V25" s="33"/>
      <c r="W25" s="33"/>
      <c r="X25" s="33"/>
      <c r="Y25" s="33"/>
      <c r="Z25" s="33"/>
      <c r="AA25" s="33"/>
      <c r="AB25" s="33"/>
      <c r="AC25" s="33"/>
      <c r="AD25" s="33"/>
      <c r="AE25" s="33"/>
    </row>
    <row r="26" spans="1:31" s="34" customFormat="1" ht="15" customHeight="1">
      <c r="A26" s="35"/>
      <c r="B26" s="36"/>
      <c r="C26" s="36"/>
      <c r="D26" s="36"/>
      <c r="E26" s="37"/>
      <c r="F26" s="37"/>
      <c r="G26" s="36"/>
      <c r="H26" s="36"/>
      <c r="I26" s="38"/>
      <c r="J26" s="36"/>
      <c r="K26" s="36"/>
      <c r="L26" s="38"/>
      <c r="M26" s="36"/>
      <c r="N26" s="36"/>
      <c r="O26" s="204"/>
      <c r="P26" s="36"/>
      <c r="Q26" s="36"/>
      <c r="R26" s="36"/>
      <c r="S26" s="36"/>
      <c r="T26" s="38"/>
      <c r="U26" s="36"/>
      <c r="V26" s="33"/>
      <c r="W26" s="33"/>
      <c r="X26" s="33"/>
      <c r="Y26" s="33"/>
      <c r="Z26" s="33"/>
      <c r="AA26" s="33"/>
      <c r="AB26" s="33"/>
      <c r="AC26" s="33"/>
      <c r="AD26" s="33"/>
      <c r="AE26" s="33"/>
    </row>
    <row r="27" spans="1:31" s="34" customFormat="1" ht="15" customHeight="1">
      <c r="A27" s="35"/>
      <c r="B27" s="36"/>
      <c r="C27" s="36"/>
      <c r="D27" s="36"/>
      <c r="E27" s="37"/>
      <c r="F27" s="37"/>
      <c r="G27" s="36"/>
      <c r="H27" s="36"/>
      <c r="I27" s="38"/>
      <c r="J27" s="36"/>
      <c r="K27" s="36"/>
      <c r="L27" s="38"/>
      <c r="M27" s="36"/>
      <c r="N27" s="36"/>
      <c r="O27" s="204"/>
      <c r="P27" s="36"/>
      <c r="Q27" s="36"/>
      <c r="R27" s="36"/>
      <c r="S27" s="36"/>
      <c r="T27" s="38"/>
      <c r="U27" s="36"/>
      <c r="V27" s="33"/>
      <c r="W27" s="33"/>
      <c r="X27" s="33"/>
      <c r="Y27" s="33"/>
      <c r="Z27" s="33"/>
      <c r="AA27" s="33"/>
      <c r="AB27" s="33"/>
      <c r="AC27" s="33"/>
      <c r="AD27" s="33"/>
      <c r="AE27" s="33"/>
    </row>
    <row r="28" spans="1:31" s="34" customFormat="1" ht="15" customHeight="1">
      <c r="A28" s="35"/>
      <c r="B28" s="36"/>
      <c r="C28" s="36"/>
      <c r="D28" s="36"/>
      <c r="E28" s="37"/>
      <c r="F28" s="37"/>
      <c r="G28" s="36"/>
      <c r="H28" s="36"/>
      <c r="I28" s="38"/>
      <c r="J28" s="36"/>
      <c r="K28" s="36"/>
      <c r="L28" s="38"/>
      <c r="M28" s="36"/>
      <c r="N28" s="36"/>
      <c r="O28" s="204"/>
      <c r="P28" s="36"/>
      <c r="Q28" s="36"/>
      <c r="R28" s="36"/>
      <c r="S28" s="36"/>
      <c r="T28" s="38"/>
      <c r="U28" s="36"/>
      <c r="V28" s="33"/>
      <c r="W28" s="33"/>
      <c r="X28" s="33"/>
      <c r="Y28" s="33"/>
      <c r="Z28" s="33"/>
      <c r="AA28" s="33"/>
      <c r="AB28" s="33"/>
      <c r="AC28" s="33"/>
      <c r="AD28" s="33"/>
      <c r="AE28" s="33"/>
    </row>
    <row r="29" spans="1:31" s="34" customFormat="1" ht="15" customHeight="1">
      <c r="A29" s="35"/>
      <c r="B29" s="36"/>
      <c r="C29" s="36"/>
      <c r="D29" s="36"/>
      <c r="E29" s="37"/>
      <c r="F29" s="37"/>
      <c r="G29" s="36"/>
      <c r="H29" s="36"/>
      <c r="I29" s="38"/>
      <c r="J29" s="36"/>
      <c r="K29" s="36"/>
      <c r="L29" s="38"/>
      <c r="M29" s="36"/>
      <c r="N29" s="36"/>
      <c r="O29" s="204"/>
      <c r="P29" s="36"/>
      <c r="Q29" s="36"/>
      <c r="R29" s="36"/>
      <c r="S29" s="36"/>
      <c r="T29" s="38"/>
      <c r="U29" s="36"/>
      <c r="V29" s="33"/>
      <c r="W29" s="33"/>
      <c r="X29" s="33"/>
      <c r="Y29" s="33"/>
      <c r="Z29" s="33"/>
      <c r="AA29" s="33"/>
      <c r="AB29" s="33"/>
      <c r="AC29" s="33"/>
      <c r="AD29" s="33"/>
      <c r="AE29" s="33"/>
    </row>
    <row r="30" spans="1:31" s="34" customFormat="1" ht="15" customHeight="1">
      <c r="A30" s="35"/>
      <c r="B30" s="36"/>
      <c r="C30" s="36"/>
      <c r="D30" s="36"/>
      <c r="E30" s="37"/>
      <c r="F30" s="37"/>
      <c r="G30" s="36"/>
      <c r="H30" s="36"/>
      <c r="I30" s="38"/>
      <c r="J30" s="36"/>
      <c r="K30" s="36"/>
      <c r="L30" s="38"/>
      <c r="M30" s="36"/>
      <c r="N30" s="36"/>
      <c r="O30" s="204"/>
      <c r="P30" s="36"/>
      <c r="Q30" s="36"/>
      <c r="R30" s="36"/>
      <c r="S30" s="36"/>
      <c r="T30" s="38"/>
      <c r="U30" s="36"/>
      <c r="V30" s="33"/>
      <c r="W30" s="33"/>
      <c r="X30" s="33"/>
      <c r="Y30" s="33"/>
      <c r="Z30" s="33"/>
      <c r="AA30" s="33"/>
      <c r="AB30" s="33"/>
      <c r="AC30" s="33"/>
      <c r="AD30" s="33"/>
      <c r="AE30" s="33"/>
    </row>
    <row r="31" spans="1:31" s="34" customFormat="1" ht="15" customHeight="1">
      <c r="A31" s="35"/>
      <c r="B31" s="36"/>
      <c r="C31" s="36"/>
      <c r="D31" s="36"/>
      <c r="E31" s="37"/>
      <c r="F31" s="37"/>
      <c r="G31" s="36"/>
      <c r="H31" s="36"/>
      <c r="I31" s="38"/>
      <c r="J31" s="36"/>
      <c r="K31" s="36"/>
      <c r="L31" s="38"/>
      <c r="M31" s="36"/>
      <c r="N31" s="36"/>
      <c r="O31" s="204"/>
      <c r="P31" s="36"/>
      <c r="Q31" s="36"/>
      <c r="R31" s="36"/>
      <c r="S31" s="36"/>
      <c r="T31" s="38"/>
      <c r="U31" s="36"/>
      <c r="V31" s="33"/>
      <c r="W31" s="33"/>
      <c r="X31" s="33"/>
      <c r="Y31" s="33"/>
      <c r="Z31" s="33"/>
      <c r="AA31" s="33"/>
      <c r="AB31" s="33"/>
      <c r="AC31" s="33"/>
      <c r="AD31" s="33"/>
      <c r="AE31" s="33"/>
    </row>
    <row r="32" spans="1:31" s="34" customFormat="1" ht="15" customHeight="1">
      <c r="A32" s="35"/>
      <c r="B32" s="36"/>
      <c r="C32" s="36"/>
      <c r="D32" s="36"/>
      <c r="E32" s="37"/>
      <c r="F32" s="37"/>
      <c r="G32" s="36"/>
      <c r="H32" s="36"/>
      <c r="I32" s="38"/>
      <c r="J32" s="36"/>
      <c r="K32" s="36"/>
      <c r="L32" s="38"/>
      <c r="M32" s="36"/>
      <c r="N32" s="36"/>
      <c r="O32" s="204"/>
      <c r="P32" s="36"/>
      <c r="Q32" s="36"/>
      <c r="R32" s="36"/>
      <c r="S32" s="36"/>
      <c r="T32" s="38"/>
      <c r="U32" s="36"/>
      <c r="V32" s="33"/>
      <c r="W32" s="33"/>
      <c r="X32" s="33"/>
      <c r="Y32" s="33"/>
      <c r="Z32" s="33"/>
      <c r="AA32" s="33"/>
      <c r="AB32" s="33"/>
      <c r="AC32" s="33"/>
      <c r="AD32" s="33"/>
      <c r="AE32" s="33"/>
    </row>
    <row r="33" spans="1:31" s="34" customFormat="1" ht="15" customHeight="1">
      <c r="A33" s="35"/>
      <c r="B33" s="36"/>
      <c r="C33" s="36"/>
      <c r="D33" s="36"/>
      <c r="E33" s="37"/>
      <c r="F33" s="37"/>
      <c r="G33" s="36"/>
      <c r="H33" s="36"/>
      <c r="I33" s="38"/>
      <c r="J33" s="36"/>
      <c r="K33" s="36"/>
      <c r="L33" s="38"/>
      <c r="M33" s="36"/>
      <c r="N33" s="36"/>
      <c r="O33" s="204"/>
      <c r="P33" s="36"/>
      <c r="Q33" s="36"/>
      <c r="R33" s="36"/>
      <c r="S33" s="36"/>
      <c r="T33" s="38"/>
      <c r="U33" s="36"/>
      <c r="V33" s="33"/>
      <c r="W33" s="33"/>
      <c r="X33" s="33"/>
      <c r="Y33" s="33"/>
      <c r="Z33" s="33"/>
      <c r="AA33" s="33"/>
      <c r="AB33" s="33"/>
      <c r="AC33" s="33"/>
      <c r="AD33" s="33"/>
      <c r="AE33" s="33"/>
    </row>
    <row r="34" spans="1:31" s="34" customFormat="1" ht="15" customHeight="1">
      <c r="A34" s="35"/>
      <c r="B34" s="36"/>
      <c r="C34" s="36"/>
      <c r="D34" s="36"/>
      <c r="E34" s="37"/>
      <c r="F34" s="37"/>
      <c r="G34" s="36"/>
      <c r="H34" s="36"/>
      <c r="I34" s="38"/>
      <c r="J34" s="36"/>
      <c r="K34" s="36"/>
      <c r="L34" s="38"/>
      <c r="M34" s="36"/>
      <c r="N34" s="36"/>
      <c r="O34" s="204"/>
      <c r="P34" s="36"/>
      <c r="Q34" s="36"/>
      <c r="R34" s="36"/>
      <c r="S34" s="36"/>
      <c r="T34" s="38"/>
      <c r="U34" s="36"/>
      <c r="V34" s="33"/>
      <c r="W34" s="33"/>
      <c r="X34" s="33"/>
      <c r="Y34" s="33"/>
      <c r="Z34" s="33"/>
      <c r="AA34" s="33"/>
      <c r="AB34" s="33"/>
      <c r="AC34" s="33"/>
      <c r="AD34" s="33"/>
      <c r="AE34" s="33"/>
    </row>
    <row r="35" spans="1:31" s="34" customFormat="1" ht="15" customHeight="1">
      <c r="A35" s="35"/>
      <c r="B35" s="36"/>
      <c r="C35" s="36"/>
      <c r="D35" s="36"/>
      <c r="E35" s="37"/>
      <c r="F35" s="37"/>
      <c r="G35" s="36"/>
      <c r="H35" s="36"/>
      <c r="I35" s="38"/>
      <c r="J35" s="36"/>
      <c r="K35" s="36"/>
      <c r="L35" s="38"/>
      <c r="M35" s="36"/>
      <c r="N35" s="36"/>
      <c r="O35" s="204"/>
      <c r="P35" s="36"/>
      <c r="Q35" s="36"/>
      <c r="R35" s="36"/>
      <c r="S35" s="36"/>
      <c r="T35" s="38"/>
      <c r="U35" s="36"/>
      <c r="V35" s="33"/>
      <c r="W35" s="33"/>
      <c r="X35" s="33"/>
      <c r="Y35" s="33"/>
      <c r="Z35" s="33"/>
      <c r="AA35" s="33"/>
      <c r="AB35" s="33"/>
      <c r="AC35" s="33"/>
      <c r="AD35" s="33"/>
      <c r="AE35" s="33"/>
    </row>
    <row r="36" spans="1:31" s="34" customFormat="1" ht="15" customHeight="1">
      <c r="A36" s="35"/>
      <c r="B36" s="36"/>
      <c r="C36" s="36"/>
      <c r="D36" s="36"/>
      <c r="E36" s="37"/>
      <c r="F36" s="37"/>
      <c r="G36" s="36"/>
      <c r="H36" s="36"/>
      <c r="I36" s="38"/>
      <c r="J36" s="36"/>
      <c r="K36" s="36"/>
      <c r="L36" s="38"/>
      <c r="M36" s="36"/>
      <c r="N36" s="36"/>
      <c r="O36" s="204"/>
      <c r="P36" s="36"/>
      <c r="Q36" s="36"/>
      <c r="R36" s="36"/>
      <c r="S36" s="36"/>
      <c r="T36" s="38"/>
      <c r="U36" s="36"/>
      <c r="V36" s="33"/>
      <c r="W36" s="33"/>
      <c r="X36" s="33"/>
      <c r="Y36" s="33"/>
      <c r="Z36" s="33"/>
      <c r="AA36" s="33"/>
      <c r="AB36" s="33"/>
      <c r="AC36" s="33"/>
      <c r="AD36" s="33"/>
      <c r="AE36" s="33"/>
    </row>
    <row r="37" spans="1:31" s="34" customFormat="1" ht="15" customHeight="1">
      <c r="A37" s="35"/>
      <c r="B37" s="36"/>
      <c r="C37" s="36"/>
      <c r="D37" s="36"/>
      <c r="E37" s="37"/>
      <c r="F37" s="37"/>
      <c r="G37" s="36"/>
      <c r="H37" s="36"/>
      <c r="I37" s="38"/>
      <c r="J37" s="36"/>
      <c r="K37" s="36"/>
      <c r="L37" s="38"/>
      <c r="M37" s="36"/>
      <c r="N37" s="36"/>
      <c r="O37" s="204"/>
      <c r="P37" s="36"/>
      <c r="Q37" s="36"/>
      <c r="R37" s="36"/>
      <c r="S37" s="36"/>
      <c r="T37" s="38"/>
      <c r="U37" s="36"/>
      <c r="V37" s="33"/>
      <c r="W37" s="33"/>
      <c r="X37" s="33"/>
      <c r="Y37" s="33"/>
      <c r="Z37" s="33"/>
      <c r="AA37" s="33"/>
      <c r="AB37" s="33"/>
      <c r="AC37" s="33"/>
      <c r="AD37" s="33"/>
      <c r="AE37" s="33"/>
    </row>
    <row r="38" spans="1:31" s="34" customFormat="1" ht="15" customHeight="1">
      <c r="A38" s="35"/>
      <c r="B38" s="36"/>
      <c r="C38" s="36"/>
      <c r="D38" s="36"/>
      <c r="E38" s="37"/>
      <c r="F38" s="37"/>
      <c r="G38" s="36"/>
      <c r="H38" s="36"/>
      <c r="I38" s="38"/>
      <c r="J38" s="36"/>
      <c r="K38" s="36"/>
      <c r="L38" s="38"/>
      <c r="M38" s="36"/>
      <c r="N38" s="36"/>
      <c r="O38" s="204"/>
      <c r="P38" s="36"/>
      <c r="Q38" s="36"/>
      <c r="R38" s="36"/>
      <c r="S38" s="36"/>
      <c r="T38" s="38"/>
      <c r="U38" s="36"/>
      <c r="V38" s="33"/>
      <c r="W38" s="33"/>
      <c r="X38" s="33"/>
      <c r="Y38" s="33"/>
      <c r="Z38" s="33"/>
      <c r="AA38" s="33"/>
      <c r="AB38" s="33"/>
      <c r="AC38" s="33"/>
      <c r="AD38" s="33"/>
      <c r="AE38" s="33"/>
    </row>
    <row r="39" spans="1:31">
      <c r="A39" s="193"/>
      <c r="O39" s="194"/>
    </row>
    <row r="40" spans="1:31">
      <c r="A40" s="193"/>
      <c r="O40" s="194"/>
    </row>
    <row r="41" spans="1:31">
      <c r="A41" s="193"/>
      <c r="O41" s="194"/>
    </row>
    <row r="42" spans="1:31">
      <c r="A42" s="193"/>
      <c r="O42" s="194"/>
    </row>
    <row r="43" spans="1:31">
      <c r="A43" s="193"/>
      <c r="O43" s="194"/>
    </row>
    <row r="44" spans="1:31">
      <c r="A44" s="193"/>
      <c r="O44" s="194"/>
    </row>
    <row r="45" spans="1:31">
      <c r="A45" s="193"/>
      <c r="O45" s="194"/>
    </row>
    <row r="46" spans="1:31" ht="12" customHeight="1">
      <c r="A46" s="193"/>
      <c r="O46" s="194"/>
    </row>
    <row r="47" spans="1:31">
      <c r="A47" s="193"/>
      <c r="O47" s="194"/>
    </row>
    <row r="48" spans="1:31" ht="14.25" customHeight="1">
      <c r="A48" s="193"/>
      <c r="E48" s="147"/>
      <c r="F48" s="147"/>
      <c r="G48" s="147"/>
      <c r="H48" s="147"/>
      <c r="I48" s="147"/>
      <c r="O48" s="194"/>
    </row>
    <row r="49" spans="1:15">
      <c r="A49" s="195"/>
      <c r="B49" s="196"/>
      <c r="C49" s="196"/>
      <c r="D49" s="196"/>
      <c r="E49" s="196"/>
      <c r="F49" s="196"/>
      <c r="G49" s="196"/>
      <c r="H49" s="196"/>
      <c r="I49" s="196"/>
      <c r="J49" s="196"/>
      <c r="K49" s="196"/>
      <c r="L49" s="196"/>
      <c r="M49" s="196"/>
      <c r="N49" s="196"/>
      <c r="O49" s="197"/>
    </row>
    <row r="50" spans="1:15">
      <c r="A50" s="193"/>
    </row>
    <row r="51" spans="1:15">
      <c r="A51" s="193"/>
    </row>
    <row r="52" spans="1:15">
      <c r="A52" s="193"/>
    </row>
    <row r="53" spans="1:15">
      <c r="A53" s="193"/>
    </row>
    <row r="54" spans="1:15">
      <c r="A54" s="193"/>
    </row>
    <row r="55" spans="1:15">
      <c r="A55" s="193"/>
    </row>
    <row r="56" spans="1:15">
      <c r="A56" s="193"/>
    </row>
    <row r="57" spans="1:15">
      <c r="A57" s="193"/>
    </row>
    <row r="16361" spans="22:26">
      <c r="V16361" s="29">
        <v>24.446999999999999</v>
      </c>
      <c r="X16361" s="29">
        <v>1.6</v>
      </c>
      <c r="Y16361" s="29">
        <v>1.5269999999999999</v>
      </c>
      <c r="Z16361" s="29">
        <v>72</v>
      </c>
    </row>
    <row r="16362" spans="22:26">
      <c r="V16362" s="29">
        <v>17.547999999999998</v>
      </c>
      <c r="X16362" s="29">
        <v>1.629</v>
      </c>
      <c r="Y16362" s="29">
        <v>73</v>
      </c>
      <c r="Z16362" s="29">
        <v>24.443999999999999</v>
      </c>
    </row>
    <row r="16363" spans="22:26">
      <c r="V16363" s="29">
        <v>1.645</v>
      </c>
      <c r="X16363" s="29">
        <v>72</v>
      </c>
      <c r="Y16363" s="29">
        <v>24.393000000000001</v>
      </c>
      <c r="Z16363" s="29">
        <v>17.591000000000001</v>
      </c>
    </row>
    <row r="16364" spans="22:26">
      <c r="V16364" s="29">
        <v>1.579</v>
      </c>
      <c r="X16364" s="29">
        <v>24.516999999999999</v>
      </c>
      <c r="Y16364" s="29">
        <v>17.501999999999999</v>
      </c>
    </row>
    <row r="16365" spans="22:26">
      <c r="V16365" s="29">
        <v>73</v>
      </c>
      <c r="X16365" s="29">
        <v>17.587</v>
      </c>
      <c r="Y16365" s="29">
        <v>1.5840000000000001</v>
      </c>
    </row>
    <row r="16366" spans="22:26">
      <c r="V16366" s="29">
        <v>1.613</v>
      </c>
      <c r="X16366" s="29">
        <v>1.4830000000000001</v>
      </c>
      <c r="Y16366" s="29">
        <v>1.5509999999999999</v>
      </c>
    </row>
    <row r="16367" spans="22:26">
      <c r="V16367" s="29">
        <v>72</v>
      </c>
    </row>
    <row r="16368" spans="22:26">
      <c r="V16368" s="29">
        <v>24.47</v>
      </c>
    </row>
    <row r="16369" spans="22:22">
      <c r="V16369" s="29">
        <v>17.536000000000001</v>
      </c>
    </row>
    <row r="16370" spans="22:22">
      <c r="V16370" s="29">
        <v>1.5860000000000001</v>
      </c>
    </row>
    <row r="16371" spans="22:22">
      <c r="V16371" s="29">
        <v>1.552</v>
      </c>
    </row>
    <row r="16372" spans="22:22">
      <c r="V16372" s="29">
        <v>70</v>
      </c>
    </row>
    <row r="16373" spans="22:22">
      <c r="V16373" s="29">
        <v>24.384</v>
      </c>
    </row>
    <row r="16374" spans="22:22">
      <c r="V16374" s="29">
        <v>72</v>
      </c>
    </row>
  </sheetData>
  <mergeCells count="3">
    <mergeCell ref="A2:O2"/>
    <mergeCell ref="A3:O3"/>
    <mergeCell ref="A5:O6"/>
  </mergeCells>
  <printOptions horizontalCentered="1"/>
  <pageMargins left="0.35433070866141736" right="0.19685039370078741" top="0.19685039370078741" bottom="0.19685039370078741" header="0" footer="0"/>
  <pageSetup paperSize="9" scale="95" fitToHeight="0" pageOrder="overThenDown" orientation="portrait" r:id="rId1"/>
  <headerFooter alignWithMargins="0">
    <oddFooter>&amp;RPage &amp;P/&amp;N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pageSetUpPr fitToPage="1"/>
  </sheetPr>
  <dimension ref="A2:W59"/>
  <sheetViews>
    <sheetView tabSelected="1" topLeftCell="A26" zoomScaleSheetLayoutView="100" workbookViewId="0">
      <selection activeCell="U48" sqref="U48"/>
    </sheetView>
  </sheetViews>
  <sheetFormatPr baseColWidth="10" defaultRowHeight="12.75"/>
  <cols>
    <col min="1" max="1" width="9.7109375" customWidth="1"/>
    <col min="2" max="2" width="3.7109375" customWidth="1"/>
    <col min="3" max="3" width="7.7109375" customWidth="1"/>
    <col min="4" max="4" width="3.7109375" customWidth="1"/>
    <col min="5" max="6" width="7.7109375" customWidth="1"/>
    <col min="7" max="9" width="8.7109375" customWidth="1"/>
    <col min="10" max="10" width="6.7109375" customWidth="1"/>
    <col min="11" max="13" width="7.7109375" customWidth="1"/>
    <col min="14" max="23" width="3.7109375" style="42" customWidth="1"/>
  </cols>
  <sheetData>
    <row r="2" spans="1:23" ht="23.25">
      <c r="A2" s="247" t="s">
        <v>33</v>
      </c>
      <c r="B2" s="247"/>
      <c r="C2" s="247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176"/>
      <c r="O2" s="176"/>
    </row>
    <row r="3" spans="1:23" ht="18">
      <c r="A3" s="232" t="str">
        <f>'Rapport d''essai dimensionnel'!A14</f>
        <v xml:space="preserve">N° </v>
      </c>
      <c r="B3" s="232"/>
      <c r="C3" s="232"/>
      <c r="D3" s="232"/>
      <c r="E3" s="232"/>
      <c r="F3" s="232"/>
      <c r="G3" s="232"/>
      <c r="H3" s="232"/>
      <c r="I3" s="232"/>
      <c r="J3" s="232"/>
      <c r="K3" s="232"/>
      <c r="L3" s="232"/>
      <c r="M3" s="232"/>
      <c r="N3" s="41"/>
      <c r="O3" s="41"/>
    </row>
    <row r="4" spans="1:23" s="30" customFormat="1" ht="15.75">
      <c r="A4" s="40"/>
      <c r="B4" s="40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40"/>
      <c r="O4" s="40"/>
    </row>
    <row r="5" spans="1:23" s="30" customFormat="1" ht="15.75" customHeight="1">
      <c r="A5" s="179"/>
      <c r="B5" s="179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</row>
    <row r="6" spans="1:23" ht="15">
      <c r="A6" s="255" t="s">
        <v>52</v>
      </c>
      <c r="B6" s="256"/>
      <c r="C6" s="256"/>
      <c r="D6" s="256"/>
      <c r="E6" s="256"/>
      <c r="F6" s="256"/>
      <c r="G6" s="256"/>
      <c r="H6" s="256"/>
      <c r="I6" s="256"/>
      <c r="J6" s="256"/>
      <c r="K6" s="256"/>
      <c r="L6" s="256"/>
      <c r="M6" s="257"/>
      <c r="N6" s="43"/>
      <c r="O6" s="43"/>
      <c r="P6" s="44"/>
      <c r="Q6" s="44"/>
      <c r="R6"/>
      <c r="S6"/>
      <c r="T6"/>
      <c r="U6"/>
      <c r="V6"/>
      <c r="W6"/>
    </row>
    <row r="7" spans="1:23" ht="9.75" customHeight="1">
      <c r="A7" s="181"/>
      <c r="B7" s="181"/>
      <c r="C7" s="181"/>
      <c r="D7" s="181"/>
      <c r="E7" s="181"/>
      <c r="F7" s="181"/>
      <c r="G7" s="181"/>
      <c r="H7" s="181"/>
      <c r="I7" s="181"/>
      <c r="J7" s="182"/>
      <c r="K7" s="183"/>
      <c r="L7" s="184"/>
      <c r="M7" s="184"/>
      <c r="N7" s="43"/>
      <c r="O7" s="43"/>
      <c r="P7" s="43"/>
      <c r="Q7" s="44"/>
      <c r="R7" s="44"/>
      <c r="S7"/>
      <c r="T7"/>
      <c r="U7"/>
      <c r="V7"/>
      <c r="W7"/>
    </row>
    <row r="8" spans="1:23" ht="15.75" customHeight="1">
      <c r="A8" s="258" t="s">
        <v>177</v>
      </c>
      <c r="B8" s="258"/>
      <c r="C8" s="258"/>
      <c r="D8" s="258"/>
      <c r="E8" s="258"/>
      <c r="F8" s="258"/>
      <c r="G8" s="258"/>
      <c r="H8" s="258"/>
      <c r="I8" s="258"/>
      <c r="J8" s="258"/>
      <c r="K8" s="258"/>
      <c r="L8" s="258"/>
      <c r="M8" s="258"/>
      <c r="N8" s="43"/>
      <c r="O8" s="43"/>
      <c r="P8" s="43"/>
      <c r="Q8" s="44"/>
      <c r="R8" s="44"/>
      <c r="S8"/>
      <c r="T8"/>
      <c r="U8"/>
      <c r="V8"/>
      <c r="W8"/>
    </row>
    <row r="9" spans="1:23" ht="15.75" customHeight="1">
      <c r="A9" s="185"/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43"/>
      <c r="O9" s="43"/>
      <c r="P9" s="43"/>
      <c r="Q9" s="44"/>
      <c r="R9" s="44"/>
      <c r="S9"/>
      <c r="T9"/>
      <c r="U9"/>
      <c r="V9"/>
      <c r="W9"/>
    </row>
    <row r="10" spans="1:23" ht="15.75" customHeight="1">
      <c r="A10" s="18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43"/>
      <c r="O10" s="43"/>
      <c r="P10" s="43"/>
      <c r="Q10" s="44"/>
      <c r="R10" s="44"/>
      <c r="S10"/>
      <c r="T10"/>
      <c r="U10"/>
      <c r="V10"/>
      <c r="W10"/>
    </row>
    <row r="11" spans="1:23" ht="7.5" customHeight="1">
      <c r="A11" s="100"/>
      <c r="B11" s="100"/>
      <c r="L11" s="100"/>
      <c r="M11" s="100"/>
      <c r="N11" s="43"/>
      <c r="O11" s="43"/>
      <c r="P11" s="43"/>
      <c r="Q11" s="44"/>
      <c r="R11" s="44"/>
      <c r="S11"/>
      <c r="T11"/>
      <c r="U11"/>
      <c r="V11"/>
      <c r="W11"/>
    </row>
    <row r="12" spans="1:23" ht="7.5" customHeight="1">
      <c r="A12" s="100"/>
      <c r="B12" s="100"/>
      <c r="L12" s="100"/>
      <c r="M12" s="100"/>
      <c r="N12" s="43"/>
      <c r="O12" s="43"/>
      <c r="P12" s="43"/>
      <c r="Q12" s="44"/>
      <c r="R12" s="44"/>
      <c r="S12"/>
      <c r="T12"/>
      <c r="U12"/>
      <c r="V12"/>
      <c r="W12"/>
    </row>
    <row r="13" spans="1:23" ht="15">
      <c r="A13" s="100"/>
      <c r="B13" s="100"/>
      <c r="C13" s="59" t="s">
        <v>53</v>
      </c>
      <c r="D13" s="60"/>
      <c r="E13" s="60"/>
      <c r="F13" s="60" t="s">
        <v>54</v>
      </c>
      <c r="G13" s="145"/>
      <c r="H13" s="60" t="s">
        <v>55</v>
      </c>
      <c r="I13" s="60"/>
      <c r="J13" s="60" t="s">
        <v>56</v>
      </c>
      <c r="K13" s="61"/>
      <c r="L13" s="100"/>
      <c r="M13" s="100"/>
      <c r="N13" s="43"/>
      <c r="O13" s="43"/>
      <c r="P13" s="43"/>
      <c r="Q13" s="44"/>
      <c r="R13" s="44"/>
      <c r="S13"/>
      <c r="T13"/>
      <c r="U13"/>
      <c r="V13"/>
      <c r="W13"/>
    </row>
    <row r="14" spans="1:23" ht="15">
      <c r="A14" s="100"/>
      <c r="B14" s="100"/>
      <c r="C14" s="62" t="s">
        <v>59</v>
      </c>
      <c r="D14" s="44"/>
      <c r="E14" s="143"/>
      <c r="F14" s="143" t="s">
        <v>60</v>
      </c>
      <c r="G14" s="144"/>
      <c r="H14" s="143" t="s">
        <v>61</v>
      </c>
      <c r="I14" s="143"/>
      <c r="J14" s="143" t="s">
        <v>62</v>
      </c>
      <c r="K14" s="63"/>
      <c r="L14" s="100"/>
      <c r="M14" s="100"/>
      <c r="N14" s="43"/>
      <c r="O14" s="43"/>
      <c r="P14" s="43"/>
      <c r="Q14" s="44"/>
      <c r="R14" s="44"/>
      <c r="S14"/>
      <c r="T14"/>
      <c r="U14"/>
      <c r="V14"/>
      <c r="W14"/>
    </row>
    <row r="15" spans="1:23" ht="15">
      <c r="A15" s="100"/>
      <c r="B15" s="100"/>
      <c r="C15" s="64" t="s">
        <v>63</v>
      </c>
      <c r="D15" s="50"/>
      <c r="E15" s="49"/>
      <c r="F15" s="49" t="s">
        <v>64</v>
      </c>
      <c r="G15" s="51"/>
      <c r="H15" s="49" t="s">
        <v>65</v>
      </c>
      <c r="I15" s="51"/>
      <c r="J15" s="49" t="s">
        <v>66</v>
      </c>
      <c r="K15" s="65"/>
      <c r="L15" s="100"/>
      <c r="M15" s="100"/>
      <c r="N15" s="43"/>
      <c r="O15" s="43"/>
      <c r="P15" s="43"/>
      <c r="Q15" s="44"/>
      <c r="R15" s="44"/>
      <c r="S15"/>
      <c r="T15"/>
      <c r="U15"/>
      <c r="V15"/>
      <c r="W15"/>
    </row>
    <row r="16" spans="1:23" ht="13.5" customHeight="1">
      <c r="A16" s="100"/>
      <c r="B16" s="100"/>
      <c r="C16" s="59" t="s">
        <v>68</v>
      </c>
      <c r="D16" s="60"/>
      <c r="E16" s="60"/>
      <c r="F16" s="60" t="s">
        <v>69</v>
      </c>
      <c r="G16" s="60"/>
      <c r="H16" s="145" t="s">
        <v>70</v>
      </c>
      <c r="I16" s="60"/>
      <c r="J16" s="60" t="s">
        <v>71</v>
      </c>
      <c r="K16" s="61"/>
      <c r="L16" s="100"/>
      <c r="M16" s="100"/>
      <c r="N16"/>
      <c r="O16"/>
      <c r="P16"/>
      <c r="Q16"/>
      <c r="R16"/>
      <c r="S16"/>
      <c r="T16"/>
      <c r="U16"/>
      <c r="V16"/>
      <c r="W16"/>
    </row>
    <row r="17" spans="1:23" s="58" customFormat="1" ht="15" customHeight="1">
      <c r="C17" s="62" t="s">
        <v>72</v>
      </c>
      <c r="D17" s="44"/>
      <c r="E17" s="143"/>
      <c r="F17" s="143" t="s">
        <v>73</v>
      </c>
      <c r="G17" s="143"/>
      <c r="H17" s="143" t="s">
        <v>74</v>
      </c>
      <c r="I17" s="143"/>
      <c r="J17" s="143" t="s">
        <v>75</v>
      </c>
      <c r="K17" s="63"/>
      <c r="N17" s="57"/>
      <c r="O17" s="57"/>
      <c r="P17" s="57"/>
      <c r="Q17" s="57"/>
      <c r="R17" s="57"/>
      <c r="S17" s="57"/>
      <c r="T17" s="57"/>
      <c r="U17" s="57"/>
      <c r="V17" s="57"/>
      <c r="W17" s="57"/>
    </row>
    <row r="18" spans="1:23" s="58" customFormat="1" ht="15" customHeight="1">
      <c r="C18" s="64" t="s">
        <v>76</v>
      </c>
      <c r="D18" s="50"/>
      <c r="E18" s="49"/>
      <c r="F18" s="49" t="s">
        <v>77</v>
      </c>
      <c r="G18" s="51"/>
      <c r="H18" s="49" t="s">
        <v>78</v>
      </c>
      <c r="I18" s="51"/>
      <c r="J18" s="49" t="s">
        <v>79</v>
      </c>
      <c r="K18" s="65"/>
      <c r="N18" s="57"/>
      <c r="O18" s="57"/>
      <c r="P18" s="57"/>
      <c r="Q18" s="57"/>
      <c r="R18" s="57"/>
      <c r="S18" s="57"/>
      <c r="T18" s="57"/>
      <c r="U18" s="57"/>
      <c r="V18" s="57"/>
      <c r="W18" s="57"/>
    </row>
    <row r="19" spans="1:23" s="58" customFormat="1" ht="7.5" customHeight="1">
      <c r="N19" s="57"/>
      <c r="O19" s="57"/>
      <c r="P19" s="57"/>
      <c r="Q19" s="57"/>
      <c r="R19" s="57"/>
      <c r="S19" s="57"/>
      <c r="T19" s="57"/>
      <c r="U19" s="57"/>
      <c r="V19" s="57"/>
      <c r="W19" s="57"/>
    </row>
    <row r="20" spans="1:23" s="58" customFormat="1" ht="7.5" customHeight="1">
      <c r="N20" s="57"/>
      <c r="O20" s="57"/>
      <c r="P20" s="57"/>
      <c r="Q20" s="57"/>
      <c r="R20" s="57"/>
      <c r="S20" s="57"/>
      <c r="T20" s="57"/>
      <c r="U20" s="57"/>
      <c r="V20" s="57"/>
      <c r="W20" s="57"/>
    </row>
    <row r="21" spans="1:23" s="58" customFormat="1" ht="7.5" customHeight="1">
      <c r="N21" s="57"/>
      <c r="O21" s="57"/>
      <c r="P21" s="57"/>
      <c r="Q21" s="57"/>
      <c r="R21" s="57"/>
      <c r="S21" s="57"/>
      <c r="T21" s="57"/>
      <c r="U21" s="57"/>
      <c r="V21" s="57"/>
      <c r="W21" s="57"/>
    </row>
    <row r="22" spans="1:23" s="58" customFormat="1" ht="15" customHeight="1">
      <c r="A22" s="254" t="s">
        <v>57</v>
      </c>
      <c r="B22" s="254"/>
      <c r="C22" s="254"/>
      <c r="D22" s="254"/>
      <c r="E22" s="254"/>
      <c r="F22" s="254"/>
      <c r="G22" s="254"/>
      <c r="H22" s="46" t="s">
        <v>58</v>
      </c>
      <c r="I22" s="46"/>
      <c r="J22"/>
      <c r="K22"/>
      <c r="L22"/>
      <c r="M22"/>
      <c r="N22" s="57"/>
      <c r="O22" s="57"/>
      <c r="P22" s="57"/>
      <c r="Q22" s="57"/>
      <c r="R22" s="57"/>
      <c r="S22" s="57"/>
      <c r="T22" s="57"/>
      <c r="U22" s="57"/>
      <c r="V22" s="57"/>
      <c r="W22" s="57"/>
    </row>
    <row r="23" spans="1:23" s="58" customFormat="1" ht="15" customHeight="1">
      <c r="A23" s="47"/>
      <c r="B23" s="45"/>
      <c r="C23" s="45"/>
      <c r="D23" s="45"/>
      <c r="E23" s="45"/>
      <c r="F23" s="45"/>
      <c r="G23" s="48"/>
      <c r="H23" s="45"/>
      <c r="I23" s="45"/>
      <c r="J23" s="45"/>
      <c r="K23" s="45"/>
      <c r="L23" s="45"/>
      <c r="M23" s="45"/>
      <c r="N23" s="57"/>
      <c r="O23" s="57"/>
      <c r="P23" s="57"/>
      <c r="Q23" s="57"/>
      <c r="R23" s="57"/>
      <c r="S23" s="57"/>
      <c r="T23" s="57"/>
      <c r="U23" s="57"/>
      <c r="V23" s="57"/>
      <c r="W23" s="57"/>
    </row>
    <row r="24" spans="1:23" s="58" customFormat="1" ht="15" customHeight="1">
      <c r="A24" s="208" t="s">
        <v>171</v>
      </c>
      <c r="B24" s="209"/>
      <c r="C24" s="205"/>
      <c r="D24" s="205">
        <f>'Rapport d''essai dimensionnel'!D26</f>
        <v>0</v>
      </c>
      <c r="E24" s="205"/>
      <c r="F24" s="205"/>
      <c r="G24" s="207"/>
      <c r="H24" s="210" t="s">
        <v>172</v>
      </c>
      <c r="I24" s="207"/>
      <c r="J24" s="206">
        <f>'Rapport d''essai dimensionnel'!D28</f>
        <v>0</v>
      </c>
      <c r="K24" s="211"/>
      <c r="L24" s="212" t="s">
        <v>67</v>
      </c>
      <c r="M24" s="213">
        <f>'Rapport d''essai dimensionnel'!D30</f>
        <v>0</v>
      </c>
      <c r="N24" s="57"/>
      <c r="O24" s="57"/>
      <c r="P24" s="57"/>
      <c r="Q24" s="57"/>
      <c r="R24" s="57"/>
      <c r="S24" s="57"/>
      <c r="T24" s="57"/>
      <c r="U24" s="57"/>
      <c r="V24" s="57"/>
      <c r="W24" s="57"/>
    </row>
    <row r="25" spans="1:23" s="58" customFormat="1" ht="15" customHeight="1">
      <c r="A25" s="52"/>
      <c r="B25"/>
      <c r="C25"/>
      <c r="D25"/>
      <c r="E25"/>
      <c r="F25"/>
      <c r="G25"/>
      <c r="H25"/>
      <c r="I25"/>
      <c r="J25"/>
      <c r="K25"/>
      <c r="L25"/>
      <c r="M25"/>
      <c r="N25" s="57"/>
      <c r="O25" s="57"/>
      <c r="P25" s="57"/>
      <c r="Q25" s="57"/>
      <c r="R25" s="57"/>
      <c r="S25" s="57"/>
      <c r="T25" s="57"/>
      <c r="U25" s="57"/>
      <c r="V25" s="57"/>
      <c r="W25" s="57"/>
    </row>
    <row r="26" spans="1:23" s="58" customFormat="1" ht="15" customHeight="1">
      <c r="A26" s="125" t="s">
        <v>161</v>
      </c>
      <c r="B26" s="53"/>
      <c r="C26" s="53"/>
      <c r="D26" s="53"/>
      <c r="E26" s="53"/>
      <c r="F26" s="53"/>
      <c r="G26" s="54"/>
      <c r="H26" s="55"/>
      <c r="I26" s="42"/>
      <c r="J26" s="42"/>
      <c r="K26" s="56"/>
      <c r="L26" s="55"/>
      <c r="M26" s="42"/>
      <c r="N26" s="57"/>
      <c r="O26" s="57"/>
      <c r="P26" s="57"/>
      <c r="Q26" s="57"/>
      <c r="R26" s="57"/>
      <c r="S26" s="57"/>
      <c r="T26" s="57"/>
      <c r="U26" s="57"/>
      <c r="V26" s="57"/>
      <c r="W26" s="57"/>
    </row>
    <row r="27" spans="1:23" s="58" customFormat="1" ht="15" customHeight="1">
      <c r="N27" s="57"/>
      <c r="O27" s="57"/>
      <c r="P27" s="57"/>
      <c r="Q27" s="57"/>
      <c r="R27" s="57"/>
      <c r="S27" s="57"/>
      <c r="T27" s="57"/>
      <c r="U27" s="57"/>
      <c r="V27" s="57"/>
      <c r="W27" s="57"/>
    </row>
    <row r="28" spans="1:23" s="58" customFormat="1" ht="15" customHeight="1">
      <c r="N28" s="57"/>
      <c r="O28" s="57"/>
      <c r="P28" s="57"/>
      <c r="Q28" s="57"/>
      <c r="R28" s="57"/>
      <c r="S28" s="57"/>
      <c r="T28" s="57"/>
      <c r="U28" s="57"/>
      <c r="V28" s="57"/>
      <c r="W28" s="57"/>
    </row>
    <row r="29" spans="1:23" s="58" customFormat="1" ht="15" customHeight="1">
      <c r="A29" s="109" t="s">
        <v>141</v>
      </c>
      <c r="B29" s="105"/>
      <c r="C29" s="102" t="s">
        <v>142</v>
      </c>
      <c r="D29" s="106"/>
      <c r="E29" s="101" t="s">
        <v>143</v>
      </c>
      <c r="F29" s="101" t="s">
        <v>144</v>
      </c>
      <c r="G29" s="104" t="s">
        <v>145</v>
      </c>
      <c r="H29" s="101" t="s">
        <v>22</v>
      </c>
      <c r="I29" s="101" t="s">
        <v>80</v>
      </c>
      <c r="J29" s="101" t="s">
        <v>81</v>
      </c>
      <c r="K29" s="251" t="s">
        <v>146</v>
      </c>
      <c r="L29" s="252"/>
      <c r="M29" s="253"/>
      <c r="N29" s="57"/>
      <c r="O29" s="57"/>
      <c r="P29" s="57"/>
      <c r="Q29" s="57"/>
      <c r="R29" s="57"/>
      <c r="S29" s="57"/>
      <c r="T29" s="57"/>
      <c r="U29" s="57"/>
      <c r="V29" s="57"/>
      <c r="W29" s="57"/>
    </row>
    <row r="30" spans="1:23" s="58" customFormat="1" ht="18" customHeight="1">
      <c r="A30" s="259"/>
      <c r="B30" s="260"/>
      <c r="C30" s="261"/>
      <c r="D30" s="262"/>
      <c r="E30" s="263"/>
      <c r="F30" s="263"/>
      <c r="G30" s="140"/>
      <c r="H30" s="141">
        <f t="shared" ref="H30" si="0">G30-C30</f>
        <v>0</v>
      </c>
      <c r="I30" s="142" t="str">
        <f t="shared" ref="I30" si="1">IF(E30-F30=0,"",IF(R30,R30,"/"))</f>
        <v/>
      </c>
      <c r="J30" s="107">
        <v>8</v>
      </c>
      <c r="K30" s="152"/>
      <c r="L30" s="103"/>
      <c r="M30" s="108"/>
      <c r="N30" s="132">
        <f>C30+E30</f>
        <v>0</v>
      </c>
      <c r="O30" s="132">
        <f>C30+F30</f>
        <v>0</v>
      </c>
      <c r="P30" s="133" t="b">
        <f>IF(G30&gt;N30,G30-N30)</f>
        <v>0</v>
      </c>
      <c r="Q30" s="133" t="b">
        <f>IF(G30&lt;O30,G30-O30)</f>
        <v>0</v>
      </c>
      <c r="R30" s="133">
        <f>MAX(P30:Q30)</f>
        <v>0</v>
      </c>
      <c r="S30" s="134"/>
      <c r="T30" s="57"/>
      <c r="U30" s="57"/>
      <c r="V30" s="57"/>
      <c r="W30" s="57"/>
    </row>
    <row r="31" spans="1:23" s="58" customFormat="1" ht="18" customHeight="1">
      <c r="A31" s="259"/>
      <c r="B31" s="264"/>
      <c r="C31" s="265"/>
      <c r="D31" s="266"/>
      <c r="E31" s="139"/>
      <c r="F31" s="139"/>
      <c r="G31" s="140"/>
      <c r="H31" s="141">
        <f t="shared" ref="H31" si="2">G31-C31</f>
        <v>0</v>
      </c>
      <c r="I31" s="142" t="str">
        <f t="shared" ref="I31" si="3">IF(E31-F31=0,"",IF(R31,R31,"/"))</f>
        <v/>
      </c>
      <c r="J31" s="107">
        <v>8</v>
      </c>
      <c r="K31" s="146"/>
      <c r="L31" s="103"/>
      <c r="M31" s="108"/>
      <c r="N31" s="132">
        <f t="shared" ref="N31:N51" si="4">C31+E31</f>
        <v>0</v>
      </c>
      <c r="O31" s="132">
        <f t="shared" ref="O31:O51" si="5">C31+F31</f>
        <v>0</v>
      </c>
      <c r="P31" s="133" t="b">
        <f t="shared" ref="P31:P51" si="6">IF(G31&gt;N31,G31-N31)</f>
        <v>0</v>
      </c>
      <c r="Q31" s="133" t="b">
        <f t="shared" ref="Q31:Q51" si="7">IF(G31&lt;O31,G31-O31)</f>
        <v>0</v>
      </c>
      <c r="R31" s="133">
        <f t="shared" ref="R31:R51" si="8">MAX(P31:Q31)</f>
        <v>0</v>
      </c>
      <c r="S31" s="134"/>
      <c r="T31" s="57"/>
      <c r="U31" s="57"/>
      <c r="V31" s="57"/>
      <c r="W31" s="57"/>
    </row>
    <row r="32" spans="1:23" s="58" customFormat="1" ht="18" customHeight="1">
      <c r="A32" s="259"/>
      <c r="B32" s="260"/>
      <c r="C32" s="261"/>
      <c r="D32" s="262"/>
      <c r="E32" s="263"/>
      <c r="F32" s="263"/>
      <c r="G32" s="140"/>
      <c r="H32" s="141">
        <f t="shared" ref="H32:H34" si="9">G32-C32</f>
        <v>0</v>
      </c>
      <c r="I32" s="142" t="str">
        <f t="shared" ref="I32:I34" si="10">IF(E32-F32=0,"",IF(R32,R32,"/"))</f>
        <v/>
      </c>
      <c r="J32" s="107">
        <v>8</v>
      </c>
      <c r="K32" s="152"/>
      <c r="L32" s="103"/>
      <c r="M32" s="108"/>
      <c r="N32" s="132">
        <f t="shared" si="4"/>
        <v>0</v>
      </c>
      <c r="O32" s="132">
        <f t="shared" si="5"/>
        <v>0</v>
      </c>
      <c r="P32" s="133" t="b">
        <f t="shared" si="6"/>
        <v>0</v>
      </c>
      <c r="Q32" s="133" t="b">
        <f t="shared" si="7"/>
        <v>0</v>
      </c>
      <c r="R32" s="133">
        <f t="shared" si="8"/>
        <v>0</v>
      </c>
      <c r="S32" s="134"/>
      <c r="T32" s="57"/>
      <c r="U32" s="57"/>
      <c r="V32" s="57"/>
      <c r="W32" s="57"/>
    </row>
    <row r="33" spans="1:23" s="58" customFormat="1" ht="18" customHeight="1">
      <c r="A33" s="259"/>
      <c r="B33" s="264"/>
      <c r="C33" s="265"/>
      <c r="D33" s="266"/>
      <c r="E33" s="139"/>
      <c r="F33" s="139"/>
      <c r="G33" s="140"/>
      <c r="H33" s="141">
        <f t="shared" si="9"/>
        <v>0</v>
      </c>
      <c r="I33" s="142" t="str">
        <f t="shared" si="10"/>
        <v/>
      </c>
      <c r="J33" s="107">
        <v>8</v>
      </c>
      <c r="K33" s="152"/>
      <c r="L33" s="103"/>
      <c r="M33" s="108"/>
      <c r="N33" s="132">
        <f t="shared" si="4"/>
        <v>0</v>
      </c>
      <c r="O33" s="132">
        <f t="shared" si="5"/>
        <v>0</v>
      </c>
      <c r="P33" s="133" t="b">
        <f t="shared" si="6"/>
        <v>0</v>
      </c>
      <c r="Q33" s="133" t="b">
        <f t="shared" si="7"/>
        <v>0</v>
      </c>
      <c r="R33" s="133">
        <f t="shared" si="8"/>
        <v>0</v>
      </c>
      <c r="S33" s="134"/>
      <c r="T33" s="57"/>
      <c r="U33" s="57"/>
      <c r="V33" s="57"/>
      <c r="W33" s="57"/>
    </row>
    <row r="34" spans="1:23" s="58" customFormat="1" ht="18" customHeight="1">
      <c r="A34" s="259"/>
      <c r="B34" s="264"/>
      <c r="C34" s="265"/>
      <c r="D34" s="266"/>
      <c r="E34" s="139"/>
      <c r="F34" s="139"/>
      <c r="G34" s="140"/>
      <c r="H34" s="141">
        <f t="shared" si="9"/>
        <v>0</v>
      </c>
      <c r="I34" s="142" t="str">
        <f t="shared" si="10"/>
        <v/>
      </c>
      <c r="J34" s="107">
        <v>8</v>
      </c>
      <c r="K34" s="152"/>
      <c r="L34" s="103"/>
      <c r="M34" s="108"/>
      <c r="N34" s="132">
        <f t="shared" si="4"/>
        <v>0</v>
      </c>
      <c r="O34" s="132">
        <f t="shared" si="5"/>
        <v>0</v>
      </c>
      <c r="P34" s="133" t="b">
        <f t="shared" si="6"/>
        <v>0</v>
      </c>
      <c r="Q34" s="133" t="b">
        <f t="shared" si="7"/>
        <v>0</v>
      </c>
      <c r="R34" s="133">
        <f t="shared" si="8"/>
        <v>0</v>
      </c>
      <c r="S34" s="134"/>
      <c r="T34" s="57"/>
      <c r="U34" s="57"/>
      <c r="V34" s="57"/>
      <c r="W34" s="57"/>
    </row>
    <row r="35" spans="1:23" s="58" customFormat="1" ht="18" customHeight="1">
      <c r="A35" s="259"/>
      <c r="B35" s="264"/>
      <c r="C35" s="265"/>
      <c r="D35" s="266"/>
      <c r="E35" s="139"/>
      <c r="F35" s="139"/>
      <c r="G35" s="140"/>
      <c r="H35" s="141">
        <f t="shared" ref="H35:H36" si="11">G35-C35</f>
        <v>0</v>
      </c>
      <c r="I35" s="142" t="str">
        <f t="shared" ref="I35:I36" si="12">IF(E35-F35=0,"",IF(R35,R35,"/"))</f>
        <v/>
      </c>
      <c r="J35" s="107">
        <v>8</v>
      </c>
      <c r="K35" s="152"/>
      <c r="L35" s="103"/>
      <c r="M35" s="108"/>
      <c r="N35" s="132">
        <f t="shared" si="4"/>
        <v>0</v>
      </c>
      <c r="O35" s="132">
        <f t="shared" si="5"/>
        <v>0</v>
      </c>
      <c r="P35" s="133" t="b">
        <f t="shared" si="6"/>
        <v>0</v>
      </c>
      <c r="Q35" s="133" t="b">
        <f t="shared" si="7"/>
        <v>0</v>
      </c>
      <c r="R35" s="133">
        <f t="shared" si="8"/>
        <v>0</v>
      </c>
      <c r="S35" s="134"/>
      <c r="T35" s="57"/>
      <c r="U35" s="57"/>
      <c r="V35" s="57"/>
      <c r="W35" s="57"/>
    </row>
    <row r="36" spans="1:23" s="58" customFormat="1" ht="18" customHeight="1">
      <c r="A36" s="259"/>
      <c r="B36" s="264"/>
      <c r="C36" s="265"/>
      <c r="D36" s="266"/>
      <c r="E36" s="139"/>
      <c r="F36" s="139"/>
      <c r="G36" s="140"/>
      <c r="H36" s="141">
        <f t="shared" si="11"/>
        <v>0</v>
      </c>
      <c r="I36" s="142" t="str">
        <f t="shared" si="12"/>
        <v/>
      </c>
      <c r="J36" s="107">
        <v>8</v>
      </c>
      <c r="K36" s="152"/>
      <c r="L36" s="103"/>
      <c r="M36" s="108"/>
      <c r="N36" s="132">
        <f t="shared" si="4"/>
        <v>0</v>
      </c>
      <c r="O36" s="132">
        <f t="shared" si="5"/>
        <v>0</v>
      </c>
      <c r="P36" s="133" t="b">
        <f t="shared" si="6"/>
        <v>0</v>
      </c>
      <c r="Q36" s="133" t="b">
        <f t="shared" si="7"/>
        <v>0</v>
      </c>
      <c r="R36" s="133">
        <f t="shared" si="8"/>
        <v>0</v>
      </c>
      <c r="S36" s="134"/>
      <c r="T36" s="57"/>
      <c r="U36" s="57"/>
      <c r="V36" s="57"/>
      <c r="W36" s="57"/>
    </row>
    <row r="37" spans="1:23" s="58" customFormat="1" ht="18" customHeight="1">
      <c r="A37" s="259"/>
      <c r="B37" s="264"/>
      <c r="C37" s="265"/>
      <c r="D37" s="266"/>
      <c r="E37" s="139"/>
      <c r="F37" s="139"/>
      <c r="G37" s="140"/>
      <c r="H37" s="141">
        <f t="shared" ref="H37:H51" si="13">G37-C37</f>
        <v>0</v>
      </c>
      <c r="I37" s="142" t="str">
        <f t="shared" ref="I37:I51" si="14">IF(E37-F37=0,"",IF(R37,R37,"/"))</f>
        <v/>
      </c>
      <c r="J37" s="107">
        <v>8</v>
      </c>
      <c r="K37" s="152"/>
      <c r="L37" s="103"/>
      <c r="M37" s="108"/>
      <c r="N37" s="132">
        <f t="shared" si="4"/>
        <v>0</v>
      </c>
      <c r="O37" s="132">
        <f t="shared" si="5"/>
        <v>0</v>
      </c>
      <c r="P37" s="133" t="b">
        <f t="shared" si="6"/>
        <v>0</v>
      </c>
      <c r="Q37" s="133" t="b">
        <f t="shared" si="7"/>
        <v>0</v>
      </c>
      <c r="R37" s="133">
        <f t="shared" si="8"/>
        <v>0</v>
      </c>
      <c r="S37" s="134"/>
      <c r="T37" s="57"/>
      <c r="U37" s="57"/>
      <c r="V37" s="57"/>
      <c r="W37" s="57"/>
    </row>
    <row r="38" spans="1:23" s="58" customFormat="1" ht="18" customHeight="1">
      <c r="A38" s="259"/>
      <c r="B38" s="264"/>
      <c r="C38" s="265"/>
      <c r="D38" s="266"/>
      <c r="E38" s="139"/>
      <c r="F38" s="139"/>
      <c r="G38" s="140"/>
      <c r="H38" s="141">
        <f t="shared" si="13"/>
        <v>0</v>
      </c>
      <c r="I38" s="142" t="str">
        <f t="shared" si="14"/>
        <v/>
      </c>
      <c r="J38" s="107">
        <v>8</v>
      </c>
      <c r="K38" s="152"/>
      <c r="L38" s="103"/>
      <c r="M38" s="108"/>
      <c r="N38" s="132">
        <f t="shared" si="4"/>
        <v>0</v>
      </c>
      <c r="O38" s="132">
        <f t="shared" si="5"/>
        <v>0</v>
      </c>
      <c r="P38" s="133" t="b">
        <f t="shared" si="6"/>
        <v>0</v>
      </c>
      <c r="Q38" s="133" t="b">
        <f t="shared" si="7"/>
        <v>0</v>
      </c>
      <c r="R38" s="133">
        <f t="shared" si="8"/>
        <v>0</v>
      </c>
      <c r="S38" s="134"/>
      <c r="T38" s="57"/>
      <c r="U38" s="57"/>
      <c r="V38" s="57"/>
      <c r="W38" s="57"/>
    </row>
    <row r="39" spans="1:23" s="58" customFormat="1" ht="18" customHeight="1">
      <c r="A39" s="259"/>
      <c r="B39" s="264"/>
      <c r="C39" s="265"/>
      <c r="D39" s="266"/>
      <c r="E39" s="139"/>
      <c r="F39" s="139"/>
      <c r="G39" s="140"/>
      <c r="H39" s="141">
        <f t="shared" si="13"/>
        <v>0</v>
      </c>
      <c r="I39" s="142" t="str">
        <f t="shared" si="14"/>
        <v/>
      </c>
      <c r="J39" s="107">
        <v>8</v>
      </c>
      <c r="K39" s="152"/>
      <c r="L39" s="103"/>
      <c r="M39" s="108"/>
      <c r="N39" s="132">
        <f t="shared" si="4"/>
        <v>0</v>
      </c>
      <c r="O39" s="132">
        <f t="shared" si="5"/>
        <v>0</v>
      </c>
      <c r="P39" s="133" t="b">
        <f t="shared" si="6"/>
        <v>0</v>
      </c>
      <c r="Q39" s="133" t="b">
        <f t="shared" si="7"/>
        <v>0</v>
      </c>
      <c r="R39" s="133">
        <f t="shared" si="8"/>
        <v>0</v>
      </c>
      <c r="S39" s="134"/>
      <c r="T39" s="57"/>
      <c r="U39" s="57"/>
      <c r="V39" s="57"/>
      <c r="W39" s="57"/>
    </row>
    <row r="40" spans="1:23" ht="18" customHeight="1">
      <c r="A40" s="259"/>
      <c r="B40" s="264"/>
      <c r="C40" s="265"/>
      <c r="D40" s="266"/>
      <c r="E40" s="139"/>
      <c r="F40" s="139"/>
      <c r="G40" s="140"/>
      <c r="H40" s="141">
        <f t="shared" si="13"/>
        <v>0</v>
      </c>
      <c r="I40" s="142" t="str">
        <f t="shared" si="14"/>
        <v/>
      </c>
      <c r="J40" s="107">
        <v>8</v>
      </c>
      <c r="K40" s="152"/>
      <c r="L40" s="103"/>
      <c r="M40" s="108"/>
      <c r="N40" s="132">
        <f t="shared" si="4"/>
        <v>0</v>
      </c>
      <c r="O40" s="132">
        <f t="shared" si="5"/>
        <v>0</v>
      </c>
      <c r="P40" s="133" t="b">
        <f t="shared" si="6"/>
        <v>0</v>
      </c>
      <c r="Q40" s="133" t="b">
        <f t="shared" si="7"/>
        <v>0</v>
      </c>
      <c r="R40" s="133">
        <f t="shared" si="8"/>
        <v>0</v>
      </c>
      <c r="S40" s="134"/>
    </row>
    <row r="41" spans="1:23" ht="18" customHeight="1">
      <c r="A41" s="259"/>
      <c r="B41" s="264"/>
      <c r="C41" s="265"/>
      <c r="D41" s="266"/>
      <c r="E41" s="139"/>
      <c r="F41" s="139"/>
      <c r="G41" s="140"/>
      <c r="H41" s="141">
        <f t="shared" si="13"/>
        <v>0</v>
      </c>
      <c r="I41" s="142" t="str">
        <f t="shared" si="14"/>
        <v/>
      </c>
      <c r="J41" s="107">
        <v>8</v>
      </c>
      <c r="K41" s="152"/>
      <c r="L41" s="103"/>
      <c r="M41" s="108"/>
      <c r="N41" s="132">
        <f t="shared" si="4"/>
        <v>0</v>
      </c>
      <c r="O41" s="132">
        <f t="shared" si="5"/>
        <v>0</v>
      </c>
      <c r="P41" s="133" t="b">
        <f t="shared" si="6"/>
        <v>0</v>
      </c>
      <c r="Q41" s="133" t="b">
        <f t="shared" si="7"/>
        <v>0</v>
      </c>
      <c r="R41" s="133">
        <f t="shared" si="8"/>
        <v>0</v>
      </c>
      <c r="S41" s="134"/>
    </row>
    <row r="42" spans="1:23" ht="18" customHeight="1">
      <c r="A42" s="259"/>
      <c r="B42" s="264"/>
      <c r="C42" s="265"/>
      <c r="D42" s="266"/>
      <c r="E42" s="139"/>
      <c r="F42" s="139"/>
      <c r="G42" s="140"/>
      <c r="H42" s="141">
        <f t="shared" si="13"/>
        <v>0</v>
      </c>
      <c r="I42" s="142" t="str">
        <f t="shared" si="14"/>
        <v/>
      </c>
      <c r="J42" s="107">
        <v>8</v>
      </c>
      <c r="K42" s="146"/>
      <c r="L42" s="103"/>
      <c r="M42" s="108"/>
      <c r="N42" s="132">
        <f t="shared" si="4"/>
        <v>0</v>
      </c>
      <c r="O42" s="132">
        <f t="shared" si="5"/>
        <v>0</v>
      </c>
      <c r="P42" s="133" t="b">
        <f t="shared" si="6"/>
        <v>0</v>
      </c>
      <c r="Q42" s="133" t="b">
        <f t="shared" si="7"/>
        <v>0</v>
      </c>
      <c r="R42" s="133">
        <f t="shared" si="8"/>
        <v>0</v>
      </c>
      <c r="S42" s="134"/>
    </row>
    <row r="43" spans="1:23" ht="18" customHeight="1">
      <c r="A43" s="259"/>
      <c r="B43" s="264"/>
      <c r="C43" s="265"/>
      <c r="D43" s="266"/>
      <c r="E43" s="139"/>
      <c r="F43" s="139"/>
      <c r="G43" s="140"/>
      <c r="H43" s="141">
        <f t="shared" si="13"/>
        <v>0</v>
      </c>
      <c r="I43" s="142" t="str">
        <f t="shared" si="14"/>
        <v/>
      </c>
      <c r="J43" s="107">
        <v>8</v>
      </c>
      <c r="K43" s="152"/>
      <c r="L43" s="103"/>
      <c r="M43" s="108"/>
      <c r="N43" s="132">
        <f t="shared" si="4"/>
        <v>0</v>
      </c>
      <c r="O43" s="132">
        <f t="shared" si="5"/>
        <v>0</v>
      </c>
      <c r="P43" s="133" t="b">
        <f t="shared" si="6"/>
        <v>0</v>
      </c>
      <c r="Q43" s="133" t="b">
        <f t="shared" si="7"/>
        <v>0</v>
      </c>
      <c r="R43" s="133">
        <f t="shared" si="8"/>
        <v>0</v>
      </c>
      <c r="S43" s="134"/>
    </row>
    <row r="44" spans="1:23" ht="18" customHeight="1">
      <c r="A44" s="259"/>
      <c r="B44" s="264"/>
      <c r="C44" s="265"/>
      <c r="D44" s="266"/>
      <c r="E44" s="139"/>
      <c r="F44" s="139"/>
      <c r="G44" s="140"/>
      <c r="H44" s="141">
        <f t="shared" si="13"/>
        <v>0</v>
      </c>
      <c r="I44" s="142" t="str">
        <f t="shared" si="14"/>
        <v/>
      </c>
      <c r="J44" s="107">
        <v>8</v>
      </c>
      <c r="K44" s="152"/>
      <c r="L44" s="103"/>
      <c r="M44" s="108"/>
      <c r="N44" s="132">
        <f t="shared" si="4"/>
        <v>0</v>
      </c>
      <c r="O44" s="132">
        <f t="shared" si="5"/>
        <v>0</v>
      </c>
      <c r="P44" s="133" t="b">
        <f t="shared" si="6"/>
        <v>0</v>
      </c>
      <c r="Q44" s="133" t="b">
        <f t="shared" si="7"/>
        <v>0</v>
      </c>
      <c r="R44" s="133">
        <f t="shared" si="8"/>
        <v>0</v>
      </c>
      <c r="S44" s="134"/>
    </row>
    <row r="45" spans="1:23" ht="18" customHeight="1">
      <c r="A45" s="259"/>
      <c r="B45" s="264"/>
      <c r="C45" s="265"/>
      <c r="D45" s="266"/>
      <c r="E45" s="139"/>
      <c r="F45" s="139"/>
      <c r="G45" s="140"/>
      <c r="H45" s="141">
        <f t="shared" si="13"/>
        <v>0</v>
      </c>
      <c r="I45" s="142" t="str">
        <f t="shared" si="14"/>
        <v/>
      </c>
      <c r="J45" s="107">
        <v>8</v>
      </c>
      <c r="K45" s="146"/>
      <c r="L45" s="103"/>
      <c r="M45" s="108"/>
      <c r="N45" s="132">
        <f t="shared" si="4"/>
        <v>0</v>
      </c>
      <c r="O45" s="132">
        <f t="shared" si="5"/>
        <v>0</v>
      </c>
      <c r="P45" s="133" t="b">
        <f t="shared" si="6"/>
        <v>0</v>
      </c>
      <c r="Q45" s="133" t="b">
        <f t="shared" si="7"/>
        <v>0</v>
      </c>
      <c r="R45" s="133">
        <f t="shared" si="8"/>
        <v>0</v>
      </c>
      <c r="S45" s="134"/>
    </row>
    <row r="46" spans="1:23" ht="18" customHeight="1">
      <c r="A46" s="259"/>
      <c r="B46" s="264"/>
      <c r="C46" s="265"/>
      <c r="D46" s="266"/>
      <c r="E46" s="139"/>
      <c r="F46" s="139"/>
      <c r="G46" s="140"/>
      <c r="H46" s="141">
        <f t="shared" si="13"/>
        <v>0</v>
      </c>
      <c r="I46" s="142" t="str">
        <f t="shared" si="14"/>
        <v/>
      </c>
      <c r="J46" s="107">
        <v>8</v>
      </c>
      <c r="K46" s="152"/>
      <c r="L46" s="103"/>
      <c r="M46" s="108"/>
      <c r="N46" s="132">
        <f t="shared" si="4"/>
        <v>0</v>
      </c>
      <c r="O46" s="132">
        <f t="shared" si="5"/>
        <v>0</v>
      </c>
      <c r="P46" s="133" t="b">
        <f t="shared" si="6"/>
        <v>0</v>
      </c>
      <c r="Q46" s="133" t="b">
        <f t="shared" si="7"/>
        <v>0</v>
      </c>
      <c r="R46" s="133">
        <f t="shared" si="8"/>
        <v>0</v>
      </c>
      <c r="S46" s="134"/>
    </row>
    <row r="47" spans="1:23" ht="18" customHeight="1">
      <c r="A47" s="259"/>
      <c r="B47" s="264"/>
      <c r="C47" s="265"/>
      <c r="D47" s="266"/>
      <c r="E47" s="139"/>
      <c r="F47" s="139"/>
      <c r="G47" s="140"/>
      <c r="H47" s="141">
        <f t="shared" si="13"/>
        <v>0</v>
      </c>
      <c r="I47" s="142" t="str">
        <f t="shared" si="14"/>
        <v/>
      </c>
      <c r="J47" s="107">
        <v>8</v>
      </c>
      <c r="K47" s="152"/>
      <c r="L47" s="103"/>
      <c r="M47" s="108"/>
      <c r="N47" s="132">
        <f t="shared" si="4"/>
        <v>0</v>
      </c>
      <c r="O47" s="132">
        <f t="shared" si="5"/>
        <v>0</v>
      </c>
      <c r="P47" s="133" t="b">
        <f t="shared" si="6"/>
        <v>0</v>
      </c>
      <c r="Q47" s="133" t="b">
        <f t="shared" si="7"/>
        <v>0</v>
      </c>
      <c r="R47" s="133">
        <f t="shared" si="8"/>
        <v>0</v>
      </c>
      <c r="S47" s="134"/>
    </row>
    <row r="48" spans="1:23" ht="18" customHeight="1">
      <c r="A48" s="259"/>
      <c r="B48" s="264"/>
      <c r="C48" s="265"/>
      <c r="D48" s="266"/>
      <c r="E48" s="139"/>
      <c r="F48" s="139"/>
      <c r="G48" s="140"/>
      <c r="H48" s="141">
        <f t="shared" si="13"/>
        <v>0</v>
      </c>
      <c r="I48" s="142" t="str">
        <f t="shared" si="14"/>
        <v/>
      </c>
      <c r="J48" s="107">
        <v>8</v>
      </c>
      <c r="K48" s="152"/>
      <c r="L48" s="103"/>
      <c r="M48" s="108"/>
      <c r="N48" s="132">
        <f t="shared" si="4"/>
        <v>0</v>
      </c>
      <c r="O48" s="132">
        <f t="shared" si="5"/>
        <v>0</v>
      </c>
      <c r="P48" s="133" t="b">
        <f t="shared" si="6"/>
        <v>0</v>
      </c>
      <c r="Q48" s="133" t="b">
        <f t="shared" si="7"/>
        <v>0</v>
      </c>
      <c r="R48" s="133">
        <f t="shared" si="8"/>
        <v>0</v>
      </c>
      <c r="S48" s="134"/>
    </row>
    <row r="49" spans="1:20" ht="18" customHeight="1">
      <c r="A49" s="259"/>
      <c r="B49" s="264"/>
      <c r="C49" s="265"/>
      <c r="D49" s="266"/>
      <c r="E49" s="139"/>
      <c r="F49" s="139"/>
      <c r="G49" s="140"/>
      <c r="H49" s="141">
        <f t="shared" si="13"/>
        <v>0</v>
      </c>
      <c r="I49" s="142" t="str">
        <f t="shared" si="14"/>
        <v/>
      </c>
      <c r="J49" s="107">
        <v>8</v>
      </c>
      <c r="K49" s="152"/>
      <c r="L49" s="103"/>
      <c r="M49" s="108"/>
      <c r="N49" s="132">
        <f t="shared" si="4"/>
        <v>0</v>
      </c>
      <c r="O49" s="132">
        <f t="shared" si="5"/>
        <v>0</v>
      </c>
      <c r="P49" s="133" t="b">
        <f t="shared" si="6"/>
        <v>0</v>
      </c>
      <c r="Q49" s="133" t="b">
        <f t="shared" si="7"/>
        <v>0</v>
      </c>
      <c r="R49" s="133">
        <f t="shared" si="8"/>
        <v>0</v>
      </c>
      <c r="S49" s="134"/>
    </row>
    <row r="50" spans="1:20" ht="18" customHeight="1">
      <c r="A50" s="259"/>
      <c r="B50" s="264"/>
      <c r="C50" s="265"/>
      <c r="D50" s="266"/>
      <c r="E50" s="139"/>
      <c r="F50" s="139"/>
      <c r="G50" s="140"/>
      <c r="H50" s="141">
        <f t="shared" si="13"/>
        <v>0</v>
      </c>
      <c r="I50" s="142" t="str">
        <f t="shared" si="14"/>
        <v/>
      </c>
      <c r="J50" s="107">
        <v>8</v>
      </c>
      <c r="K50" s="152"/>
      <c r="L50" s="103"/>
      <c r="M50" s="108"/>
      <c r="N50" s="132">
        <f t="shared" si="4"/>
        <v>0</v>
      </c>
      <c r="O50" s="132">
        <f t="shared" si="5"/>
        <v>0</v>
      </c>
      <c r="P50" s="133" t="b">
        <f t="shared" si="6"/>
        <v>0</v>
      </c>
      <c r="Q50" s="133" t="b">
        <f t="shared" si="7"/>
        <v>0</v>
      </c>
      <c r="R50" s="133">
        <f t="shared" si="8"/>
        <v>0</v>
      </c>
      <c r="S50" s="134"/>
    </row>
    <row r="51" spans="1:20" ht="18" customHeight="1">
      <c r="A51" s="259"/>
      <c r="B51" s="264"/>
      <c r="C51" s="265"/>
      <c r="D51" s="266"/>
      <c r="E51" s="139"/>
      <c r="F51" s="139"/>
      <c r="G51" s="140"/>
      <c r="H51" s="141">
        <f t="shared" si="13"/>
        <v>0</v>
      </c>
      <c r="I51" s="142" t="str">
        <f t="shared" si="14"/>
        <v/>
      </c>
      <c r="J51" s="107">
        <v>8</v>
      </c>
      <c r="K51" s="152"/>
      <c r="L51" s="103"/>
      <c r="M51" s="108"/>
      <c r="N51" s="132">
        <f t="shared" si="4"/>
        <v>0</v>
      </c>
      <c r="O51" s="132">
        <f t="shared" si="5"/>
        <v>0</v>
      </c>
      <c r="P51" s="133" t="b">
        <f t="shared" si="6"/>
        <v>0</v>
      </c>
      <c r="Q51" s="133" t="b">
        <f t="shared" si="7"/>
        <v>0</v>
      </c>
      <c r="R51" s="133">
        <f t="shared" si="8"/>
        <v>0</v>
      </c>
      <c r="S51" s="134"/>
    </row>
    <row r="52" spans="1:20">
      <c r="J52" s="135"/>
      <c r="K52" s="135"/>
      <c r="L52" s="135"/>
      <c r="M52" s="135"/>
      <c r="N52" s="136"/>
      <c r="O52" s="136"/>
      <c r="P52" s="137"/>
      <c r="Q52" s="137"/>
      <c r="R52" s="137"/>
      <c r="S52" s="134"/>
      <c r="T52" s="138"/>
    </row>
    <row r="53" spans="1:20">
      <c r="E53" s="30"/>
      <c r="F53" s="30"/>
      <c r="G53" s="30"/>
      <c r="H53" s="30"/>
      <c r="J53" s="135"/>
      <c r="K53" s="135"/>
      <c r="L53" s="135"/>
      <c r="M53" s="135"/>
      <c r="N53" s="138"/>
      <c r="O53" s="138"/>
      <c r="P53" s="138"/>
      <c r="Q53" s="138"/>
      <c r="R53" s="138"/>
      <c r="S53" s="138"/>
      <c r="T53" s="138"/>
    </row>
    <row r="54" spans="1:20">
      <c r="J54" s="135"/>
      <c r="K54" s="135"/>
      <c r="L54" s="135"/>
      <c r="M54" s="135"/>
      <c r="N54" s="138"/>
      <c r="O54" s="138"/>
      <c r="P54" s="138"/>
      <c r="Q54" s="138"/>
      <c r="R54" s="138"/>
      <c r="S54" s="138"/>
      <c r="T54" s="138"/>
    </row>
    <row r="55" spans="1:20">
      <c r="J55" s="135"/>
      <c r="K55" s="135"/>
      <c r="L55" s="135"/>
      <c r="M55" s="135"/>
      <c r="N55" s="138"/>
      <c r="O55" s="138"/>
      <c r="P55" s="138"/>
      <c r="Q55" s="138"/>
      <c r="R55" s="138"/>
      <c r="S55" s="138"/>
      <c r="T55" s="138"/>
    </row>
    <row r="56" spans="1:20">
      <c r="J56" s="135"/>
      <c r="K56" s="135"/>
      <c r="L56" s="135"/>
      <c r="M56" s="135"/>
      <c r="N56" s="138"/>
      <c r="O56" s="138"/>
      <c r="P56" s="138"/>
      <c r="Q56" s="138"/>
      <c r="R56" s="138"/>
      <c r="S56" s="138"/>
      <c r="T56" s="138"/>
    </row>
    <row r="57" spans="1:20">
      <c r="J57" s="135"/>
      <c r="K57" s="135"/>
      <c r="L57" s="135"/>
      <c r="M57" s="135"/>
      <c r="N57" s="138"/>
      <c r="O57" s="138"/>
      <c r="P57" s="138"/>
      <c r="Q57" s="138"/>
      <c r="R57" s="138"/>
      <c r="S57" s="138"/>
      <c r="T57" s="138"/>
    </row>
    <row r="58" spans="1:20">
      <c r="J58" s="135"/>
      <c r="K58" s="135"/>
      <c r="L58" s="135"/>
      <c r="M58" s="135"/>
      <c r="N58" s="138"/>
      <c r="O58" s="138"/>
      <c r="P58" s="138"/>
      <c r="Q58" s="138"/>
      <c r="R58" s="138"/>
      <c r="S58" s="138"/>
      <c r="T58" s="138"/>
    </row>
    <row r="59" spans="1:20">
      <c r="J59" s="135"/>
      <c r="K59" s="135"/>
      <c r="L59" s="135"/>
      <c r="M59" s="135"/>
      <c r="N59" s="138"/>
      <c r="O59" s="138"/>
      <c r="P59" s="138"/>
      <c r="Q59" s="138"/>
      <c r="R59" s="138"/>
      <c r="S59" s="138"/>
      <c r="T59" s="138"/>
    </row>
  </sheetData>
  <mergeCells count="6">
    <mergeCell ref="K29:M29"/>
    <mergeCell ref="A22:G22"/>
    <mergeCell ref="A6:M6"/>
    <mergeCell ref="A2:M2"/>
    <mergeCell ref="A3:M3"/>
    <mergeCell ref="A8:M8"/>
  </mergeCells>
  <printOptions horizontalCentered="1"/>
  <pageMargins left="0.35433070866141736" right="0.19685039370078741" top="0.19685039370078741" bottom="0.19685039370078741" header="0" footer="0"/>
  <pageSetup paperSize="9" fitToHeight="0" pageOrder="overThenDown" orientation="portrait" r:id="rId1"/>
  <headerFooter alignWithMargins="0">
    <oddFooter>&amp;RPage &amp;P/&amp;N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DCE159DA1F3154EA66D0E243DF3BAA6" ma:contentTypeVersion="10" ma:contentTypeDescription="Crée un document." ma:contentTypeScope="" ma:versionID="438104f49e01fba44cf8b3fd65beffa3">
  <xsd:schema xmlns:xsd="http://www.w3.org/2001/XMLSchema" xmlns:xs="http://www.w3.org/2001/XMLSchema" xmlns:p="http://schemas.microsoft.com/office/2006/metadata/properties" xmlns:ns2="c3017dfb-aab7-47ef-946e-d0b6069f8b09" targetNamespace="http://schemas.microsoft.com/office/2006/metadata/properties" ma:root="true" ma:fieldsID="ef9b391dc0ded3987a22bfffeb30e30a" ns2:_="">
    <xsd:import namespace="c3017dfb-aab7-47ef-946e-d0b6069f8b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017dfb-aab7-47ef-946e-d0b6069f8b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60B481A-4AE7-4565-BBE0-32E3A5D992F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2B4B030-4071-4060-8B91-0703DE5D8F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017dfb-aab7-47ef-946e-d0b6069f8b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00C335C-7C0E-4DA0-975A-1F658E468D74}">
  <ds:schemaRefs>
    <ds:schemaRef ds:uri="http://purl.org/dc/terms/"/>
    <ds:schemaRef ds:uri="c3017dfb-aab7-47ef-946e-d0b6069f8b09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4</vt:i4>
      </vt:variant>
    </vt:vector>
  </HeadingPairs>
  <TitlesOfParts>
    <vt:vector size="8" baseType="lpstr">
      <vt:lpstr>Rapport d'essai dimensionnel</vt:lpstr>
      <vt:lpstr>Plan de contrôle horizontal</vt:lpstr>
      <vt:lpstr>Plan de contrôle vertical</vt:lpstr>
      <vt:lpstr>Mesures</vt:lpstr>
      <vt:lpstr>Mesures!Zone_d_impression</vt:lpstr>
      <vt:lpstr>'Plan de contrôle horizontal'!Zone_d_impression</vt:lpstr>
      <vt:lpstr>'Plan de contrôle vertical'!Zone_d_impression</vt:lpstr>
      <vt:lpstr>'Rapport d''essai dimensionnel'!Zone_d_impression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Julie LANOUX</cp:lastModifiedBy>
  <cp:lastPrinted>2023-11-24T11:05:50Z</cp:lastPrinted>
  <dcterms:created xsi:type="dcterms:W3CDTF">1996-10-21T11:03:58Z</dcterms:created>
  <dcterms:modified xsi:type="dcterms:W3CDTF">2024-04-17T08:06:07Z</dcterms:modified>
  <cp:contentStatus/>
</cp:coreProperties>
</file>